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y9\Downloads\"/>
    </mc:Choice>
  </mc:AlternateContent>
  <xr:revisionPtr revIDLastSave="0" documentId="8_{7A71B2A3-AC3B-4E1D-96EA-1328F7855087}" xr6:coauthVersionLast="47" xr6:coauthVersionMax="47" xr10:uidLastSave="{00000000-0000-0000-0000-000000000000}"/>
  <bookViews>
    <workbookView xWindow="-108" yWindow="-108" windowWidth="23256" windowHeight="12456" firstSheet="5" activeTab="5" xr2:uid="{CC1E22A4-B385-40C9-B99E-5283119F0E9F}"/>
  </bookViews>
  <sheets>
    <sheet name="Noviembre" sheetId="2" state="hidden" r:id="rId1"/>
    <sheet name="ANI" sheetId="3" state="hidden" r:id="rId2"/>
    <sheet name="Enero 2024" sheetId="5" state="hidden" r:id="rId3"/>
    <sheet name="ANI." sheetId="6" state="hidden" r:id="rId4"/>
    <sheet name="ANI,." sheetId="7" state="hidden" r:id="rId5"/>
    <sheet name="ANI1" sheetId="9" r:id="rId6"/>
    <sheet name="ANI  200" sheetId="10" r:id="rId7"/>
    <sheet name="2002-2" sheetId="11" r:id="rId8"/>
    <sheet name="Compilado" sheetId="8" state="hidden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9" l="1"/>
  <c r="D12" i="11"/>
  <c r="E12" i="11"/>
  <c r="F19" i="11"/>
  <c r="G19" i="11" s="1"/>
  <c r="H19" i="11" l="1"/>
  <c r="I19" i="11" s="1"/>
  <c r="L18" i="11" l="1"/>
  <c r="D5" i="11"/>
  <c r="F21" i="11" l="1"/>
  <c r="G21" i="11" s="1"/>
  <c r="H21" i="11" s="1"/>
  <c r="I21" i="11" s="1"/>
  <c r="L21" i="11" s="1"/>
  <c r="F20" i="11"/>
  <c r="G20" i="11" s="1"/>
  <c r="F18" i="11"/>
  <c r="G18" i="11" s="1"/>
  <c r="L17" i="10"/>
  <c r="L16" i="9"/>
  <c r="F18" i="10"/>
  <c r="G18" i="10" s="1"/>
  <c r="F16" i="10"/>
  <c r="G16" i="10" s="1"/>
  <c r="I16" i="9"/>
  <c r="D12" i="10"/>
  <c r="H18" i="11" l="1"/>
  <c r="I18" i="11" s="1"/>
  <c r="J18" i="11" s="1"/>
  <c r="H20" i="11"/>
  <c r="I20" i="11"/>
  <c r="L20" i="11" s="1"/>
  <c r="L19" i="11"/>
  <c r="H17" i="11"/>
  <c r="I17" i="11" s="1"/>
  <c r="L17" i="11" s="1"/>
  <c r="E25" i="11"/>
  <c r="H18" i="10"/>
  <c r="I18" i="10" s="1"/>
  <c r="L18" i="10" s="1"/>
  <c r="H16" i="10"/>
  <c r="I16" i="10" s="1"/>
  <c r="L22" i="11" l="1"/>
  <c r="F22" i="10"/>
  <c r="G22" i="10" s="1"/>
  <c r="F21" i="10"/>
  <c r="G21" i="10" s="1"/>
  <c r="F20" i="10"/>
  <c r="G20" i="10" s="1"/>
  <c r="F19" i="10"/>
  <c r="G19" i="10" s="1"/>
  <c r="F17" i="10"/>
  <c r="G17" i="10" s="1"/>
  <c r="E27" i="10"/>
  <c r="D4" i="10"/>
  <c r="I21" i="9"/>
  <c r="H15" i="9"/>
  <c r="H16" i="9"/>
  <c r="H17" i="9"/>
  <c r="H18" i="9"/>
  <c r="H19" i="9"/>
  <c r="I19" i="9" s="1"/>
  <c r="L19" i="9" s="1"/>
  <c r="H20" i="9"/>
  <c r="I20" i="9" s="1"/>
  <c r="L20" i="9" s="1"/>
  <c r="H21" i="9"/>
  <c r="L21" i="9" s="1"/>
  <c r="I15" i="9"/>
  <c r="L15" i="9" s="1"/>
  <c r="H14" i="9"/>
  <c r="I17" i="9"/>
  <c r="I18" i="9"/>
  <c r="L18" i="9" s="1"/>
  <c r="I14" i="9"/>
  <c r="K14" i="9" s="1"/>
  <c r="G15" i="9"/>
  <c r="G16" i="9"/>
  <c r="G17" i="9"/>
  <c r="G18" i="9"/>
  <c r="G19" i="9"/>
  <c r="G20" i="9"/>
  <c r="G21" i="9"/>
  <c r="G14" i="9"/>
  <c r="F15" i="9"/>
  <c r="F16" i="9"/>
  <c r="F17" i="9"/>
  <c r="F18" i="9"/>
  <c r="F19" i="9"/>
  <c r="F20" i="9"/>
  <c r="F21" i="9"/>
  <c r="F14" i="9"/>
  <c r="L17" i="9"/>
  <c r="E27" i="11" l="1"/>
  <c r="H21" i="10"/>
  <c r="I21" i="10" s="1"/>
  <c r="L21" i="10" s="1"/>
  <c r="H22" i="10"/>
  <c r="I22" i="10" s="1"/>
  <c r="L22" i="10" s="1"/>
  <c r="H17" i="10"/>
  <c r="I17" i="10" s="1"/>
  <c r="H19" i="10"/>
  <c r="I19" i="10" s="1"/>
  <c r="L19" i="10" s="1"/>
  <c r="E26" i="10"/>
  <c r="H20" i="10"/>
  <c r="I20" i="10" s="1"/>
  <c r="L20" i="10" s="1"/>
  <c r="L14" i="9"/>
  <c r="D10" i="9"/>
  <c r="E26" i="9" l="1"/>
  <c r="D4" i="9"/>
  <c r="E25" i="9" s="1"/>
  <c r="I18" i="7"/>
  <c r="D9" i="7"/>
  <c r="D4" i="7"/>
  <c r="E21" i="7"/>
  <c r="I24" i="6"/>
  <c r="B28" i="6"/>
  <c r="I19" i="3"/>
  <c r="D10" i="3"/>
  <c r="G15" i="3"/>
  <c r="H15" i="3" l="1"/>
  <c r="I34" i="8" l="1"/>
  <c r="D16" i="8"/>
  <c r="E38" i="8" s="1"/>
  <c r="D6" i="8"/>
  <c r="E37" i="8" s="1"/>
  <c r="E39" i="8"/>
  <c r="I19" i="5"/>
  <c r="B23" i="5" s="1"/>
  <c r="D10" i="6"/>
  <c r="B38" i="8" l="1"/>
  <c r="E22" i="7" l="1"/>
  <c r="G15" i="6"/>
  <c r="E28" i="6"/>
  <c r="D4" i="6"/>
  <c r="D10" i="5"/>
  <c r="D4" i="5"/>
  <c r="E22" i="5" s="1"/>
  <c r="G18" i="5"/>
  <c r="G15" i="5"/>
  <c r="E23" i="5"/>
  <c r="E23" i="7" l="1"/>
  <c r="B22" i="7"/>
  <c r="H15" i="6"/>
  <c r="I15" i="6" s="1"/>
  <c r="E27" i="6"/>
  <c r="H15" i="5"/>
  <c r="I15" i="5" s="1"/>
  <c r="H18" i="5"/>
  <c r="I18" i="5" s="1"/>
  <c r="E29" i="6" l="1"/>
  <c r="E24" i="5"/>
  <c r="D4" i="3" l="1"/>
  <c r="E15" i="2"/>
  <c r="D8" i="2"/>
  <c r="E16" i="2" s="1"/>
  <c r="E22" i="3" l="1"/>
  <c r="B23" i="3"/>
  <c r="E23" i="3"/>
  <c r="B21" i="2" l="1"/>
  <c r="B16" i="2"/>
  <c r="E17" i="2" l="1"/>
  <c r="D21" i="2"/>
  <c r="E24" i="3" l="1"/>
  <c r="L22" i="9"/>
  <c r="B26" i="9" s="1"/>
  <c r="E27" i="9" l="1"/>
  <c r="K16" i="10"/>
  <c r="L16" i="10" s="1"/>
  <c r="L23" i="10"/>
  <c r="E28" i="10" s="1"/>
  <c r="B27" i="10" l="1"/>
  <c r="D13" i="11"/>
  <c r="B26" i="11" s="1"/>
  <c r="C29" i="11" s="1"/>
  <c r="E2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1" authorId="0" shapeId="0" xr:uid="{5B793773-9A66-433B-AE9B-CBF154966554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3" authorId="0" shapeId="0" xr:uid="{61F4BF0F-ABFD-45C9-B811-F7110B36D30C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3" authorId="0" shapeId="0" xr:uid="{33CA3485-8074-4578-8E32-8DB41737372E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3" authorId="0" shapeId="0" xr:uid="{97032DDA-D1C2-4D63-8422-330EFAE28411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2" authorId="0" shapeId="0" xr:uid="{C8FDA662-4E15-420D-9993-04BE05FC7152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3" authorId="0" shapeId="0" xr:uid="{3A65B8C5-446A-4467-9B3C-00D849157240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5" authorId="0" shapeId="0" xr:uid="{A639F2D8-F451-400F-AAAE-36CE7912AF2F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6" authorId="0" shapeId="0" xr:uid="{324BFAEF-4BB3-44AE-8E35-653021C3DCA7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H19" authorId="0" shapeId="0" xr:uid="{F3959059-D65B-4FD0-9D8B-64AC0E5D0AB1}">
      <text>
        <r>
          <rPr>
            <sz val="9"/>
            <rFont val="Tahoma"/>
            <family val="2"/>
          </rPr>
          <t>Apendice tecnico Numeral 3.2.1 Otros Gastos</t>
        </r>
      </text>
    </comment>
  </commentList>
</comments>
</file>

<file path=xl/sharedStrings.xml><?xml version="1.0" encoding="utf-8"?>
<sst xmlns="http://schemas.openxmlformats.org/spreadsheetml/2006/main" count="511" uniqueCount="78">
  <si>
    <t>Valor a consigna a la ANI</t>
  </si>
  <si>
    <t>Documento</t>
  </si>
  <si>
    <t>Mes</t>
  </si>
  <si>
    <t>Empresa</t>
  </si>
  <si>
    <t>CTSA</t>
  </si>
  <si>
    <t>EMPRESA</t>
  </si>
  <si>
    <t>USO DE VIA</t>
  </si>
  <si>
    <t>Periodo</t>
  </si>
  <si>
    <t>Inmueble - concepto</t>
  </si>
  <si>
    <t>Valor Facturado</t>
  </si>
  <si>
    <t>IVA</t>
  </si>
  <si>
    <t>Valor bruto</t>
  </si>
  <si>
    <t>4 X 1000</t>
  </si>
  <si>
    <t>Valor a Consignar a la ANI</t>
  </si>
  <si>
    <t>Numero de factura.</t>
  </si>
  <si>
    <t>Total a consignar a la ANI</t>
  </si>
  <si>
    <t>Total a consigna a la ANI</t>
  </si>
  <si>
    <t>INMUEBLES</t>
  </si>
  <si>
    <t>Total a pagar a la ANI</t>
  </si>
  <si>
    <t xml:space="preserve">MATERIAL RODANTE </t>
  </si>
  <si>
    <t>Turistren</t>
  </si>
  <si>
    <t>Material Rodante</t>
  </si>
  <si>
    <t>Uso de vía</t>
  </si>
  <si>
    <t>Inmuebles</t>
  </si>
  <si>
    <t>ARRIENDO ESPACIO CUBIERTO AL INTERIOR DEL NUEVO TALLER ANI, UBICADO EN LAS INSTALACIONES DEL KILÓMETRO 5, CON UN AREA DE 1.986.8 METROS CUADRADOS</t>
  </si>
  <si>
    <t xml:space="preserve">Turistren </t>
  </si>
  <si>
    <t>CFRO</t>
  </si>
  <si>
    <t>ARRIENDO DE ESPACIO DE 241.42 M2, UBICADA EN EL KM5</t>
  </si>
  <si>
    <t>ARRIENDO DE BODEGA DE 128,2 M2, UBICADO EN KM 5</t>
  </si>
  <si>
    <t>ARRIENDO DE AREA DE 500 M2, UBICADA EN EL KM5</t>
  </si>
  <si>
    <t>Noviembre</t>
  </si>
  <si>
    <t>01/12/2024- 31/12/2024</t>
  </si>
  <si>
    <t>Diciembre</t>
  </si>
  <si>
    <t>OC019</t>
  </si>
  <si>
    <t>Argos</t>
  </si>
  <si>
    <t>ARRIENDO BODEGA  CON UNA AREA DE 1,117 M2 UBICADA EN KM6</t>
  </si>
  <si>
    <t>ENERO</t>
  </si>
  <si>
    <t>OC020</t>
  </si>
  <si>
    <t>01/1/2025- 30/1/2025</t>
  </si>
  <si>
    <t>Febrero</t>
  </si>
  <si>
    <t>febrero</t>
  </si>
  <si>
    <t>OC021</t>
  </si>
  <si>
    <t>01/2/2025- 28/2/2025</t>
  </si>
  <si>
    <t>01/3/2025- 31/3/2025</t>
  </si>
  <si>
    <t>Enero</t>
  </si>
  <si>
    <t>OCO20</t>
  </si>
  <si>
    <t>ARRIENDO BODEGA  CON UNA AREA DE 1,117 M2 UBICADA EN KM5</t>
  </si>
  <si>
    <t xml:space="preserve">Argos </t>
  </si>
  <si>
    <t xml:space="preserve">Nota </t>
  </si>
  <si>
    <t>Queda un saldo pendiente de esta factura por $399,013,40</t>
  </si>
  <si>
    <t>01/02/2025- 28/02/2025</t>
  </si>
  <si>
    <t xml:space="preserve">Que quedaron pendientes del pago de mes pasado. </t>
  </si>
  <si>
    <t>01/03/2025- 30/03/2025</t>
  </si>
  <si>
    <t>01/04/2025- 30/04/2025</t>
  </si>
  <si>
    <t>Que quedan pendientes para pago 1.247.649,52 de esta factura</t>
  </si>
  <si>
    <t>CT</t>
  </si>
  <si>
    <t>OC022</t>
  </si>
  <si>
    <t>Pendiente para proximo pago. 1,510,007,37</t>
  </si>
  <si>
    <t xml:space="preserve">Pendiente del pago anterior </t>
  </si>
  <si>
    <t>OC023</t>
  </si>
  <si>
    <t>01/05/2025- 30/05/2025</t>
  </si>
  <si>
    <t>ARRIENDO DE BODEGA CON UN AREA DE 240 M2 UBICADA EN EL KM5</t>
  </si>
  <si>
    <t>JE Jaimes</t>
  </si>
  <si>
    <t>1/02/2025-28/02/2025</t>
  </si>
  <si>
    <t>1/03/2025-30/03/2025</t>
  </si>
  <si>
    <t>1/04/2025-30/04/2025</t>
  </si>
  <si>
    <t xml:space="preserve">Pagado a la ANI PAGO ANTERIOR  </t>
  </si>
  <si>
    <t>Valor a consignar</t>
  </si>
  <si>
    <t>Valor pendiente de la factura 426 para proximo pago</t>
  </si>
  <si>
    <t>OC024</t>
  </si>
  <si>
    <t>OC025</t>
  </si>
  <si>
    <t>ARRIENDO DE LOTE DE 30M2 UBICADO EN EL KM5</t>
  </si>
  <si>
    <t>01/06/2025- 30/06/2025</t>
  </si>
  <si>
    <t>Valor pendiente de la factura 450 para proximo pago</t>
  </si>
  <si>
    <t>OC026</t>
  </si>
  <si>
    <t>OC027</t>
  </si>
  <si>
    <t>01/07/2025- 30/06/2027</t>
  </si>
  <si>
    <t>Valor pendiente de la factura OC027 para proximo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</si>
</sst>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.00_-;\-&quot;$&quot;\ * #,##0.00_-;_-&quot;$&quot;\ 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name val="Tahoma"/>
      <family val="2"/>
    </font>
    <font>
      <sz val="11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4" borderId="1" xfId="0" applyNumberFormat="1" applyFill="1" applyBorder="1"/>
    <xf numFmtId="44" fontId="0" fillId="4" borderId="1" xfId="0" applyNumberFormat="1" applyFill="1" applyBorder="1" applyAlignment="1">
      <alignment horizontal="center" vertical="center"/>
    </xf>
    <xf numFmtId="44" fontId="0" fillId="4" borderId="1" xfId="0" applyNumberFormat="1" applyFill="1" applyBorder="1" applyAlignment="1">
      <alignment vertical="center"/>
    </xf>
    <xf numFmtId="0" fontId="0" fillId="4" borderId="1" xfId="0" applyFill="1" applyBorder="1"/>
    <xf numFmtId="44" fontId="5" fillId="2" borderId="1" xfId="3" applyNumberFormat="1" applyFont="1" applyFill="1" applyBorder="1" applyAlignment="1">
      <alignment horizontal="center" vertical="center"/>
    </xf>
    <xf numFmtId="44" fontId="0" fillId="0" borderId="0" xfId="1" applyFont="1"/>
    <xf numFmtId="17" fontId="6" fillId="3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44" fontId="0" fillId="0" borderId="1" xfId="1" applyFont="1" applyBorder="1"/>
    <xf numFmtId="44" fontId="0" fillId="0" borderId="1" xfId="0" applyNumberFormat="1" applyBorder="1"/>
    <xf numFmtId="0" fontId="1" fillId="2" borderId="1" xfId="4" applyFont="1" applyFill="1" applyBorder="1" applyAlignment="1">
      <alignment horizontal="center" vertical="center" wrapText="1"/>
    </xf>
    <xf numFmtId="42" fontId="1" fillId="0" borderId="1" xfId="2" applyFont="1" applyBorder="1" applyAlignment="1">
      <alignment horizontal="center" vertical="center" wrapText="1"/>
    </xf>
    <xf numFmtId="0" fontId="1" fillId="0" borderId="1" xfId="4" applyFont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/>
    </xf>
    <xf numFmtId="15" fontId="7" fillId="2" borderId="1" xfId="0" applyNumberFormat="1" applyFont="1" applyFill="1" applyBorder="1" applyAlignment="1">
      <alignment horizontal="center" vertical="center" wrapText="1"/>
    </xf>
    <xf numFmtId="44" fontId="6" fillId="3" borderId="1" xfId="0" applyNumberFormat="1" applyFont="1" applyFill="1" applyBorder="1" applyAlignment="1">
      <alignment horizontal="center" vertical="center"/>
    </xf>
    <xf numFmtId="44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5" fontId="7" fillId="2" borderId="7" xfId="0" applyNumberFormat="1" applyFont="1" applyFill="1" applyBorder="1" applyAlignment="1">
      <alignment horizontal="left" vertical="center" wrapText="1"/>
    </xf>
    <xf numFmtId="164" fontId="6" fillId="3" borderId="7" xfId="0" applyNumberFormat="1" applyFont="1" applyFill="1" applyBorder="1" applyAlignment="1">
      <alignment vertical="center"/>
    </xf>
    <xf numFmtId="44" fontId="6" fillId="3" borderId="7" xfId="0" applyNumberFormat="1" applyFont="1" applyFill="1" applyBorder="1" applyAlignment="1">
      <alignment vertical="center"/>
    </xf>
    <xf numFmtId="44" fontId="6" fillId="2" borderId="7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5" fontId="7" fillId="2" borderId="7" xfId="0" applyNumberFormat="1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/>
    </xf>
    <xf numFmtId="44" fontId="6" fillId="3" borderId="7" xfId="0" applyNumberFormat="1" applyFont="1" applyFill="1" applyBorder="1" applyAlignment="1">
      <alignment horizontal="center" vertical="center"/>
    </xf>
    <xf numFmtId="44" fontId="6" fillId="2" borderId="7" xfId="0" applyNumberFormat="1" applyFont="1" applyFill="1" applyBorder="1" applyAlignment="1">
      <alignment horizontal="center" vertical="center"/>
    </xf>
    <xf numFmtId="44" fontId="1" fillId="0" borderId="1" xfId="1" applyFont="1" applyBorder="1" applyAlignment="1">
      <alignment horizontal="center" vertical="center" wrapText="1"/>
    </xf>
    <xf numFmtId="44" fontId="6" fillId="3" borderId="1" xfId="1" applyFont="1" applyFill="1" applyBorder="1" applyAlignment="1">
      <alignment horizontal="center" vertical="center"/>
    </xf>
    <xf numFmtId="44" fontId="6" fillId="2" borderId="1" xfId="1" applyFont="1" applyFill="1" applyBorder="1" applyAlignment="1">
      <alignment horizontal="center" vertical="center"/>
    </xf>
    <xf numFmtId="44" fontId="6" fillId="3" borderId="7" xfId="1" applyFont="1" applyFill="1" applyBorder="1" applyAlignment="1">
      <alignment vertical="center"/>
    </xf>
    <xf numFmtId="44" fontId="6" fillId="2" borderId="7" xfId="1" applyFont="1" applyFill="1" applyBorder="1" applyAlignment="1">
      <alignment vertical="center"/>
    </xf>
    <xf numFmtId="0" fontId="8" fillId="0" borderId="0" xfId="0" applyFont="1"/>
    <xf numFmtId="44" fontId="6" fillId="2" borderId="0" xfId="0" applyNumberFormat="1" applyFont="1" applyFill="1" applyAlignment="1">
      <alignment horizontal="center" vertical="center"/>
    </xf>
    <xf numFmtId="15" fontId="7" fillId="2" borderId="1" xfId="0" applyNumberFormat="1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vertical="center"/>
    </xf>
    <xf numFmtId="44" fontId="6" fillId="3" borderId="1" xfId="0" applyNumberFormat="1" applyFont="1" applyFill="1" applyBorder="1" applyAlignment="1">
      <alignment vertical="center"/>
    </xf>
    <xf numFmtId="44" fontId="6" fillId="2" borderId="1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44" fontId="8" fillId="0" borderId="1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44" fontId="8" fillId="0" borderId="0" xfId="0" applyNumberFormat="1" applyFont="1" applyAlignment="1">
      <alignment horizontal="center" wrapText="1"/>
    </xf>
    <xf numFmtId="44" fontId="8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1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17" fontId="5" fillId="3" borderId="1" xfId="0" applyNumberFormat="1" applyFont="1" applyFill="1" applyBorder="1" applyAlignment="1">
      <alignment horizontal="center" vertical="center"/>
    </xf>
    <xf numFmtId="15" fontId="10" fillId="2" borderId="1" xfId="0" applyNumberFormat="1" applyFont="1" applyFill="1" applyBorder="1" applyAlignment="1">
      <alignment horizontal="center" vertical="center" wrapText="1"/>
    </xf>
    <xf numFmtId="44" fontId="10" fillId="2" borderId="1" xfId="1" applyFont="1" applyFill="1" applyBorder="1" applyAlignment="1">
      <alignment horizontal="center" vertical="center"/>
    </xf>
    <xf numFmtId="15" fontId="10" fillId="2" borderId="7" xfId="0" applyNumberFormat="1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vertical="center"/>
    </xf>
    <xf numFmtId="44" fontId="1" fillId="0" borderId="0" xfId="1" applyFont="1" applyBorder="1" applyAlignment="1">
      <alignment horizontal="center" vertical="center" wrapText="1"/>
    </xf>
    <xf numFmtId="44" fontId="0" fillId="4" borderId="0" xfId="0" applyNumberFormat="1" applyFill="1" applyAlignment="1">
      <alignment vertical="center"/>
    </xf>
    <xf numFmtId="44" fontId="0" fillId="0" borderId="1" xfId="0" applyNumberFormat="1" applyBorder="1" applyAlignment="1">
      <alignment horizontal="center" vertical="center"/>
    </xf>
    <xf numFmtId="44" fontId="0" fillId="0" borderId="2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4" fontId="8" fillId="0" borderId="1" xfId="1" applyFont="1" applyBorder="1"/>
    <xf numFmtId="44" fontId="0" fillId="0" borderId="1" xfId="0" applyNumberForma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6">
    <cellStyle name="Moneda" xfId="1" builtinId="4"/>
    <cellStyle name="Moneda [0]" xfId="2" builtinId="7"/>
    <cellStyle name="Normal" xfId="0" builtinId="0"/>
    <cellStyle name="Normal 2" xfId="3" xr:uid="{F8749EB5-BE3F-4E49-B3E4-B3C664C05F35}"/>
    <cellStyle name="Normal 2 2" xfId="4" xr:uid="{72A23E6A-1142-4A27-8A3E-3B61796CB83D}"/>
    <cellStyle name="Normal 2 2 2" xfId="5" xr:uid="{EF3E0C01-4BBE-449F-B563-1043AF494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3F75-6F97-49EB-B12D-4FE34B19569F}">
  <dimension ref="A1:I23"/>
  <sheetViews>
    <sheetView workbookViewId="0">
      <selection activeCell="D23" sqref="D23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2.6640625" bestFit="1" customWidth="1"/>
    <col min="9" max="9" width="15.5546875" bestFit="1" customWidth="1"/>
  </cols>
  <sheetData>
    <row r="1" spans="1:9" x14ac:dyDescent="0.3">
      <c r="A1" s="78" t="s">
        <v>19</v>
      </c>
      <c r="B1" s="78"/>
      <c r="C1" s="78"/>
      <c r="D1" s="79"/>
    </row>
    <row r="2" spans="1:9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9" x14ac:dyDescent="0.3">
      <c r="A3" s="75" t="s">
        <v>15</v>
      </c>
      <c r="B3" s="76"/>
      <c r="C3" s="77"/>
      <c r="D3" s="7"/>
      <c r="F3" s="11"/>
    </row>
    <row r="4" spans="1:9" x14ac:dyDescent="0.3">
      <c r="A4" s="5"/>
      <c r="B4" s="5"/>
      <c r="C4" s="5"/>
      <c r="D4" s="5"/>
    </row>
    <row r="5" spans="1:9" x14ac:dyDescent="0.3">
      <c r="A5" s="80" t="s">
        <v>6</v>
      </c>
      <c r="B5" s="81"/>
      <c r="C5" s="81"/>
      <c r="D5" s="82"/>
    </row>
    <row r="6" spans="1:9" x14ac:dyDescent="0.3">
      <c r="A6" s="4" t="s">
        <v>5</v>
      </c>
      <c r="B6" s="4" t="s">
        <v>2</v>
      </c>
      <c r="C6" s="4" t="s">
        <v>1</v>
      </c>
      <c r="D6" s="4" t="s">
        <v>0</v>
      </c>
      <c r="G6" s="11"/>
    </row>
    <row r="7" spans="1:9" x14ac:dyDescent="0.3">
      <c r="A7" s="4" t="s">
        <v>25</v>
      </c>
      <c r="B7" s="4" t="s">
        <v>30</v>
      </c>
      <c r="C7" s="4">
        <v>324</v>
      </c>
      <c r="D7" s="14">
        <v>34632854.560000002</v>
      </c>
    </row>
    <row r="8" spans="1:9" x14ac:dyDescent="0.3">
      <c r="A8" s="75" t="s">
        <v>16</v>
      </c>
      <c r="B8" s="76"/>
      <c r="C8" s="77"/>
      <c r="D8" s="7">
        <f>SUM(D7:D7)</f>
        <v>34632854.560000002</v>
      </c>
    </row>
    <row r="10" spans="1:9" x14ac:dyDescent="0.3">
      <c r="A10" s="80" t="s">
        <v>17</v>
      </c>
      <c r="B10" s="81"/>
      <c r="C10" s="81"/>
      <c r="D10" s="81"/>
      <c r="E10" s="81"/>
      <c r="F10" s="81"/>
      <c r="G10" s="81"/>
      <c r="H10" s="81"/>
      <c r="I10" s="82"/>
    </row>
    <row r="11" spans="1:9" s="5" customFormat="1" ht="28.8" x14ac:dyDescent="0.3">
      <c r="A11" s="4" t="s">
        <v>3</v>
      </c>
      <c r="B11" s="4" t="s">
        <v>14</v>
      </c>
      <c r="C11" s="16" t="s">
        <v>7</v>
      </c>
      <c r="D11" s="16" t="s">
        <v>8</v>
      </c>
      <c r="E11" s="17" t="s">
        <v>9</v>
      </c>
      <c r="F11" s="18" t="s">
        <v>10</v>
      </c>
      <c r="G11" s="18" t="s">
        <v>11</v>
      </c>
      <c r="H11" s="18" t="s">
        <v>12</v>
      </c>
      <c r="I11" s="18" t="s">
        <v>13</v>
      </c>
    </row>
    <row r="12" spans="1:9" x14ac:dyDescent="0.3">
      <c r="A12" s="75" t="s">
        <v>15</v>
      </c>
      <c r="B12" s="76"/>
      <c r="C12" s="76"/>
      <c r="D12" s="76"/>
      <c r="E12" s="76"/>
      <c r="F12" s="76"/>
      <c r="G12" s="76"/>
      <c r="H12" s="77"/>
      <c r="I12" s="8"/>
    </row>
    <row r="14" spans="1:9" x14ac:dyDescent="0.3">
      <c r="F14" s="13"/>
    </row>
    <row r="15" spans="1:9" x14ac:dyDescent="0.3">
      <c r="D15" s="3" t="s">
        <v>21</v>
      </c>
      <c r="E15" s="15">
        <f>D3</f>
        <v>0</v>
      </c>
      <c r="F15" s="13"/>
    </row>
    <row r="16" spans="1:9" x14ac:dyDescent="0.3">
      <c r="A16" s="9" t="s">
        <v>18</v>
      </c>
      <c r="B16" s="6">
        <f>D3+D8+I12</f>
        <v>34632854.560000002</v>
      </c>
      <c r="C16" s="13"/>
      <c r="D16" s="3" t="s">
        <v>22</v>
      </c>
      <c r="E16" s="15">
        <f>D8</f>
        <v>34632854.560000002</v>
      </c>
      <c r="F16" s="13"/>
    </row>
    <row r="17" spans="2:5" x14ac:dyDescent="0.3">
      <c r="D17" s="3" t="s">
        <v>23</v>
      </c>
      <c r="E17" s="15">
        <f>I12</f>
        <v>0</v>
      </c>
    </row>
    <row r="21" spans="2:5" x14ac:dyDescent="0.3">
      <c r="B21" s="11" t="e">
        <f>E16+ANI!D3+ANI!#REF!+ANI!#REF!+ANI!#REF!+D23</f>
        <v>#REF!</v>
      </c>
      <c r="D21" s="13" t="e">
        <f>B22-B21</f>
        <v>#REF!</v>
      </c>
    </row>
    <row r="22" spans="2:5" x14ac:dyDescent="0.3">
      <c r="B22" s="11">
        <v>85744842.680000007</v>
      </c>
    </row>
    <row r="23" spans="2:5" x14ac:dyDescent="0.3">
      <c r="D23" s="11">
        <v>1574619.6085938364</v>
      </c>
    </row>
  </sheetData>
  <mergeCells count="6">
    <mergeCell ref="A12:H12"/>
    <mergeCell ref="A1:D1"/>
    <mergeCell ref="A3:C3"/>
    <mergeCell ref="A5:D5"/>
    <mergeCell ref="A8:C8"/>
    <mergeCell ref="A10:I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9A448-9DE4-4566-9805-547703ADFA6A}">
  <dimension ref="A1:J30"/>
  <sheetViews>
    <sheetView showGridLines="0" topLeftCell="A8" workbookViewId="0">
      <selection activeCell="B25" sqref="B25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2.6640625" bestFit="1" customWidth="1"/>
    <col min="9" max="9" width="19" customWidth="1"/>
    <col min="10" max="10" width="27.21875" customWidth="1"/>
  </cols>
  <sheetData>
    <row r="1" spans="1:10" x14ac:dyDescent="0.3">
      <c r="A1" s="78" t="s">
        <v>19</v>
      </c>
      <c r="B1" s="78"/>
      <c r="C1" s="78"/>
      <c r="D1" s="79"/>
    </row>
    <row r="2" spans="1:10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0" x14ac:dyDescent="0.3">
      <c r="A3" s="4" t="s">
        <v>4</v>
      </c>
      <c r="B3" s="4" t="s">
        <v>44</v>
      </c>
      <c r="C3" s="4" t="s">
        <v>37</v>
      </c>
      <c r="D3" s="10">
        <v>19178664.062184878</v>
      </c>
    </row>
    <row r="4" spans="1:10" x14ac:dyDescent="0.3">
      <c r="A4" s="75" t="s">
        <v>15</v>
      </c>
      <c r="B4" s="76"/>
      <c r="C4" s="77"/>
      <c r="D4" s="7">
        <f>D3</f>
        <v>19178664.062184878</v>
      </c>
      <c r="F4" s="11"/>
    </row>
    <row r="5" spans="1:10" x14ac:dyDescent="0.3">
      <c r="A5" s="5"/>
      <c r="B5" s="5"/>
      <c r="C5" s="5"/>
      <c r="D5" s="5"/>
    </row>
    <row r="6" spans="1:10" x14ac:dyDescent="0.3">
      <c r="A6" s="80" t="s">
        <v>6</v>
      </c>
      <c r="B6" s="81"/>
      <c r="C6" s="81"/>
      <c r="D6" s="82"/>
    </row>
    <row r="7" spans="1:10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10" x14ac:dyDescent="0.3">
      <c r="A8" s="4" t="s">
        <v>25</v>
      </c>
      <c r="B8" s="4" t="s">
        <v>44</v>
      </c>
      <c r="C8" s="4">
        <v>361</v>
      </c>
      <c r="D8" s="14">
        <v>24945995.579999998</v>
      </c>
    </row>
    <row r="9" spans="1:10" x14ac:dyDescent="0.3">
      <c r="A9" s="4" t="s">
        <v>4</v>
      </c>
      <c r="B9" s="4" t="s">
        <v>44</v>
      </c>
      <c r="C9" s="4" t="s">
        <v>45</v>
      </c>
      <c r="D9" s="14">
        <v>6341301.9424343035</v>
      </c>
    </row>
    <row r="10" spans="1:10" x14ac:dyDescent="0.3">
      <c r="A10" s="75" t="s">
        <v>16</v>
      </c>
      <c r="B10" s="76"/>
      <c r="C10" s="77"/>
      <c r="D10" s="7">
        <f>SUM(D8:D9)</f>
        <v>31287297.522434302</v>
      </c>
    </row>
    <row r="12" spans="1:10" x14ac:dyDescent="0.3">
      <c r="A12" s="80" t="s">
        <v>17</v>
      </c>
      <c r="B12" s="81"/>
      <c r="C12" s="81"/>
      <c r="D12" s="81"/>
      <c r="E12" s="81"/>
      <c r="F12" s="81"/>
      <c r="G12" s="81"/>
      <c r="H12" s="81"/>
      <c r="I12" s="82"/>
    </row>
    <row r="13" spans="1:10" s="5" customFormat="1" ht="28.8" x14ac:dyDescent="0.3">
      <c r="A13" s="4" t="s">
        <v>3</v>
      </c>
      <c r="B13" s="4" t="s">
        <v>14</v>
      </c>
      <c r="C13" s="16" t="s">
        <v>7</v>
      </c>
      <c r="D13" s="16" t="s">
        <v>8</v>
      </c>
      <c r="E13" s="17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4" t="s">
        <v>48</v>
      </c>
    </row>
    <row r="14" spans="1:10" s="5" customFormat="1" ht="24" x14ac:dyDescent="0.3">
      <c r="A14" s="4" t="s">
        <v>26</v>
      </c>
      <c r="B14" s="29">
        <v>353</v>
      </c>
      <c r="C14" s="12" t="s">
        <v>38</v>
      </c>
      <c r="D14" s="20" t="s">
        <v>27</v>
      </c>
      <c r="E14" s="24">
        <v>5819710.7800000003</v>
      </c>
      <c r="F14" s="21">
        <v>929197.51949579827</v>
      </c>
      <c r="G14" s="21">
        <v>4890513.260504202</v>
      </c>
      <c r="H14" s="22">
        <v>19562</v>
      </c>
      <c r="I14" s="22">
        <v>4870951.260504202</v>
      </c>
      <c r="J14" s="4"/>
    </row>
    <row r="15" spans="1:10" s="5" customFormat="1" ht="24" x14ac:dyDescent="0.3">
      <c r="A15" s="4" t="s">
        <v>26</v>
      </c>
      <c r="B15" s="29">
        <v>355</v>
      </c>
      <c r="C15" s="12" t="s">
        <v>38</v>
      </c>
      <c r="D15" s="20" t="s">
        <v>28</v>
      </c>
      <c r="E15" s="24">
        <v>3090399.06</v>
      </c>
      <c r="F15" s="21">
        <v>493425.06</v>
      </c>
      <c r="G15" s="21">
        <f t="shared" ref="G15" si="0">+E15-F15</f>
        <v>2596974</v>
      </c>
      <c r="H15" s="22">
        <f t="shared" ref="H15" si="1">ROUND(G15*0.004,0)</f>
        <v>10388</v>
      </c>
      <c r="I15" s="22">
        <v>2239217.5816678852</v>
      </c>
      <c r="J15" s="4"/>
    </row>
    <row r="16" spans="1:10" s="5" customFormat="1" ht="28.8" x14ac:dyDescent="0.3">
      <c r="A16" s="4" t="s">
        <v>26</v>
      </c>
      <c r="B16" s="29">
        <v>354</v>
      </c>
      <c r="C16" s="12" t="s">
        <v>38</v>
      </c>
      <c r="D16" s="20" t="s">
        <v>29</v>
      </c>
      <c r="E16" s="24">
        <v>5201728</v>
      </c>
      <c r="F16" s="21">
        <v>830528</v>
      </c>
      <c r="G16" s="21">
        <v>4371200</v>
      </c>
      <c r="H16" s="22">
        <v>17485</v>
      </c>
      <c r="I16" s="22">
        <v>3954701.604217127</v>
      </c>
      <c r="J16" s="46" t="s">
        <v>49</v>
      </c>
    </row>
    <row r="17" spans="1:10" s="5" customFormat="1" ht="48" x14ac:dyDescent="0.3">
      <c r="A17" s="4" t="s">
        <v>20</v>
      </c>
      <c r="B17" s="29">
        <v>356</v>
      </c>
      <c r="C17" s="12" t="s">
        <v>38</v>
      </c>
      <c r="D17" s="41" t="s">
        <v>24</v>
      </c>
      <c r="E17" s="42">
        <v>42282998.127999999</v>
      </c>
      <c r="F17" s="27">
        <v>6751066.9279999956</v>
      </c>
      <c r="G17" s="43">
        <v>35531931.200000003</v>
      </c>
      <c r="H17" s="44">
        <v>142128</v>
      </c>
      <c r="I17" s="44">
        <v>35389803.200000003</v>
      </c>
      <c r="J17" s="4"/>
    </row>
    <row r="18" spans="1:10" s="5" customFormat="1" ht="24" x14ac:dyDescent="0.3">
      <c r="A18" s="4" t="s">
        <v>47</v>
      </c>
      <c r="B18" s="29">
        <v>358</v>
      </c>
      <c r="C18" s="12" t="s">
        <v>38</v>
      </c>
      <c r="D18" s="41" t="s">
        <v>46</v>
      </c>
      <c r="E18" s="42">
        <v>29371348.52</v>
      </c>
      <c r="F18" s="43">
        <v>4689543.0410084017</v>
      </c>
      <c r="G18" s="43">
        <v>24681805.478991598</v>
      </c>
      <c r="H18" s="44">
        <v>98727</v>
      </c>
      <c r="I18" s="44">
        <v>24583078.478991598</v>
      </c>
      <c r="J18" s="4"/>
    </row>
    <row r="19" spans="1:10" x14ac:dyDescent="0.3">
      <c r="A19" s="75" t="s">
        <v>15</v>
      </c>
      <c r="B19" s="76"/>
      <c r="C19" s="76"/>
      <c r="D19" s="76"/>
      <c r="E19" s="76"/>
      <c r="F19" s="76"/>
      <c r="G19" s="76"/>
      <c r="H19" s="77"/>
      <c r="I19" s="8">
        <f>SUM(I14:I18)</f>
        <v>71037752.125380814</v>
      </c>
    </row>
    <row r="20" spans="1:10" x14ac:dyDescent="0.3">
      <c r="B20" s="39"/>
    </row>
    <row r="21" spans="1:10" x14ac:dyDescent="0.3">
      <c r="F21" s="13"/>
    </row>
    <row r="22" spans="1:10" x14ac:dyDescent="0.3">
      <c r="D22" s="3" t="s">
        <v>21</v>
      </c>
      <c r="E22" s="15">
        <f>D4</f>
        <v>19178664.062184878</v>
      </c>
      <c r="F22" s="13"/>
    </row>
    <row r="23" spans="1:10" x14ac:dyDescent="0.3">
      <c r="A23" s="9" t="s">
        <v>18</v>
      </c>
      <c r="B23" s="6">
        <f>D4+D10+I19</f>
        <v>121503713.70999999</v>
      </c>
      <c r="C23" s="13"/>
      <c r="D23" s="3" t="s">
        <v>22</v>
      </c>
      <c r="E23" s="15">
        <f>D10</f>
        <v>31287297.522434302</v>
      </c>
      <c r="F23" s="13"/>
      <c r="I23" s="40"/>
    </row>
    <row r="24" spans="1:10" x14ac:dyDescent="0.3">
      <c r="D24" s="3" t="s">
        <v>23</v>
      </c>
      <c r="E24" s="15">
        <f>I19</f>
        <v>71037752.125380814</v>
      </c>
    </row>
    <row r="26" spans="1:10" x14ac:dyDescent="0.3">
      <c r="F26" s="11"/>
    </row>
    <row r="27" spans="1:10" ht="15.6" x14ac:dyDescent="0.3">
      <c r="C27" s="11"/>
      <c r="D27" s="45"/>
      <c r="E27" s="13"/>
    </row>
    <row r="28" spans="1:10" x14ac:dyDescent="0.3">
      <c r="C28" s="11"/>
    </row>
    <row r="29" spans="1:10" x14ac:dyDescent="0.3">
      <c r="C29" s="13"/>
    </row>
    <row r="30" spans="1:10" x14ac:dyDescent="0.3">
      <c r="C30" s="13"/>
    </row>
  </sheetData>
  <mergeCells count="6">
    <mergeCell ref="A19:H19"/>
    <mergeCell ref="A1:D1"/>
    <mergeCell ref="A4:C4"/>
    <mergeCell ref="A6:D6"/>
    <mergeCell ref="A10:C10"/>
    <mergeCell ref="A12:I12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6232-7D93-49DB-8B3E-EF5906D654CB}">
  <dimension ref="A1:I29"/>
  <sheetViews>
    <sheetView topLeftCell="A7" workbookViewId="0">
      <selection activeCell="B24" sqref="B24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2.6640625" bestFit="1" customWidth="1"/>
    <col min="9" max="9" width="15.33203125" bestFit="1" customWidth="1"/>
  </cols>
  <sheetData>
    <row r="1" spans="1:9" x14ac:dyDescent="0.3">
      <c r="A1" s="78" t="s">
        <v>19</v>
      </c>
      <c r="B1" s="78"/>
      <c r="C1" s="78"/>
      <c r="D1" s="79"/>
    </row>
    <row r="2" spans="1:9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9" x14ac:dyDescent="0.3">
      <c r="A3" s="4" t="s">
        <v>4</v>
      </c>
      <c r="B3" s="4" t="s">
        <v>36</v>
      </c>
      <c r="C3" s="4" t="s">
        <v>37</v>
      </c>
      <c r="D3" s="10">
        <v>19178664.062184878</v>
      </c>
    </row>
    <row r="4" spans="1:9" x14ac:dyDescent="0.3">
      <c r="A4" s="75" t="s">
        <v>15</v>
      </c>
      <c r="B4" s="76"/>
      <c r="C4" s="77"/>
      <c r="D4" s="7">
        <f>+D3</f>
        <v>19178664.062184878</v>
      </c>
      <c r="F4" s="11"/>
    </row>
    <row r="5" spans="1:9" x14ac:dyDescent="0.3">
      <c r="A5" s="5"/>
      <c r="B5" s="5"/>
      <c r="C5" s="5"/>
      <c r="D5" s="5"/>
    </row>
    <row r="6" spans="1:9" x14ac:dyDescent="0.3">
      <c r="A6" s="84" t="s">
        <v>6</v>
      </c>
      <c r="B6" s="84"/>
      <c r="C6" s="84"/>
      <c r="D6" s="84"/>
    </row>
    <row r="7" spans="1:9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9" x14ac:dyDescent="0.3">
      <c r="A8" s="4" t="s">
        <v>4</v>
      </c>
      <c r="B8" s="4" t="s">
        <v>36</v>
      </c>
      <c r="C8" s="4" t="s">
        <v>37</v>
      </c>
      <c r="D8" s="14">
        <v>6341301.9424343035</v>
      </c>
      <c r="G8" s="11"/>
    </row>
    <row r="9" spans="1:9" x14ac:dyDescent="0.3">
      <c r="A9" s="4" t="s">
        <v>25</v>
      </c>
      <c r="B9" s="4" t="s">
        <v>36</v>
      </c>
      <c r="C9" s="4">
        <v>361</v>
      </c>
      <c r="D9" s="14">
        <v>24945995.579999998</v>
      </c>
    </row>
    <row r="10" spans="1:9" x14ac:dyDescent="0.3">
      <c r="A10" s="75" t="s">
        <v>16</v>
      </c>
      <c r="B10" s="76"/>
      <c r="C10" s="77"/>
      <c r="D10" s="7">
        <f>SUM(D8:D9)</f>
        <v>31287297.522434302</v>
      </c>
    </row>
    <row r="12" spans="1:9" x14ac:dyDescent="0.3">
      <c r="A12" s="84" t="s">
        <v>17</v>
      </c>
      <c r="B12" s="84"/>
      <c r="C12" s="84"/>
      <c r="D12" s="84"/>
      <c r="E12" s="84"/>
      <c r="F12" s="84"/>
      <c r="G12" s="84"/>
      <c r="H12" s="84"/>
      <c r="I12" s="84"/>
    </row>
    <row r="13" spans="1:9" s="5" customFormat="1" ht="28.8" x14ac:dyDescent="0.3">
      <c r="A13" s="4" t="s">
        <v>3</v>
      </c>
      <c r="B13" s="4" t="s">
        <v>14</v>
      </c>
      <c r="C13" s="16" t="s">
        <v>7</v>
      </c>
      <c r="D13" s="16" t="s">
        <v>8</v>
      </c>
      <c r="E13" s="17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</row>
    <row r="14" spans="1:9" s="5" customFormat="1" ht="24" x14ac:dyDescent="0.3">
      <c r="A14" s="4" t="s">
        <v>26</v>
      </c>
      <c r="B14" s="29">
        <v>353</v>
      </c>
      <c r="C14" s="12" t="s">
        <v>38</v>
      </c>
      <c r="D14" s="20" t="s">
        <v>27</v>
      </c>
      <c r="E14" s="24">
        <v>5819710.7800000003</v>
      </c>
      <c r="F14" s="21">
        <v>929197.51949579827</v>
      </c>
      <c r="G14" s="21">
        <v>4890513.260504202</v>
      </c>
      <c r="H14" s="22">
        <v>19562</v>
      </c>
      <c r="I14" s="22">
        <v>4870951.260504202</v>
      </c>
    </row>
    <row r="15" spans="1:9" s="5" customFormat="1" ht="24" x14ac:dyDescent="0.3">
      <c r="A15" s="4" t="s">
        <v>26</v>
      </c>
      <c r="B15" s="29">
        <v>355</v>
      </c>
      <c r="C15" s="12" t="s">
        <v>38</v>
      </c>
      <c r="D15" s="20" t="s">
        <v>28</v>
      </c>
      <c r="E15" s="24">
        <v>3090399.06</v>
      </c>
      <c r="F15" s="21">
        <v>493425.06</v>
      </c>
      <c r="G15" s="21">
        <f t="shared" ref="G15" si="0">+E15-F15</f>
        <v>2596974</v>
      </c>
      <c r="H15" s="22">
        <f t="shared" ref="H15" si="1">ROUND(G15*0.004,0)</f>
        <v>10388</v>
      </c>
      <c r="I15" s="22">
        <f t="shared" ref="I15" si="2">G15-H15</f>
        <v>2586586</v>
      </c>
    </row>
    <row r="16" spans="1:9" s="5" customFormat="1" ht="24" x14ac:dyDescent="0.3">
      <c r="A16" s="4" t="s">
        <v>26</v>
      </c>
      <c r="B16" s="29">
        <v>354</v>
      </c>
      <c r="C16" s="12" t="s">
        <v>38</v>
      </c>
      <c r="D16" s="20" t="s">
        <v>29</v>
      </c>
      <c r="E16" s="24">
        <v>5201728</v>
      </c>
      <c r="F16" s="21">
        <v>830528</v>
      </c>
      <c r="G16" s="21">
        <v>4371200</v>
      </c>
      <c r="H16" s="22">
        <v>17485</v>
      </c>
      <c r="I16" s="22">
        <v>4353715</v>
      </c>
    </row>
    <row r="17" spans="1:9" s="1" customFormat="1" ht="48" x14ac:dyDescent="0.3">
      <c r="A17" s="4" t="s">
        <v>20</v>
      </c>
      <c r="B17" s="29">
        <v>356</v>
      </c>
      <c r="C17" s="12" t="s">
        <v>38</v>
      </c>
      <c r="D17" s="20" t="s">
        <v>24</v>
      </c>
      <c r="E17" s="19">
        <v>42282998.127999999</v>
      </c>
      <c r="F17" s="21">
        <v>6751066.9279999956</v>
      </c>
      <c r="G17" s="21">
        <v>35531931.200000003</v>
      </c>
      <c r="H17" s="22">
        <v>142128</v>
      </c>
      <c r="I17" s="22">
        <v>35389803.200000003</v>
      </c>
    </row>
    <row r="18" spans="1:9" s="1" customFormat="1" ht="24" x14ac:dyDescent="0.3">
      <c r="A18" s="4" t="s">
        <v>34</v>
      </c>
      <c r="B18" s="29">
        <v>358</v>
      </c>
      <c r="C18" s="12" t="s">
        <v>38</v>
      </c>
      <c r="D18" s="25" t="s">
        <v>35</v>
      </c>
      <c r="E18" s="26">
        <v>29371348.52</v>
      </c>
      <c r="F18" s="27">
        <v>4689543.04</v>
      </c>
      <c r="G18" s="27">
        <f t="shared" ref="G18" si="3">+E18-F18</f>
        <v>24681805.48</v>
      </c>
      <c r="H18" s="28">
        <f t="shared" ref="H18" si="4">ROUND(G18*0.004,0)</f>
        <v>98727</v>
      </c>
      <c r="I18" s="28">
        <f t="shared" ref="I18" si="5">G18-H18</f>
        <v>24583078.48</v>
      </c>
    </row>
    <row r="19" spans="1:9" x14ac:dyDescent="0.3">
      <c r="A19" s="83" t="s">
        <v>15</v>
      </c>
      <c r="B19" s="83"/>
      <c r="C19" s="83"/>
      <c r="D19" s="83"/>
      <c r="E19" s="83"/>
      <c r="F19" s="83"/>
      <c r="G19" s="83"/>
      <c r="H19" s="83"/>
      <c r="I19" s="8">
        <f>SUM(I14:I18)</f>
        <v>71784133.940504208</v>
      </c>
    </row>
    <row r="21" spans="1:9" x14ac:dyDescent="0.3">
      <c r="F21" s="13"/>
    </row>
    <row r="22" spans="1:9" x14ac:dyDescent="0.3">
      <c r="D22" s="3" t="s">
        <v>21</v>
      </c>
      <c r="E22" s="15">
        <f>D4</f>
        <v>19178664.062184878</v>
      </c>
      <c r="F22" s="13"/>
    </row>
    <row r="23" spans="1:9" x14ac:dyDescent="0.3">
      <c r="A23" s="9" t="s">
        <v>18</v>
      </c>
      <c r="B23" s="6">
        <f>D4+D10+I19</f>
        <v>122250095.52512339</v>
      </c>
      <c r="C23" s="13"/>
      <c r="D23" s="3" t="s">
        <v>22</v>
      </c>
      <c r="E23" s="15">
        <f>D10</f>
        <v>31287297.522434302</v>
      </c>
      <c r="F23" s="13"/>
    </row>
    <row r="24" spans="1:9" x14ac:dyDescent="0.3">
      <c r="D24" s="3" t="s">
        <v>23</v>
      </c>
      <c r="E24" s="15">
        <f>I19</f>
        <v>71784133.940504208</v>
      </c>
    </row>
    <row r="29" spans="1:9" x14ac:dyDescent="0.3">
      <c r="C29" s="13"/>
    </row>
  </sheetData>
  <mergeCells count="6">
    <mergeCell ref="A19:H19"/>
    <mergeCell ref="A1:D1"/>
    <mergeCell ref="A4:C4"/>
    <mergeCell ref="A6:D6"/>
    <mergeCell ref="A10:C10"/>
    <mergeCell ref="A12:I1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8379-1079-48E7-9404-28EDB56575AC}">
  <dimension ref="A1:J34"/>
  <sheetViews>
    <sheetView showGridLines="0" topLeftCell="A13" workbookViewId="0">
      <selection activeCell="B13" sqref="B13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4.33203125" bestFit="1" customWidth="1"/>
    <col min="9" max="9" width="15.33203125" bestFit="1" customWidth="1"/>
    <col min="10" max="10" width="24.21875" style="39" customWidth="1"/>
  </cols>
  <sheetData>
    <row r="1" spans="1:10" x14ac:dyDescent="0.3">
      <c r="A1" s="78" t="s">
        <v>19</v>
      </c>
      <c r="B1" s="78"/>
      <c r="C1" s="78"/>
      <c r="D1" s="79"/>
    </row>
    <row r="2" spans="1:10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0" x14ac:dyDescent="0.3">
      <c r="A3" s="4" t="s">
        <v>4</v>
      </c>
      <c r="B3" s="4" t="s">
        <v>39</v>
      </c>
      <c r="C3" s="4" t="s">
        <v>41</v>
      </c>
      <c r="D3" s="10">
        <v>18142698.74789916</v>
      </c>
    </row>
    <row r="4" spans="1:10" x14ac:dyDescent="0.3">
      <c r="A4" s="75" t="s">
        <v>15</v>
      </c>
      <c r="B4" s="76"/>
      <c r="C4" s="77"/>
      <c r="D4" s="7">
        <f>+D3</f>
        <v>18142698.74789916</v>
      </c>
      <c r="F4" s="11"/>
    </row>
    <row r="5" spans="1:10" x14ac:dyDescent="0.3">
      <c r="A5" s="5"/>
      <c r="B5" s="5"/>
      <c r="C5" s="5"/>
      <c r="D5" s="5"/>
    </row>
    <row r="6" spans="1:10" x14ac:dyDescent="0.3">
      <c r="A6" s="84" t="s">
        <v>6</v>
      </c>
      <c r="B6" s="84"/>
      <c r="C6" s="84"/>
      <c r="D6" s="84"/>
    </row>
    <row r="7" spans="1:10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10" x14ac:dyDescent="0.3">
      <c r="A8" s="4" t="s">
        <v>4</v>
      </c>
      <c r="B8" s="4" t="s">
        <v>40</v>
      </c>
      <c r="C8" s="4" t="s">
        <v>41</v>
      </c>
      <c r="D8" s="14">
        <v>6723368.6372785755</v>
      </c>
      <c r="G8" s="11"/>
    </row>
    <row r="9" spans="1:10" x14ac:dyDescent="0.3">
      <c r="A9" s="4" t="s">
        <v>25</v>
      </c>
      <c r="B9" s="4" t="s">
        <v>40</v>
      </c>
      <c r="C9" s="4">
        <v>378</v>
      </c>
      <c r="D9" s="14">
        <v>29589875.719999999</v>
      </c>
    </row>
    <row r="10" spans="1:10" x14ac:dyDescent="0.3">
      <c r="A10" s="75" t="s">
        <v>16</v>
      </c>
      <c r="B10" s="76"/>
      <c r="C10" s="77"/>
      <c r="D10" s="7">
        <f>SUM(D8:D9)</f>
        <v>36313244.357278571</v>
      </c>
    </row>
    <row r="12" spans="1:10" x14ac:dyDescent="0.3">
      <c r="A12" s="84" t="s">
        <v>17</v>
      </c>
      <c r="B12" s="84"/>
      <c r="C12" s="84"/>
      <c r="D12" s="84"/>
      <c r="E12" s="84"/>
      <c r="F12" s="84"/>
      <c r="G12" s="84"/>
      <c r="H12" s="84"/>
      <c r="I12" s="84"/>
    </row>
    <row r="13" spans="1:10" s="5" customFormat="1" ht="28.8" x14ac:dyDescent="0.3">
      <c r="A13" s="4" t="s">
        <v>3</v>
      </c>
      <c r="B13" s="4" t="s">
        <v>14</v>
      </c>
      <c r="C13" s="16" t="s">
        <v>7</v>
      </c>
      <c r="D13" s="16" t="s">
        <v>8</v>
      </c>
      <c r="E13" s="17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47"/>
    </row>
    <row r="14" spans="1:10" s="1" customFormat="1" ht="48" x14ac:dyDescent="0.3">
      <c r="A14" s="4" t="s">
        <v>20</v>
      </c>
      <c r="B14" s="23">
        <v>366</v>
      </c>
      <c r="C14" s="12" t="s">
        <v>42</v>
      </c>
      <c r="D14" s="20" t="s">
        <v>24</v>
      </c>
      <c r="E14" s="19">
        <v>42282998.127999999</v>
      </c>
      <c r="F14" s="21">
        <v>6751066.9279999956</v>
      </c>
      <c r="G14" s="21">
        <v>35531931.200000003</v>
      </c>
      <c r="H14" s="22">
        <v>142128</v>
      </c>
      <c r="I14" s="22">
        <v>35389803.200000003</v>
      </c>
      <c r="J14" s="48"/>
    </row>
    <row r="15" spans="1:10" s="1" customFormat="1" ht="24" x14ac:dyDescent="0.3">
      <c r="A15" s="4" t="s">
        <v>34</v>
      </c>
      <c r="B15" s="23">
        <v>367</v>
      </c>
      <c r="C15" s="12" t="s">
        <v>42</v>
      </c>
      <c r="D15" s="30" t="s">
        <v>35</v>
      </c>
      <c r="E15" s="31">
        <v>29371348.52</v>
      </c>
      <c r="F15" s="32">
        <v>4689543.04</v>
      </c>
      <c r="G15" s="32">
        <f t="shared" ref="G15" si="0">+E15-F15</f>
        <v>24681805.48</v>
      </c>
      <c r="H15" s="33">
        <f t="shared" ref="H15" si="1">ROUND(G15*0.004,0)</f>
        <v>98727</v>
      </c>
      <c r="I15" s="33">
        <f t="shared" ref="I15" si="2">G15-H15</f>
        <v>24583078.48</v>
      </c>
      <c r="J15" s="48"/>
    </row>
    <row r="16" spans="1:10" s="1" customFormat="1" ht="24" x14ac:dyDescent="0.3">
      <c r="A16" s="4" t="s">
        <v>26</v>
      </c>
      <c r="B16" s="23">
        <v>368</v>
      </c>
      <c r="C16" s="12" t="s">
        <v>50</v>
      </c>
      <c r="D16" s="30" t="s">
        <v>27</v>
      </c>
      <c r="E16" s="31">
        <v>5819710.7800000003</v>
      </c>
      <c r="F16" s="32">
        <v>929197.51949579827</v>
      </c>
      <c r="G16" s="32">
        <v>4890513.260504202</v>
      </c>
      <c r="H16" s="33">
        <v>19562</v>
      </c>
      <c r="I16" s="33">
        <v>4870951.260504202</v>
      </c>
      <c r="J16" s="48"/>
    </row>
    <row r="17" spans="1:10" s="1" customFormat="1" ht="24" x14ac:dyDescent="0.3">
      <c r="A17" s="4" t="s">
        <v>26</v>
      </c>
      <c r="B17" s="23">
        <v>369</v>
      </c>
      <c r="C17" s="12" t="s">
        <v>50</v>
      </c>
      <c r="D17" s="30" t="s">
        <v>29</v>
      </c>
      <c r="E17" s="31">
        <v>5201728</v>
      </c>
      <c r="F17" s="32">
        <v>830528</v>
      </c>
      <c r="G17" s="32">
        <v>4371200</v>
      </c>
      <c r="H17" s="33">
        <v>17485</v>
      </c>
      <c r="I17" s="33">
        <v>4353715</v>
      </c>
      <c r="J17" s="48"/>
    </row>
    <row r="18" spans="1:10" s="1" customFormat="1" ht="24" x14ac:dyDescent="0.3">
      <c r="A18" s="4" t="s">
        <v>26</v>
      </c>
      <c r="B18" s="23">
        <v>370</v>
      </c>
      <c r="C18" s="12" t="s">
        <v>50</v>
      </c>
      <c r="D18" s="30" t="s">
        <v>28</v>
      </c>
      <c r="E18" s="31">
        <v>3090399.06</v>
      </c>
      <c r="F18" s="32">
        <v>493425.06000000006</v>
      </c>
      <c r="G18" s="32">
        <v>2596974</v>
      </c>
      <c r="H18" s="33">
        <v>10388</v>
      </c>
      <c r="I18" s="33">
        <v>2586586</v>
      </c>
      <c r="J18" s="48"/>
    </row>
    <row r="19" spans="1:10" s="1" customFormat="1" ht="43.2" customHeight="1" x14ac:dyDescent="0.3">
      <c r="A19" s="4" t="s">
        <v>26</v>
      </c>
      <c r="B19" s="23">
        <v>354</v>
      </c>
      <c r="C19" s="12"/>
      <c r="D19" s="30"/>
      <c r="E19" s="31"/>
      <c r="F19" s="32"/>
      <c r="G19" s="32"/>
      <c r="H19" s="33"/>
      <c r="I19" s="33">
        <v>399013.4</v>
      </c>
      <c r="J19" s="49" t="s">
        <v>51</v>
      </c>
    </row>
    <row r="20" spans="1:10" s="1" customFormat="1" ht="43.2" customHeight="1" x14ac:dyDescent="0.3">
      <c r="A20" s="4" t="s">
        <v>26</v>
      </c>
      <c r="B20" s="23">
        <v>383</v>
      </c>
      <c r="C20" s="12" t="s">
        <v>52</v>
      </c>
      <c r="D20" s="30" t="s">
        <v>27</v>
      </c>
      <c r="E20" s="31">
        <v>5819710.7800000003</v>
      </c>
      <c r="F20" s="32">
        <v>929197.51949579827</v>
      </c>
      <c r="G20" s="32">
        <v>4890513.260504202</v>
      </c>
      <c r="H20" s="33">
        <v>19562</v>
      </c>
      <c r="I20" s="33">
        <v>4870951.260504202</v>
      </c>
      <c r="J20" s="49"/>
    </row>
    <row r="21" spans="1:10" s="1" customFormat="1" ht="43.2" customHeight="1" x14ac:dyDescent="0.3">
      <c r="A21" s="4" t="s">
        <v>26</v>
      </c>
      <c r="B21" s="23">
        <v>384</v>
      </c>
      <c r="C21" s="12" t="s">
        <v>52</v>
      </c>
      <c r="D21" s="30" t="s">
        <v>29</v>
      </c>
      <c r="E21" s="31">
        <v>5201728</v>
      </c>
      <c r="F21" s="32">
        <v>830528</v>
      </c>
      <c r="G21" s="32">
        <v>4371200</v>
      </c>
      <c r="H21" s="33">
        <v>17485</v>
      </c>
      <c r="I21" s="33">
        <v>4353715</v>
      </c>
      <c r="J21" s="49"/>
    </row>
    <row r="22" spans="1:10" s="1" customFormat="1" ht="43.2" customHeight="1" x14ac:dyDescent="0.3">
      <c r="A22" s="4" t="s">
        <v>26</v>
      </c>
      <c r="B22" s="23">
        <v>385</v>
      </c>
      <c r="C22" s="12" t="s">
        <v>52</v>
      </c>
      <c r="D22" s="30" t="s">
        <v>28</v>
      </c>
      <c r="E22" s="31">
        <v>3181462.82</v>
      </c>
      <c r="F22" s="32">
        <v>507964.65193277318</v>
      </c>
      <c r="G22" s="32">
        <v>2673498.1680672267</v>
      </c>
      <c r="H22" s="33">
        <v>10694</v>
      </c>
      <c r="I22" s="33">
        <v>2662804.1680672267</v>
      </c>
      <c r="J22" s="49"/>
    </row>
    <row r="23" spans="1:10" s="1" customFormat="1" ht="43.2" customHeight="1" x14ac:dyDescent="0.3">
      <c r="A23" s="4" t="s">
        <v>26</v>
      </c>
      <c r="B23" s="23">
        <v>406</v>
      </c>
      <c r="C23" s="12" t="s">
        <v>53</v>
      </c>
      <c r="D23" s="30" t="s">
        <v>28</v>
      </c>
      <c r="E23" s="31"/>
      <c r="F23" s="32"/>
      <c r="G23" s="32"/>
      <c r="H23" s="33"/>
      <c r="I23" s="14">
        <v>1473439.13</v>
      </c>
      <c r="J23" s="50" t="s">
        <v>54</v>
      </c>
    </row>
    <row r="24" spans="1:10" x14ac:dyDescent="0.3">
      <c r="A24" s="83" t="s">
        <v>15</v>
      </c>
      <c r="B24" s="83"/>
      <c r="C24" s="83"/>
      <c r="D24" s="83"/>
      <c r="E24" s="83"/>
      <c r="F24" s="83"/>
      <c r="G24" s="83"/>
      <c r="H24" s="83"/>
      <c r="I24" s="8">
        <f>SUM(I14:I23)</f>
        <v>85544056.899075642</v>
      </c>
    </row>
    <row r="26" spans="1:10" x14ac:dyDescent="0.3">
      <c r="F26" s="13"/>
    </row>
    <row r="27" spans="1:10" x14ac:dyDescent="0.3">
      <c r="D27" s="3" t="s">
        <v>21</v>
      </c>
      <c r="E27" s="15">
        <f>D4</f>
        <v>18142698.74789916</v>
      </c>
      <c r="F27" s="13"/>
    </row>
    <row r="28" spans="1:10" x14ac:dyDescent="0.3">
      <c r="A28" s="9" t="s">
        <v>18</v>
      </c>
      <c r="B28" s="6">
        <f>D4+D10+I24</f>
        <v>140000000.00425339</v>
      </c>
      <c r="C28" s="13"/>
      <c r="D28" s="3" t="s">
        <v>22</v>
      </c>
      <c r="E28" s="15">
        <f>D10</f>
        <v>36313244.357278571</v>
      </c>
      <c r="F28" s="13"/>
      <c r="J28" s="51"/>
    </row>
    <row r="29" spans="1:10" x14ac:dyDescent="0.3">
      <c r="D29" s="3" t="s">
        <v>23</v>
      </c>
      <c r="E29" s="15">
        <f>I24</f>
        <v>85544056.899075642</v>
      </c>
    </row>
    <row r="33" spans="2:3" x14ac:dyDescent="0.3">
      <c r="B33" s="13"/>
    </row>
    <row r="34" spans="2:3" x14ac:dyDescent="0.3">
      <c r="C34" s="13"/>
    </row>
  </sheetData>
  <mergeCells count="6">
    <mergeCell ref="A24:H24"/>
    <mergeCell ref="A1:D1"/>
    <mergeCell ref="A4:C4"/>
    <mergeCell ref="A6:D6"/>
    <mergeCell ref="A10:C10"/>
    <mergeCell ref="A12:I12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E518-FF7B-4A84-80F6-FAF627C92F2F}">
  <dimension ref="A1:J28"/>
  <sheetViews>
    <sheetView showGridLines="0" topLeftCell="A7" workbookViewId="0">
      <selection activeCell="A18" sqref="A18:H18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6.77734375" customWidth="1"/>
    <col min="9" max="9" width="15.33203125" bestFit="1" customWidth="1"/>
    <col min="10" max="10" width="20.88671875" customWidth="1"/>
    <col min="11" max="11" width="14.33203125" bestFit="1" customWidth="1"/>
  </cols>
  <sheetData>
    <row r="1" spans="1:10" x14ac:dyDescent="0.3">
      <c r="A1" s="78" t="s">
        <v>19</v>
      </c>
      <c r="B1" s="78"/>
      <c r="C1" s="78"/>
      <c r="D1" s="79"/>
    </row>
    <row r="2" spans="1:10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0" x14ac:dyDescent="0.3">
      <c r="A3" s="55" t="s">
        <v>4</v>
      </c>
      <c r="B3" s="56">
        <v>3</v>
      </c>
      <c r="C3" s="57" t="s">
        <v>56</v>
      </c>
      <c r="D3" s="58">
        <v>21209593.059999999</v>
      </c>
      <c r="E3" s="1"/>
      <c r="F3" s="1"/>
    </row>
    <row r="4" spans="1:10" x14ac:dyDescent="0.3">
      <c r="A4" s="75" t="s">
        <v>15</v>
      </c>
      <c r="B4" s="76"/>
      <c r="C4" s="77"/>
      <c r="D4" s="7">
        <f>SUM(D3)</f>
        <v>21209593.059999999</v>
      </c>
      <c r="F4" s="11"/>
    </row>
    <row r="5" spans="1:10" x14ac:dyDescent="0.3">
      <c r="A5" s="5"/>
      <c r="B5" s="5"/>
      <c r="C5" s="5"/>
      <c r="D5" s="5"/>
    </row>
    <row r="6" spans="1:10" x14ac:dyDescent="0.3">
      <c r="A6" s="84" t="s">
        <v>6</v>
      </c>
      <c r="B6" s="84"/>
      <c r="C6" s="84"/>
      <c r="D6" s="84"/>
    </row>
    <row r="7" spans="1:10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10" x14ac:dyDescent="0.3">
      <c r="A8" s="52" t="s">
        <v>55</v>
      </c>
      <c r="B8" s="53">
        <v>3</v>
      </c>
      <c r="C8" s="54" t="s">
        <v>56</v>
      </c>
      <c r="D8" s="59">
        <v>9130835.3200000003</v>
      </c>
      <c r="G8" s="11"/>
    </row>
    <row r="9" spans="1:10" x14ac:dyDescent="0.3">
      <c r="A9" s="75" t="s">
        <v>16</v>
      </c>
      <c r="B9" s="76"/>
      <c r="C9" s="77"/>
      <c r="D9" s="7">
        <f>SUM(D8)</f>
        <v>9130835.3200000003</v>
      </c>
    </row>
    <row r="11" spans="1:10" x14ac:dyDescent="0.3">
      <c r="A11" s="84" t="s">
        <v>17</v>
      </c>
      <c r="B11" s="84"/>
      <c r="C11" s="84"/>
      <c r="D11" s="84"/>
      <c r="E11" s="84"/>
      <c r="F11" s="84"/>
      <c r="G11" s="84"/>
      <c r="H11" s="84"/>
      <c r="I11" s="84"/>
    </row>
    <row r="12" spans="1:10" s="5" customFormat="1" ht="28.8" x14ac:dyDescent="0.3">
      <c r="A12" s="4" t="s">
        <v>3</v>
      </c>
      <c r="B12" s="4" t="s">
        <v>14</v>
      </c>
      <c r="C12" s="16" t="s">
        <v>7</v>
      </c>
      <c r="D12" s="16" t="s">
        <v>8</v>
      </c>
      <c r="E12" s="17" t="s">
        <v>9</v>
      </c>
      <c r="F12" s="18" t="s">
        <v>10</v>
      </c>
      <c r="G12" s="18" t="s">
        <v>11</v>
      </c>
      <c r="H12" s="18" t="s">
        <v>12</v>
      </c>
      <c r="I12" s="18" t="s">
        <v>13</v>
      </c>
    </row>
    <row r="13" spans="1:10" s="5" customFormat="1" ht="28.8" x14ac:dyDescent="0.3">
      <c r="A13" s="4" t="s">
        <v>26</v>
      </c>
      <c r="B13" s="4">
        <v>406</v>
      </c>
      <c r="C13" s="12" t="s">
        <v>53</v>
      </c>
      <c r="D13" s="16"/>
      <c r="E13" s="17"/>
      <c r="F13" s="18"/>
      <c r="G13" s="18"/>
      <c r="H13" s="18"/>
      <c r="I13" s="34">
        <v>1247649.52</v>
      </c>
      <c r="J13" s="61" t="s">
        <v>58</v>
      </c>
    </row>
    <row r="14" spans="1:10" s="5" customFormat="1" ht="28.8" x14ac:dyDescent="0.3">
      <c r="A14" s="4" t="s">
        <v>26</v>
      </c>
      <c r="B14" s="4">
        <v>404</v>
      </c>
      <c r="C14" s="12" t="s">
        <v>53</v>
      </c>
      <c r="D14" s="60" t="s">
        <v>27</v>
      </c>
      <c r="E14" s="34">
        <v>5819710.7800000003</v>
      </c>
      <c r="F14" s="34">
        <v>929197.51949579827</v>
      </c>
      <c r="G14" s="34">
        <v>4890513.260504202</v>
      </c>
      <c r="H14" s="34">
        <v>19562</v>
      </c>
      <c r="I14" s="34">
        <v>4870951.260504202</v>
      </c>
    </row>
    <row r="15" spans="1:10" s="5" customFormat="1" ht="43.2" x14ac:dyDescent="0.3">
      <c r="A15" s="4" t="s">
        <v>26</v>
      </c>
      <c r="B15" s="4">
        <v>405</v>
      </c>
      <c r="C15" s="12" t="s">
        <v>53</v>
      </c>
      <c r="D15" s="60" t="s">
        <v>29</v>
      </c>
      <c r="E15" s="34">
        <v>5201728</v>
      </c>
      <c r="F15" s="34">
        <v>830528</v>
      </c>
      <c r="G15" s="34">
        <v>4371200</v>
      </c>
      <c r="H15" s="34">
        <v>17485</v>
      </c>
      <c r="I15" s="34">
        <v>2843707.63</v>
      </c>
      <c r="J15" s="62" t="s">
        <v>57</v>
      </c>
    </row>
    <row r="16" spans="1:10" s="1" customFormat="1" ht="48" x14ac:dyDescent="0.3">
      <c r="A16" s="4" t="s">
        <v>20</v>
      </c>
      <c r="B16" s="23">
        <v>381</v>
      </c>
      <c r="C16" s="12" t="s">
        <v>43</v>
      </c>
      <c r="D16" s="20" t="s">
        <v>24</v>
      </c>
      <c r="E16" s="19">
        <v>42282998.127999999</v>
      </c>
      <c r="F16" s="21">
        <v>6751066.9279999956</v>
      </c>
      <c r="G16" s="21">
        <v>35531931.200000003</v>
      </c>
      <c r="H16" s="22">
        <v>142128</v>
      </c>
      <c r="I16" s="22">
        <v>35389803.200000003</v>
      </c>
    </row>
    <row r="17" spans="1:9" s="1" customFormat="1" ht="24" x14ac:dyDescent="0.3">
      <c r="A17" s="4" t="s">
        <v>34</v>
      </c>
      <c r="B17" s="23">
        <v>386</v>
      </c>
      <c r="C17" s="12" t="s">
        <v>43</v>
      </c>
      <c r="D17" s="25" t="s">
        <v>35</v>
      </c>
      <c r="E17" s="26">
        <v>30236824.25</v>
      </c>
      <c r="F17" s="27">
        <v>4827728.2415966392</v>
      </c>
      <c r="G17" s="27">
        <v>25409096.008403361</v>
      </c>
      <c r="H17" s="28">
        <v>101636</v>
      </c>
      <c r="I17" s="28">
        <v>25307460.008403361</v>
      </c>
    </row>
    <row r="18" spans="1:9" x14ac:dyDescent="0.3">
      <c r="A18" s="83" t="s">
        <v>15</v>
      </c>
      <c r="B18" s="83"/>
      <c r="C18" s="83"/>
      <c r="D18" s="83"/>
      <c r="E18" s="83"/>
      <c r="F18" s="83"/>
      <c r="G18" s="83"/>
      <c r="H18" s="83"/>
      <c r="I18" s="8">
        <f>SUM(I13:I17)</f>
        <v>69659571.618907571</v>
      </c>
    </row>
    <row r="20" spans="1:9" x14ac:dyDescent="0.3">
      <c r="F20" s="13"/>
      <c r="G20">
        <v>405</v>
      </c>
      <c r="H20" s="34">
        <v>4353715</v>
      </c>
    </row>
    <row r="21" spans="1:9" x14ac:dyDescent="0.3">
      <c r="D21" s="3" t="s">
        <v>21</v>
      </c>
      <c r="E21" s="15">
        <f>D4</f>
        <v>21209593.059999999</v>
      </c>
      <c r="F21" s="13"/>
    </row>
    <row r="22" spans="1:9" x14ac:dyDescent="0.3">
      <c r="A22" s="9" t="s">
        <v>18</v>
      </c>
      <c r="B22" s="6">
        <f>D4+D9+I18</f>
        <v>99999999.998907566</v>
      </c>
      <c r="C22" s="13"/>
      <c r="D22" s="3" t="s">
        <v>22</v>
      </c>
      <c r="E22" s="15">
        <f>D9</f>
        <v>9130835.3200000003</v>
      </c>
      <c r="F22" s="13"/>
    </row>
    <row r="23" spans="1:9" x14ac:dyDescent="0.3">
      <c r="D23" s="3" t="s">
        <v>23</v>
      </c>
      <c r="E23" s="15">
        <f>I18</f>
        <v>69659571.618907571</v>
      </c>
    </row>
    <row r="28" spans="1:9" x14ac:dyDescent="0.3">
      <c r="C28" s="13"/>
    </row>
  </sheetData>
  <mergeCells count="6">
    <mergeCell ref="A18:H18"/>
    <mergeCell ref="A1:D1"/>
    <mergeCell ref="A4:C4"/>
    <mergeCell ref="A6:D6"/>
    <mergeCell ref="A9:C9"/>
    <mergeCell ref="A11:I1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6F2B-099C-4AD6-B02C-C4205FE702EA}">
  <dimension ref="A1:N32"/>
  <sheetViews>
    <sheetView showGridLines="0" tabSelected="1" topLeftCell="A20" zoomScale="94" workbookViewId="0">
      <selection activeCell="E33" sqref="E33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5546875" bestFit="1" customWidth="1"/>
    <col min="7" max="7" width="16.88671875" bestFit="1" customWidth="1"/>
    <col min="8" max="8" width="16.77734375" customWidth="1"/>
    <col min="9" max="9" width="16.88671875" bestFit="1" customWidth="1"/>
    <col min="10" max="10" width="16.88671875" customWidth="1"/>
    <col min="11" max="11" width="20.88671875" customWidth="1"/>
    <col min="12" max="12" width="27.109375" customWidth="1"/>
    <col min="13" max="13" width="11.33203125" bestFit="1" customWidth="1"/>
    <col min="14" max="14" width="47.109375" customWidth="1"/>
  </cols>
  <sheetData>
    <row r="1" spans="1:14" x14ac:dyDescent="0.3">
      <c r="A1" s="78" t="s">
        <v>19</v>
      </c>
      <c r="B1" s="78"/>
      <c r="C1" s="78"/>
      <c r="D1" s="79"/>
    </row>
    <row r="2" spans="1:14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4" x14ac:dyDescent="0.3">
      <c r="A3" s="55" t="s">
        <v>4</v>
      </c>
      <c r="B3" s="56">
        <v>4</v>
      </c>
      <c r="C3" s="57" t="s">
        <v>59</v>
      </c>
      <c r="D3" s="58">
        <v>16967674.644817919</v>
      </c>
      <c r="E3" s="1"/>
      <c r="F3" s="1"/>
    </row>
    <row r="4" spans="1:14" x14ac:dyDescent="0.3">
      <c r="A4" s="75" t="s">
        <v>15</v>
      </c>
      <c r="B4" s="76"/>
      <c r="C4" s="77"/>
      <c r="D4" s="7">
        <f>SUM(D3)</f>
        <v>16967674.644817919</v>
      </c>
      <c r="F4" s="11"/>
    </row>
    <row r="5" spans="1:14" x14ac:dyDescent="0.3">
      <c r="A5" s="5"/>
      <c r="B5" s="5"/>
      <c r="C5" s="5"/>
      <c r="D5" s="5"/>
    </row>
    <row r="6" spans="1:14" x14ac:dyDescent="0.3">
      <c r="A6" s="84" t="s">
        <v>6</v>
      </c>
      <c r="B6" s="84"/>
      <c r="C6" s="84"/>
      <c r="D6" s="84"/>
    </row>
    <row r="7" spans="1:14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14" x14ac:dyDescent="0.3">
      <c r="A8" s="4" t="s">
        <v>4</v>
      </c>
      <c r="B8" s="4">
        <v>4</v>
      </c>
      <c r="C8" s="4" t="s">
        <v>59</v>
      </c>
      <c r="D8" s="59">
        <v>9130835.3200000003</v>
      </c>
      <c r="G8" s="11"/>
    </row>
    <row r="9" spans="1:14" x14ac:dyDescent="0.3">
      <c r="A9" s="4" t="s">
        <v>20</v>
      </c>
      <c r="B9" s="4">
        <v>4</v>
      </c>
      <c r="C9" s="4">
        <v>396</v>
      </c>
      <c r="D9" s="59">
        <v>36893804.600000001</v>
      </c>
      <c r="G9" s="11"/>
    </row>
    <row r="10" spans="1:14" x14ac:dyDescent="0.3">
      <c r="A10" s="75" t="s">
        <v>16</v>
      </c>
      <c r="B10" s="76"/>
      <c r="C10" s="77"/>
      <c r="D10" s="7">
        <f>SUM(D8:D9)</f>
        <v>46024639.920000002</v>
      </c>
    </row>
    <row r="12" spans="1:14" x14ac:dyDescent="0.3">
      <c r="A12" s="84" t="s">
        <v>17</v>
      </c>
      <c r="B12" s="84"/>
      <c r="C12" s="84"/>
      <c r="D12" s="84"/>
      <c r="E12" s="84"/>
      <c r="F12" s="84"/>
      <c r="G12" s="84"/>
      <c r="H12" s="84"/>
      <c r="I12" s="84"/>
      <c r="J12" s="5"/>
    </row>
    <row r="13" spans="1:14" s="5" customFormat="1" ht="28.8" x14ac:dyDescent="0.3">
      <c r="A13" s="4" t="s">
        <v>3</v>
      </c>
      <c r="B13" s="4" t="s">
        <v>14</v>
      </c>
      <c r="C13" s="16" t="s">
        <v>7</v>
      </c>
      <c r="D13" s="16" t="s">
        <v>8</v>
      </c>
      <c r="E13" s="17" t="s">
        <v>9</v>
      </c>
      <c r="F13" s="18" t="s">
        <v>10</v>
      </c>
      <c r="G13" s="18" t="s">
        <v>11</v>
      </c>
      <c r="H13" s="18" t="s">
        <v>12</v>
      </c>
      <c r="I13" s="18" t="s">
        <v>13</v>
      </c>
      <c r="J13" s="18" t="s">
        <v>66</v>
      </c>
      <c r="K13" s="61" t="s">
        <v>58</v>
      </c>
      <c r="L13" s="4" t="s">
        <v>67</v>
      </c>
    </row>
    <row r="14" spans="1:14" s="5" customFormat="1" ht="28.8" x14ac:dyDescent="0.3">
      <c r="A14" s="4" t="s">
        <v>26</v>
      </c>
      <c r="B14" s="4">
        <v>405</v>
      </c>
      <c r="C14" s="63" t="s">
        <v>53</v>
      </c>
      <c r="D14" s="64" t="s">
        <v>29</v>
      </c>
      <c r="E14" s="62">
        <v>5201728</v>
      </c>
      <c r="F14" s="62">
        <f>(E14)-(E14)/1.19</f>
        <v>830528</v>
      </c>
      <c r="G14" s="62">
        <f>E14-F14</f>
        <v>4371200</v>
      </c>
      <c r="H14" s="62">
        <f>ROUND(G14*0.004,0)</f>
        <v>17485</v>
      </c>
      <c r="I14" s="62">
        <f>G14-H14</f>
        <v>4353715</v>
      </c>
      <c r="J14" s="62">
        <v>2843707.63</v>
      </c>
      <c r="K14" s="70">
        <f>I14-J14</f>
        <v>1510007.37</v>
      </c>
      <c r="L14" s="70">
        <f>K14</f>
        <v>1510007.37</v>
      </c>
    </row>
    <row r="15" spans="1:14" s="5" customFormat="1" ht="28.8" x14ac:dyDescent="0.3">
      <c r="A15" s="4" t="s">
        <v>26</v>
      </c>
      <c r="B15" s="4">
        <v>424</v>
      </c>
      <c r="C15" s="63" t="s">
        <v>60</v>
      </c>
      <c r="D15" s="64" t="s">
        <v>27</v>
      </c>
      <c r="E15" s="62">
        <v>5819710.7800000003</v>
      </c>
      <c r="F15" s="62">
        <f t="shared" ref="F15:F21" si="0">(E15)-(E15)/1.19</f>
        <v>929197.51949579827</v>
      </c>
      <c r="G15" s="62">
        <f t="shared" ref="G15:G21" si="1">E15-F15</f>
        <v>4890513.260504202</v>
      </c>
      <c r="H15" s="62">
        <f t="shared" ref="H15:H21" si="2">ROUND(G15*0.004,0)</f>
        <v>19562</v>
      </c>
      <c r="I15" s="62">
        <f t="shared" ref="I15:I20" si="3">G15-H15</f>
        <v>4870951.260504202</v>
      </c>
      <c r="J15" s="71">
        <v>0</v>
      </c>
      <c r="K15" s="4"/>
      <c r="L15" s="70">
        <f>I15-J15</f>
        <v>4870951.260504202</v>
      </c>
      <c r="N15" s="72" t="s">
        <v>68</v>
      </c>
    </row>
    <row r="16" spans="1:14" s="5" customFormat="1" ht="28.8" x14ac:dyDescent="0.3">
      <c r="A16" s="4" t="s">
        <v>26</v>
      </c>
      <c r="B16" s="4">
        <v>426</v>
      </c>
      <c r="C16" s="63" t="s">
        <v>60</v>
      </c>
      <c r="D16" s="64" t="s">
        <v>28</v>
      </c>
      <c r="E16" s="62">
        <v>3251099.81</v>
      </c>
      <c r="F16" s="62">
        <f t="shared" si="0"/>
        <v>519083.16294117644</v>
      </c>
      <c r="G16" s="62">
        <f t="shared" si="1"/>
        <v>2732016.6470588236</v>
      </c>
      <c r="H16" s="62">
        <f t="shared" si="2"/>
        <v>10928</v>
      </c>
      <c r="I16" s="62">
        <f>G16-H16</f>
        <v>2721088.6470588236</v>
      </c>
      <c r="J16" s="71">
        <v>0</v>
      </c>
      <c r="K16" s="4"/>
      <c r="L16" s="70">
        <f>I16-N16</f>
        <v>2705595.2601400404</v>
      </c>
      <c r="N16" s="15">
        <v>15493.386918783188</v>
      </c>
    </row>
    <row r="17" spans="1:12" s="5" customFormat="1" ht="43.2" x14ac:dyDescent="0.3">
      <c r="A17" s="4" t="s">
        <v>62</v>
      </c>
      <c r="B17" s="4">
        <v>411</v>
      </c>
      <c r="C17" s="63" t="s">
        <v>63</v>
      </c>
      <c r="D17" s="64" t="s">
        <v>61</v>
      </c>
      <c r="E17" s="62">
        <v>6638961.5999999996</v>
      </c>
      <c r="F17" s="62">
        <f t="shared" si="0"/>
        <v>1060002.2722689072</v>
      </c>
      <c r="G17" s="62">
        <f t="shared" si="1"/>
        <v>5578959.3277310925</v>
      </c>
      <c r="H17" s="62">
        <f t="shared" si="2"/>
        <v>22316</v>
      </c>
      <c r="I17" s="62">
        <f t="shared" si="3"/>
        <v>5556643.3277310925</v>
      </c>
      <c r="J17" s="71">
        <v>0</v>
      </c>
      <c r="K17" s="4"/>
      <c r="L17" s="70">
        <f>I17-J17</f>
        <v>5556643.3277310925</v>
      </c>
    </row>
    <row r="18" spans="1:12" s="5" customFormat="1" ht="43.2" x14ac:dyDescent="0.3">
      <c r="A18" s="4" t="s">
        <v>62</v>
      </c>
      <c r="B18" s="4">
        <v>412</v>
      </c>
      <c r="C18" s="63" t="s">
        <v>64</v>
      </c>
      <c r="D18" s="64" t="s">
        <v>61</v>
      </c>
      <c r="E18" s="62">
        <v>6638961.5999999996</v>
      </c>
      <c r="F18" s="62">
        <f t="shared" si="0"/>
        <v>1060002.2722689072</v>
      </c>
      <c r="G18" s="62">
        <f t="shared" si="1"/>
        <v>5578959.3277310925</v>
      </c>
      <c r="H18" s="62">
        <f t="shared" si="2"/>
        <v>22316</v>
      </c>
      <c r="I18" s="62">
        <f t="shared" si="3"/>
        <v>5556643.3277310925</v>
      </c>
      <c r="J18" s="71">
        <v>0</v>
      </c>
      <c r="K18" s="4"/>
      <c r="L18" s="70">
        <f>I18-J18</f>
        <v>5556643.3277310925</v>
      </c>
    </row>
    <row r="19" spans="1:12" s="5" customFormat="1" ht="43.2" x14ac:dyDescent="0.3">
      <c r="A19" s="4" t="s">
        <v>62</v>
      </c>
      <c r="B19" s="4">
        <v>416</v>
      </c>
      <c r="C19" s="63" t="s">
        <v>65</v>
      </c>
      <c r="D19" s="64" t="s">
        <v>61</v>
      </c>
      <c r="E19" s="62">
        <v>6638961.5999999996</v>
      </c>
      <c r="F19" s="62">
        <f t="shared" si="0"/>
        <v>1060002.2722689072</v>
      </c>
      <c r="G19" s="62">
        <f t="shared" si="1"/>
        <v>5578959.3277310925</v>
      </c>
      <c r="H19" s="62">
        <f t="shared" si="2"/>
        <v>22316</v>
      </c>
      <c r="I19" s="62">
        <f t="shared" si="3"/>
        <v>5556643.3277310925</v>
      </c>
      <c r="J19" s="71">
        <v>0</v>
      </c>
      <c r="K19" s="4"/>
      <c r="L19" s="70">
        <f>I19-J19</f>
        <v>5556643.3277310925</v>
      </c>
    </row>
    <row r="20" spans="1:12" s="1" customFormat="1" ht="72" x14ac:dyDescent="0.3">
      <c r="A20" s="4" t="s">
        <v>20</v>
      </c>
      <c r="B20" s="23">
        <v>407</v>
      </c>
      <c r="C20" s="63" t="s">
        <v>53</v>
      </c>
      <c r="D20" s="64" t="s">
        <v>24</v>
      </c>
      <c r="E20" s="65">
        <v>42282998.127999999</v>
      </c>
      <c r="F20" s="62">
        <f t="shared" si="0"/>
        <v>6751066.9279999956</v>
      </c>
      <c r="G20" s="62">
        <f t="shared" si="1"/>
        <v>35531931.200000003</v>
      </c>
      <c r="H20" s="62">
        <f t="shared" si="2"/>
        <v>142128</v>
      </c>
      <c r="I20" s="62">
        <f t="shared" si="3"/>
        <v>35389803.200000003</v>
      </c>
      <c r="J20" s="71">
        <v>0</v>
      </c>
      <c r="K20" s="2"/>
      <c r="L20" s="70">
        <f>I20-J20</f>
        <v>35389803.200000003</v>
      </c>
    </row>
    <row r="21" spans="1:12" s="1" customFormat="1" ht="43.2" x14ac:dyDescent="0.3">
      <c r="A21" s="4" t="s">
        <v>34</v>
      </c>
      <c r="B21" s="23">
        <v>408</v>
      </c>
      <c r="C21" s="63" t="s">
        <v>53</v>
      </c>
      <c r="D21" s="66" t="s">
        <v>35</v>
      </c>
      <c r="E21" s="67">
        <v>30898658.640000001</v>
      </c>
      <c r="F21" s="62">
        <f t="shared" si="0"/>
        <v>4933399.278655462</v>
      </c>
      <c r="G21" s="62">
        <f t="shared" si="1"/>
        <v>25965259.361344539</v>
      </c>
      <c r="H21" s="62">
        <f t="shared" si="2"/>
        <v>103861</v>
      </c>
      <c r="I21" s="62">
        <f>G21-H21</f>
        <v>25861398.361344539</v>
      </c>
      <c r="J21" s="71">
        <v>0</v>
      </c>
      <c r="K21" s="2"/>
      <c r="L21" s="70">
        <f>I21-J21</f>
        <v>25861398.361344539</v>
      </c>
    </row>
    <row r="22" spans="1:12" x14ac:dyDescent="0.3">
      <c r="A22" s="83" t="s">
        <v>15</v>
      </c>
      <c r="B22" s="83"/>
      <c r="C22" s="83"/>
      <c r="D22" s="83"/>
      <c r="E22" s="83"/>
      <c r="F22" s="83"/>
      <c r="G22" s="83"/>
      <c r="H22" s="83"/>
      <c r="I22" s="69"/>
      <c r="J22" s="69"/>
      <c r="K22" s="69"/>
      <c r="L22" s="8">
        <f>SUM(L14:L21)</f>
        <v>87007685.435182065</v>
      </c>
    </row>
    <row r="24" spans="1:12" x14ac:dyDescent="0.3">
      <c r="F24" s="13"/>
      <c r="H24" s="68"/>
    </row>
    <row r="25" spans="1:12" x14ac:dyDescent="0.3">
      <c r="D25" s="3" t="s">
        <v>21</v>
      </c>
      <c r="E25" s="15">
        <f>D4</f>
        <v>16967674.644817919</v>
      </c>
      <c r="F25" s="13"/>
    </row>
    <row r="26" spans="1:12" x14ac:dyDescent="0.3">
      <c r="A26" s="9" t="s">
        <v>18</v>
      </c>
      <c r="B26" s="6">
        <f>D4+D10+L22</f>
        <v>150000000</v>
      </c>
      <c r="C26" s="13"/>
      <c r="D26" s="3" t="s">
        <v>22</v>
      </c>
      <c r="E26" s="15">
        <f>D10</f>
        <v>46024639.920000002</v>
      </c>
      <c r="F26" s="13"/>
    </row>
    <row r="27" spans="1:12" x14ac:dyDescent="0.3">
      <c r="D27" s="3" t="s">
        <v>23</v>
      </c>
      <c r="E27" s="15">
        <f>L22</f>
        <v>87007685.435182065</v>
      </c>
    </row>
    <row r="30" spans="1:12" x14ac:dyDescent="0.3">
      <c r="C30" s="13"/>
    </row>
    <row r="32" spans="1:12" x14ac:dyDescent="0.3">
      <c r="C32" s="13"/>
      <c r="E32" s="13">
        <f>E27+'ANI  200'!E28+'2002-2'!E27</f>
        <v>280111148.31285715</v>
      </c>
    </row>
  </sheetData>
  <mergeCells count="6">
    <mergeCell ref="A22:H22"/>
    <mergeCell ref="A1:D1"/>
    <mergeCell ref="A4:C4"/>
    <mergeCell ref="A6:D6"/>
    <mergeCell ref="A10:C10"/>
    <mergeCell ref="A12:I12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CC7C-B99C-4D13-8F4A-45A0D18AC095}">
  <dimension ref="A1:O33"/>
  <sheetViews>
    <sheetView showGridLines="0" topLeftCell="A21" workbookViewId="0">
      <selection activeCell="A18" sqref="A18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5546875" bestFit="1" customWidth="1"/>
    <col min="7" max="7" width="16.88671875" bestFit="1" customWidth="1"/>
    <col min="8" max="8" width="16.77734375" customWidth="1"/>
    <col min="9" max="9" width="16.88671875" bestFit="1" customWidth="1"/>
    <col min="10" max="10" width="16.88671875" customWidth="1"/>
    <col min="11" max="11" width="20.88671875" customWidth="1"/>
    <col min="12" max="12" width="27.109375" customWidth="1"/>
    <col min="13" max="13" width="11.33203125" bestFit="1" customWidth="1"/>
    <col min="14" max="14" width="47.109375" customWidth="1"/>
    <col min="15" max="15" width="19.6640625" customWidth="1"/>
  </cols>
  <sheetData>
    <row r="1" spans="1:12" x14ac:dyDescent="0.3">
      <c r="A1" s="78" t="s">
        <v>19</v>
      </c>
      <c r="B1" s="78"/>
      <c r="C1" s="78"/>
      <c r="D1" s="79"/>
    </row>
    <row r="2" spans="1:12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2" x14ac:dyDescent="0.3">
      <c r="A3" s="55" t="s">
        <v>4</v>
      </c>
      <c r="B3" s="56">
        <v>5</v>
      </c>
      <c r="C3" s="57" t="s">
        <v>69</v>
      </c>
      <c r="D3" s="58">
        <v>22148848.47899159</v>
      </c>
      <c r="E3" s="1"/>
      <c r="F3" s="1"/>
    </row>
    <row r="4" spans="1:12" x14ac:dyDescent="0.3">
      <c r="A4" s="75" t="s">
        <v>15</v>
      </c>
      <c r="B4" s="76"/>
      <c r="C4" s="77"/>
      <c r="D4" s="7">
        <f>SUM(D3)</f>
        <v>22148848.47899159</v>
      </c>
      <c r="F4" s="11"/>
    </row>
    <row r="5" spans="1:12" x14ac:dyDescent="0.3">
      <c r="A5" s="5"/>
      <c r="B5" s="5"/>
      <c r="C5" s="5"/>
      <c r="D5" s="5"/>
    </row>
    <row r="6" spans="1:12" x14ac:dyDescent="0.3">
      <c r="A6" s="84" t="s">
        <v>6</v>
      </c>
      <c r="B6" s="84"/>
      <c r="C6" s="84"/>
      <c r="D6" s="84"/>
    </row>
    <row r="7" spans="1:12" x14ac:dyDescent="0.3">
      <c r="A7" s="4" t="s">
        <v>5</v>
      </c>
      <c r="B7" s="4" t="s">
        <v>2</v>
      </c>
      <c r="C7" s="4" t="s">
        <v>1</v>
      </c>
      <c r="D7" s="4" t="s">
        <v>0</v>
      </c>
      <c r="G7" s="11"/>
    </row>
    <row r="8" spans="1:12" x14ac:dyDescent="0.3">
      <c r="A8" s="4" t="s">
        <v>20</v>
      </c>
      <c r="B8" s="4">
        <v>5</v>
      </c>
      <c r="C8" s="1">
        <v>419</v>
      </c>
      <c r="D8" s="59">
        <v>34832022.920000017</v>
      </c>
      <c r="G8" s="11"/>
    </row>
    <row r="9" spans="1:12" x14ac:dyDescent="0.3">
      <c r="A9" s="4" t="s">
        <v>4</v>
      </c>
      <c r="B9" s="4">
        <v>5</v>
      </c>
      <c r="C9" s="4" t="s">
        <v>69</v>
      </c>
      <c r="D9" s="59">
        <v>9172049.2148904949</v>
      </c>
      <c r="G9" s="11"/>
    </row>
    <row r="10" spans="1:12" x14ac:dyDescent="0.3">
      <c r="A10" s="4" t="s">
        <v>20</v>
      </c>
      <c r="B10" s="53">
        <v>6</v>
      </c>
      <c r="C10" s="54">
        <v>443</v>
      </c>
      <c r="D10" s="59">
        <v>34874895.680000015</v>
      </c>
      <c r="G10" s="11"/>
    </row>
    <row r="11" spans="1:12" x14ac:dyDescent="0.3">
      <c r="A11" s="4" t="s">
        <v>4</v>
      </c>
      <c r="B11" s="53">
        <v>6</v>
      </c>
      <c r="C11" s="4" t="s">
        <v>70</v>
      </c>
      <c r="D11" s="59">
        <v>8098901.959735807</v>
      </c>
      <c r="G11" s="11"/>
    </row>
    <row r="12" spans="1:12" x14ac:dyDescent="0.3">
      <c r="A12" s="75" t="s">
        <v>16</v>
      </c>
      <c r="B12" s="76"/>
      <c r="C12" s="77"/>
      <c r="D12" s="7">
        <f>SUM(D8:D11)</f>
        <v>86977869.774626344</v>
      </c>
    </row>
    <row r="14" spans="1:12" x14ac:dyDescent="0.3">
      <c r="A14" s="84" t="s">
        <v>17</v>
      </c>
      <c r="B14" s="84"/>
      <c r="C14" s="84"/>
      <c r="D14" s="84"/>
      <c r="E14" s="84"/>
      <c r="F14" s="84"/>
      <c r="G14" s="84"/>
      <c r="H14" s="84"/>
      <c r="I14" s="84"/>
      <c r="J14" s="5"/>
    </row>
    <row r="15" spans="1:12" s="5" customFormat="1" ht="28.8" x14ac:dyDescent="0.3">
      <c r="A15" s="4" t="s">
        <v>3</v>
      </c>
      <c r="B15" s="4" t="s">
        <v>14</v>
      </c>
      <c r="C15" s="16" t="s">
        <v>7</v>
      </c>
      <c r="D15" s="16" t="s">
        <v>8</v>
      </c>
      <c r="E15" s="17" t="s">
        <v>9</v>
      </c>
      <c r="F15" s="18" t="s">
        <v>10</v>
      </c>
      <c r="G15" s="18" t="s">
        <v>11</v>
      </c>
      <c r="H15" s="18" t="s">
        <v>12</v>
      </c>
      <c r="I15" s="18" t="s">
        <v>13</v>
      </c>
      <c r="J15" s="18" t="s">
        <v>66</v>
      </c>
      <c r="K15" s="61" t="s">
        <v>58</v>
      </c>
      <c r="L15" s="4" t="s">
        <v>67</v>
      </c>
    </row>
    <row r="16" spans="1:12" s="5" customFormat="1" ht="28.8" x14ac:dyDescent="0.3">
      <c r="A16" s="4" t="s">
        <v>26</v>
      </c>
      <c r="B16" s="4">
        <v>426</v>
      </c>
      <c r="C16" s="63" t="s">
        <v>60</v>
      </c>
      <c r="D16" s="64" t="s">
        <v>28</v>
      </c>
      <c r="E16" s="62">
        <v>3251099.81</v>
      </c>
      <c r="F16" s="62">
        <f t="shared" ref="F16" si="0">(E16)-(E16)/1.19</f>
        <v>519083.16294117644</v>
      </c>
      <c r="G16" s="62">
        <f t="shared" ref="G16" si="1">E16-F16</f>
        <v>2732016.6470588236</v>
      </c>
      <c r="H16" s="62">
        <f t="shared" ref="H16" si="2">ROUND(G16*0.004,0)</f>
        <v>10928</v>
      </c>
      <c r="I16" s="62">
        <f>G16-H16</f>
        <v>2721088.6470588236</v>
      </c>
      <c r="J16" s="62">
        <v>2705595.2601400404</v>
      </c>
      <c r="K16" s="70">
        <f>I16-J16</f>
        <v>15493.386918783188</v>
      </c>
      <c r="L16" s="70">
        <f>K16</f>
        <v>15493.386918783188</v>
      </c>
    </row>
    <row r="17" spans="1:15" s="5" customFormat="1" ht="28.8" x14ac:dyDescent="0.3">
      <c r="A17" s="4" t="s">
        <v>26</v>
      </c>
      <c r="B17" s="4">
        <v>450</v>
      </c>
      <c r="C17" s="63" t="s">
        <v>72</v>
      </c>
      <c r="D17" s="64" t="s">
        <v>27</v>
      </c>
      <c r="E17" s="24">
        <v>5201728</v>
      </c>
      <c r="F17" s="62">
        <f t="shared" ref="F17:F22" si="3">(E17)-(E17)/1.19</f>
        <v>830528</v>
      </c>
      <c r="G17" s="62">
        <f t="shared" ref="G17:G22" si="4">E17-F17</f>
        <v>4371200</v>
      </c>
      <c r="H17" s="62">
        <f t="shared" ref="H17:H22" si="5">ROUND(G17*0.004,0)</f>
        <v>17485</v>
      </c>
      <c r="I17" s="62">
        <f t="shared" ref="I17:I21" si="6">G17-H17</f>
        <v>4353715</v>
      </c>
      <c r="J17" s="71">
        <v>0</v>
      </c>
      <c r="K17" s="4"/>
      <c r="L17" s="70">
        <f>I17-O17</f>
        <v>3118253.6300514936</v>
      </c>
      <c r="N17" s="72" t="s">
        <v>73</v>
      </c>
      <c r="O17" s="15">
        <v>1235461.3699485064</v>
      </c>
    </row>
    <row r="18" spans="1:15" s="5" customFormat="1" ht="43.2" x14ac:dyDescent="0.3">
      <c r="A18" s="4" t="s">
        <v>34</v>
      </c>
      <c r="B18" s="23">
        <v>453</v>
      </c>
      <c r="C18" s="63" t="s">
        <v>72</v>
      </c>
      <c r="D18" s="66" t="s">
        <v>35</v>
      </c>
      <c r="E18" s="67">
        <v>30898658.640000001</v>
      </c>
      <c r="F18" s="62">
        <f t="shared" ref="F18" si="7">(E18)-(E18)/1.19</f>
        <v>4933399.278655462</v>
      </c>
      <c r="G18" s="62">
        <f t="shared" ref="G18" si="8">E18-F18</f>
        <v>25965259.361344539</v>
      </c>
      <c r="H18" s="62">
        <f t="shared" ref="H18" si="9">ROUND(G18*0.004,0)</f>
        <v>103861</v>
      </c>
      <c r="I18" s="62">
        <f>G18-H18</f>
        <v>25861398.361344539</v>
      </c>
      <c r="J18" s="71">
        <v>0</v>
      </c>
      <c r="K18" s="2"/>
      <c r="L18" s="70">
        <f>I18-J18</f>
        <v>25861398.361344539</v>
      </c>
    </row>
    <row r="19" spans="1:15" s="5" customFormat="1" ht="24" x14ac:dyDescent="0.3">
      <c r="A19" s="4" t="s">
        <v>62</v>
      </c>
      <c r="B19" s="4">
        <v>414</v>
      </c>
      <c r="C19" s="12" t="s">
        <v>63</v>
      </c>
      <c r="D19" s="20" t="s">
        <v>71</v>
      </c>
      <c r="E19" s="42">
        <v>374524.42</v>
      </c>
      <c r="F19" s="62">
        <f t="shared" si="3"/>
        <v>59798.016638655448</v>
      </c>
      <c r="G19" s="62">
        <f t="shared" si="4"/>
        <v>314726.40336134454</v>
      </c>
      <c r="H19" s="62">
        <f t="shared" si="5"/>
        <v>1259</v>
      </c>
      <c r="I19" s="62">
        <f t="shared" si="6"/>
        <v>313467.40336134454</v>
      </c>
      <c r="J19" s="71">
        <v>0</v>
      </c>
      <c r="K19" s="4"/>
      <c r="L19" s="70">
        <f>I19-J19</f>
        <v>313467.40336134454</v>
      </c>
    </row>
    <row r="20" spans="1:15" s="5" customFormat="1" ht="24" x14ac:dyDescent="0.3">
      <c r="A20" s="4" t="s">
        <v>62</v>
      </c>
      <c r="B20" s="4">
        <v>415</v>
      </c>
      <c r="C20" s="12" t="s">
        <v>64</v>
      </c>
      <c r="D20" s="20" t="s">
        <v>71</v>
      </c>
      <c r="E20" s="42">
        <v>374524.42</v>
      </c>
      <c r="F20" s="62">
        <f t="shared" si="3"/>
        <v>59798.016638655448</v>
      </c>
      <c r="G20" s="62">
        <f t="shared" si="4"/>
        <v>314726.40336134454</v>
      </c>
      <c r="H20" s="62">
        <f t="shared" si="5"/>
        <v>1259</v>
      </c>
      <c r="I20" s="62">
        <f t="shared" si="6"/>
        <v>313467.40336134454</v>
      </c>
      <c r="J20" s="71">
        <v>0</v>
      </c>
      <c r="K20" s="4"/>
      <c r="L20" s="70">
        <f>I20-J20</f>
        <v>313467.40336134454</v>
      </c>
    </row>
    <row r="21" spans="1:15" s="1" customFormat="1" ht="72" x14ac:dyDescent="0.3">
      <c r="A21" s="4" t="s">
        <v>20</v>
      </c>
      <c r="B21" s="23">
        <v>428</v>
      </c>
      <c r="C21" s="63" t="s">
        <v>60</v>
      </c>
      <c r="D21" s="64" t="s">
        <v>24</v>
      </c>
      <c r="E21" s="65">
        <v>42282998.127999999</v>
      </c>
      <c r="F21" s="62">
        <f t="shared" si="3"/>
        <v>6751066.9279999956</v>
      </c>
      <c r="G21" s="62">
        <f t="shared" si="4"/>
        <v>35531931.200000003</v>
      </c>
      <c r="H21" s="62">
        <f t="shared" si="5"/>
        <v>142128</v>
      </c>
      <c r="I21" s="62">
        <f t="shared" si="6"/>
        <v>35389803.200000003</v>
      </c>
      <c r="J21" s="71">
        <v>0</v>
      </c>
      <c r="K21" s="2"/>
      <c r="L21" s="70">
        <f>I21-J21</f>
        <v>35389803.200000003</v>
      </c>
    </row>
    <row r="22" spans="1:15" s="1" customFormat="1" ht="43.2" x14ac:dyDescent="0.3">
      <c r="A22" s="4" t="s">
        <v>34</v>
      </c>
      <c r="B22" s="23">
        <v>427</v>
      </c>
      <c r="C22" s="63" t="s">
        <v>60</v>
      </c>
      <c r="D22" s="66" t="s">
        <v>35</v>
      </c>
      <c r="E22" s="67">
        <v>30898658.640000001</v>
      </c>
      <c r="F22" s="62">
        <f t="shared" si="3"/>
        <v>4933399.278655462</v>
      </c>
      <c r="G22" s="62">
        <f t="shared" si="4"/>
        <v>25965259.361344539</v>
      </c>
      <c r="H22" s="62">
        <f t="shared" si="5"/>
        <v>103861</v>
      </c>
      <c r="I22" s="62">
        <f>G22-H22</f>
        <v>25861398.361344539</v>
      </c>
      <c r="J22" s="71">
        <v>0</v>
      </c>
      <c r="K22" s="2"/>
      <c r="L22" s="70">
        <f>I22-J22</f>
        <v>25861398.361344539</v>
      </c>
    </row>
    <row r="23" spans="1:15" x14ac:dyDescent="0.3">
      <c r="A23" s="83" t="s">
        <v>15</v>
      </c>
      <c r="B23" s="83"/>
      <c r="C23" s="83"/>
      <c r="D23" s="83"/>
      <c r="E23" s="83"/>
      <c r="F23" s="83"/>
      <c r="G23" s="83"/>
      <c r="H23" s="83"/>
      <c r="I23" s="69"/>
      <c r="J23" s="69"/>
      <c r="K23" s="69"/>
      <c r="L23" s="8">
        <f>SUM(L16:L22)</f>
        <v>90873281.746382043</v>
      </c>
    </row>
    <row r="25" spans="1:15" x14ac:dyDescent="0.3">
      <c r="F25" s="13"/>
      <c r="H25" s="68"/>
    </row>
    <row r="26" spans="1:15" x14ac:dyDescent="0.3">
      <c r="D26" s="3" t="s">
        <v>21</v>
      </c>
      <c r="E26" s="15">
        <f>D4</f>
        <v>22148848.47899159</v>
      </c>
      <c r="F26" s="13"/>
    </row>
    <row r="27" spans="1:15" x14ac:dyDescent="0.3">
      <c r="A27" s="9" t="s">
        <v>18</v>
      </c>
      <c r="B27" s="6">
        <f>D4+D12+L23</f>
        <v>200000000</v>
      </c>
      <c r="C27" s="13"/>
      <c r="D27" s="3" t="s">
        <v>22</v>
      </c>
      <c r="E27" s="15">
        <f>D12</f>
        <v>86977869.774626344</v>
      </c>
      <c r="F27" s="13"/>
    </row>
    <row r="28" spans="1:15" x14ac:dyDescent="0.3">
      <c r="D28" s="3" t="s">
        <v>23</v>
      </c>
      <c r="E28" s="15">
        <f>L23</f>
        <v>90873281.746382043</v>
      </c>
    </row>
    <row r="31" spans="1:15" x14ac:dyDescent="0.3">
      <c r="C31" s="13"/>
    </row>
    <row r="33" spans="3:3" x14ac:dyDescent="0.3">
      <c r="C33" s="13"/>
    </row>
  </sheetData>
  <mergeCells count="6">
    <mergeCell ref="A23:H23"/>
    <mergeCell ref="A1:D1"/>
    <mergeCell ref="A4:C4"/>
    <mergeCell ref="A6:D6"/>
    <mergeCell ref="A12:C12"/>
    <mergeCell ref="A14:I1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9938-A146-49D8-83F7-743CA17E4708}">
  <dimension ref="A1:L32"/>
  <sheetViews>
    <sheetView showGridLines="0" topLeftCell="B20" workbookViewId="0">
      <selection activeCell="F31" sqref="F31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49.77734375" customWidth="1"/>
    <col min="7" max="7" width="16.88671875" bestFit="1" customWidth="1"/>
    <col min="8" max="8" width="16.77734375" customWidth="1"/>
    <col min="9" max="9" width="16.88671875" bestFit="1" customWidth="1"/>
    <col min="10" max="10" width="16.88671875" customWidth="1"/>
    <col min="11" max="11" width="20.88671875" customWidth="1"/>
    <col min="12" max="12" width="27.109375" customWidth="1"/>
    <col min="13" max="13" width="11.33203125" bestFit="1" customWidth="1"/>
    <col min="14" max="14" width="47.109375" customWidth="1"/>
    <col min="15" max="15" width="19.6640625" customWidth="1"/>
  </cols>
  <sheetData>
    <row r="1" spans="1:12" x14ac:dyDescent="0.3">
      <c r="A1" s="78" t="s">
        <v>19</v>
      </c>
      <c r="B1" s="78"/>
      <c r="C1" s="78"/>
      <c r="D1" s="79"/>
    </row>
    <row r="2" spans="1:12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12" x14ac:dyDescent="0.3">
      <c r="A3" s="55" t="s">
        <v>4</v>
      </c>
      <c r="B3" s="56">
        <v>6</v>
      </c>
      <c r="C3" s="57" t="s">
        <v>70</v>
      </c>
      <c r="D3" s="58">
        <v>12255588.570868345</v>
      </c>
      <c r="E3" s="1"/>
      <c r="F3" s="1"/>
    </row>
    <row r="4" spans="1:12" x14ac:dyDescent="0.3">
      <c r="A4" s="55" t="s">
        <v>4</v>
      </c>
      <c r="B4" s="56">
        <v>7</v>
      </c>
      <c r="C4" s="57" t="s">
        <v>74</v>
      </c>
      <c r="D4" s="58">
        <v>11771304.58</v>
      </c>
      <c r="E4" s="1"/>
      <c r="F4" s="1"/>
    </row>
    <row r="5" spans="1:12" x14ac:dyDescent="0.3">
      <c r="A5" s="75" t="s">
        <v>15</v>
      </c>
      <c r="B5" s="76"/>
      <c r="C5" s="77"/>
      <c r="D5" s="7">
        <f>SUM(D3:D4)</f>
        <v>24026893.150868345</v>
      </c>
    </row>
    <row r="6" spans="1:12" x14ac:dyDescent="0.3">
      <c r="A6" s="5"/>
      <c r="B6" s="5"/>
      <c r="C6" s="5"/>
      <c r="D6" s="5"/>
    </row>
    <row r="7" spans="1:12" x14ac:dyDescent="0.3">
      <c r="A7" s="84" t="s">
        <v>6</v>
      </c>
      <c r="B7" s="84"/>
      <c r="C7" s="84"/>
      <c r="D7" s="84"/>
    </row>
    <row r="8" spans="1:12" x14ac:dyDescent="0.3">
      <c r="A8" s="4" t="s">
        <v>5</v>
      </c>
      <c r="B8" s="4" t="s">
        <v>2</v>
      </c>
      <c r="C8" s="4" t="s">
        <v>1</v>
      </c>
      <c r="D8" s="4" t="s">
        <v>0</v>
      </c>
      <c r="G8" s="11"/>
    </row>
    <row r="9" spans="1:12" x14ac:dyDescent="0.3">
      <c r="A9" s="4" t="s">
        <v>20</v>
      </c>
      <c r="B9" s="4">
        <v>7</v>
      </c>
      <c r="C9" s="2">
        <v>474</v>
      </c>
      <c r="D9" s="14">
        <v>22954369.82</v>
      </c>
      <c r="G9" s="11"/>
    </row>
    <row r="10" spans="1:12" x14ac:dyDescent="0.3">
      <c r="A10" s="4" t="s">
        <v>4</v>
      </c>
      <c r="B10" s="4">
        <v>7</v>
      </c>
      <c r="C10" s="4" t="s">
        <v>74</v>
      </c>
      <c r="D10" s="14">
        <v>8962985.3800000008</v>
      </c>
      <c r="G10" s="11"/>
    </row>
    <row r="11" spans="1:12" x14ac:dyDescent="0.3">
      <c r="A11" s="4" t="s">
        <v>20</v>
      </c>
      <c r="B11" s="53">
        <v>8</v>
      </c>
      <c r="C11" s="54">
        <v>508</v>
      </c>
      <c r="D11" s="14">
        <v>39844217.68</v>
      </c>
      <c r="G11" s="11"/>
    </row>
    <row r="12" spans="1:12" x14ac:dyDescent="0.3">
      <c r="A12" s="4" t="s">
        <v>4</v>
      </c>
      <c r="B12" s="53">
        <v>8</v>
      </c>
      <c r="C12" s="4" t="s">
        <v>75</v>
      </c>
      <c r="D12" s="14">
        <f>1853170.83783859+35996+92186</f>
        <v>1981352.8378385899</v>
      </c>
      <c r="E12" s="73">
        <f>8981935.17437952-D12</f>
        <v>7000582.33654093</v>
      </c>
      <c r="F12" s="72" t="s">
        <v>77</v>
      </c>
      <c r="G12" s="11"/>
    </row>
    <row r="13" spans="1:12" x14ac:dyDescent="0.3">
      <c r="A13" s="75" t="s">
        <v>16</v>
      </c>
      <c r="B13" s="76"/>
      <c r="C13" s="77"/>
      <c r="D13" s="7">
        <f>SUM(D9:D12)</f>
        <v>73742925.717838585</v>
      </c>
    </row>
    <row r="15" spans="1:12" x14ac:dyDescent="0.3">
      <c r="A15" s="85" t="s">
        <v>17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</row>
    <row r="16" spans="1:12" s="5" customFormat="1" ht="28.8" x14ac:dyDescent="0.3">
      <c r="A16" s="4" t="s">
        <v>3</v>
      </c>
      <c r="B16" s="4" t="s">
        <v>14</v>
      </c>
      <c r="C16" s="16" t="s">
        <v>7</v>
      </c>
      <c r="D16" s="16" t="s">
        <v>8</v>
      </c>
      <c r="E16" s="17" t="s">
        <v>9</v>
      </c>
      <c r="F16" s="18" t="s">
        <v>10</v>
      </c>
      <c r="G16" s="18" t="s">
        <v>11</v>
      </c>
      <c r="H16" s="18" t="s">
        <v>12</v>
      </c>
      <c r="I16" s="18" t="s">
        <v>13</v>
      </c>
      <c r="J16" s="18" t="s">
        <v>66</v>
      </c>
      <c r="K16" s="61" t="s">
        <v>58</v>
      </c>
      <c r="L16" s="4" t="s">
        <v>67</v>
      </c>
    </row>
    <row r="17" spans="1:12" s="5" customFormat="1" ht="28.8" x14ac:dyDescent="0.3">
      <c r="A17" s="4" t="s">
        <v>26</v>
      </c>
      <c r="B17" s="4">
        <v>425</v>
      </c>
      <c r="C17" s="63" t="s">
        <v>60</v>
      </c>
      <c r="D17" s="64" t="s">
        <v>29</v>
      </c>
      <c r="E17" s="62">
        <v>5201728</v>
      </c>
      <c r="F17" s="62">
        <v>830528</v>
      </c>
      <c r="G17" s="62">
        <v>4371200</v>
      </c>
      <c r="H17" s="62">
        <f t="shared" ref="H17:H21" si="0">ROUND(G17*0.004,0)</f>
        <v>17485</v>
      </c>
      <c r="I17" s="62">
        <f>G17-H17</f>
        <v>4353715</v>
      </c>
      <c r="J17" s="62"/>
      <c r="K17" s="70"/>
      <c r="L17" s="70">
        <f>I17</f>
        <v>4353715</v>
      </c>
    </row>
    <row r="18" spans="1:12" s="5" customFormat="1" ht="28.8" x14ac:dyDescent="0.3">
      <c r="A18" s="4" t="s">
        <v>26</v>
      </c>
      <c r="B18" s="4">
        <v>450</v>
      </c>
      <c r="C18" s="63" t="s">
        <v>72</v>
      </c>
      <c r="D18" s="64" t="s">
        <v>27</v>
      </c>
      <c r="E18" s="24">
        <v>5201728</v>
      </c>
      <c r="F18" s="62">
        <f t="shared" ref="F18:F21" si="1">(E18)-(E18)/1.19</f>
        <v>830528</v>
      </c>
      <c r="G18" s="62">
        <f t="shared" ref="G18:G21" si="2">E18-F18</f>
        <v>4371200</v>
      </c>
      <c r="H18" s="62">
        <f t="shared" si="0"/>
        <v>17485</v>
      </c>
      <c r="I18" s="62">
        <f t="shared" ref="I18:I20" si="3">G18-H18</f>
        <v>4353715</v>
      </c>
      <c r="J18" s="70">
        <f>I18-K18</f>
        <v>3118253.6300514936</v>
      </c>
      <c r="K18" s="74">
        <v>1235461.3699485064</v>
      </c>
      <c r="L18" s="70">
        <f>K18</f>
        <v>1235461.3699485064</v>
      </c>
    </row>
    <row r="19" spans="1:12" s="5" customFormat="1" ht="72" x14ac:dyDescent="0.3">
      <c r="A19" s="4" t="s">
        <v>20</v>
      </c>
      <c r="B19" s="23">
        <v>469</v>
      </c>
      <c r="C19" s="63" t="s">
        <v>76</v>
      </c>
      <c r="D19" s="64" t="s">
        <v>24</v>
      </c>
      <c r="E19" s="65">
        <v>42282998.127999999</v>
      </c>
      <c r="F19" s="62">
        <f t="shared" ref="F19" si="4">(E19)-(E19)/1.19</f>
        <v>6751066.9279999956</v>
      </c>
      <c r="G19" s="62">
        <f t="shared" ref="G19" si="5">E19-F19</f>
        <v>35531931.200000003</v>
      </c>
      <c r="H19" s="62">
        <f t="shared" ref="H19" si="6">ROUND(G19*0.004,0)</f>
        <v>142128</v>
      </c>
      <c r="I19" s="62">
        <f t="shared" ref="I19" si="7">G19-H19</f>
        <v>35389803.200000003</v>
      </c>
      <c r="J19" s="71">
        <v>0</v>
      </c>
      <c r="K19" s="2"/>
      <c r="L19" s="70">
        <f>I19-J19</f>
        <v>35389803.200000003</v>
      </c>
    </row>
    <row r="20" spans="1:12" s="1" customFormat="1" ht="72" x14ac:dyDescent="0.3">
      <c r="A20" s="4" t="s">
        <v>20</v>
      </c>
      <c r="B20" s="23">
        <v>452</v>
      </c>
      <c r="C20" s="63" t="s">
        <v>72</v>
      </c>
      <c r="D20" s="64" t="s">
        <v>24</v>
      </c>
      <c r="E20" s="65">
        <v>42282998.127999999</v>
      </c>
      <c r="F20" s="62">
        <f t="shared" si="1"/>
        <v>6751066.9279999956</v>
      </c>
      <c r="G20" s="62">
        <f t="shared" si="2"/>
        <v>35531931.200000003</v>
      </c>
      <c r="H20" s="62">
        <f t="shared" si="0"/>
        <v>142128</v>
      </c>
      <c r="I20" s="62">
        <f t="shared" si="3"/>
        <v>35389803.200000003</v>
      </c>
      <c r="J20" s="71">
        <v>0</v>
      </c>
      <c r="K20" s="2"/>
      <c r="L20" s="70">
        <f>I20-J20</f>
        <v>35389803.200000003</v>
      </c>
    </row>
    <row r="21" spans="1:12" s="1" customFormat="1" ht="43.2" x14ac:dyDescent="0.3">
      <c r="A21" s="4" t="s">
        <v>34</v>
      </c>
      <c r="B21" s="23">
        <v>468</v>
      </c>
      <c r="C21" s="63" t="s">
        <v>76</v>
      </c>
      <c r="D21" s="66" t="s">
        <v>35</v>
      </c>
      <c r="E21" s="67">
        <v>30898658.640000001</v>
      </c>
      <c r="F21" s="62">
        <f t="shared" si="1"/>
        <v>4933399.278655462</v>
      </c>
      <c r="G21" s="62">
        <f t="shared" si="2"/>
        <v>25965259.361344539</v>
      </c>
      <c r="H21" s="62">
        <f t="shared" si="0"/>
        <v>103861</v>
      </c>
      <c r="I21" s="62">
        <f>G21-H21</f>
        <v>25861398.361344539</v>
      </c>
      <c r="J21" s="71">
        <v>0</v>
      </c>
      <c r="K21" s="2"/>
      <c r="L21" s="70">
        <f>I21-J21</f>
        <v>25861398.361344539</v>
      </c>
    </row>
    <row r="22" spans="1:12" x14ac:dyDescent="0.3">
      <c r="A22" s="83" t="s">
        <v>15</v>
      </c>
      <c r="B22" s="83"/>
      <c r="C22" s="83"/>
      <c r="D22" s="83"/>
      <c r="E22" s="83"/>
      <c r="F22" s="83"/>
      <c r="G22" s="83"/>
      <c r="H22" s="83"/>
      <c r="I22" s="69"/>
      <c r="J22" s="69"/>
      <c r="K22" s="69"/>
      <c r="L22" s="8">
        <f>SUM(L17:L21)</f>
        <v>102230181.13129306</v>
      </c>
    </row>
    <row r="24" spans="1:12" x14ac:dyDescent="0.3">
      <c r="F24" s="13"/>
      <c r="H24" s="68"/>
    </row>
    <row r="25" spans="1:12" x14ac:dyDescent="0.3">
      <c r="D25" s="3" t="s">
        <v>21</v>
      </c>
      <c r="E25" s="15">
        <f>D5</f>
        <v>24026893.150868345</v>
      </c>
      <c r="F25" s="13"/>
    </row>
    <row r="26" spans="1:12" x14ac:dyDescent="0.3">
      <c r="A26" s="9" t="s">
        <v>18</v>
      </c>
      <c r="B26" s="6">
        <f>D5+D13+L22</f>
        <v>200000000</v>
      </c>
      <c r="C26" s="13"/>
      <c r="D26" s="3" t="s">
        <v>22</v>
      </c>
      <c r="E26" s="15">
        <f>D13</f>
        <v>73742925.717838585</v>
      </c>
      <c r="F26" s="13"/>
    </row>
    <row r="27" spans="1:12" x14ac:dyDescent="0.3">
      <c r="D27" s="3" t="s">
        <v>23</v>
      </c>
      <c r="E27" s="15">
        <f>L22</f>
        <v>102230181.13129306</v>
      </c>
    </row>
    <row r="29" spans="1:12" x14ac:dyDescent="0.3">
      <c r="C29" s="13">
        <f>B26-200000000</f>
        <v>0</v>
      </c>
      <c r="D29">
        <v>92186</v>
      </c>
    </row>
    <row r="30" spans="1:12" x14ac:dyDescent="0.3">
      <c r="C30" s="13"/>
      <c r="D30">
        <v>35996</v>
      </c>
    </row>
    <row r="32" spans="1:12" x14ac:dyDescent="0.3">
      <c r="C32" s="13"/>
      <c r="D32" s="13"/>
    </row>
  </sheetData>
  <mergeCells count="6">
    <mergeCell ref="A22:H22"/>
    <mergeCell ref="A15:L15"/>
    <mergeCell ref="A1:D1"/>
    <mergeCell ref="A5:C5"/>
    <mergeCell ref="A7:D7"/>
    <mergeCell ref="A13:C13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A55D-60D4-4063-BF04-BCA5C3343791}">
  <dimension ref="A1:I44"/>
  <sheetViews>
    <sheetView topLeftCell="A30" workbookViewId="0">
      <selection activeCell="G38" sqref="G38"/>
    </sheetView>
  </sheetViews>
  <sheetFormatPr baseColWidth="10" defaultColWidth="10.6640625" defaultRowHeight="14.4" x14ac:dyDescent="0.3"/>
  <cols>
    <col min="1" max="1" width="21.33203125" customWidth="1"/>
    <col min="2" max="2" width="35.33203125" customWidth="1"/>
    <col min="3" max="3" width="26.6640625" customWidth="1"/>
    <col min="4" max="4" width="30.88671875" customWidth="1"/>
    <col min="5" max="5" width="18.109375" customWidth="1"/>
    <col min="6" max="6" width="16.44140625" bestFit="1" customWidth="1"/>
    <col min="7" max="7" width="15.33203125" bestFit="1" customWidth="1"/>
    <col min="8" max="8" width="12.6640625" bestFit="1" customWidth="1"/>
    <col min="9" max="9" width="16.44140625" bestFit="1" customWidth="1"/>
  </cols>
  <sheetData>
    <row r="1" spans="1:7" x14ac:dyDescent="0.3">
      <c r="A1" s="78" t="s">
        <v>19</v>
      </c>
      <c r="B1" s="78"/>
      <c r="C1" s="78"/>
      <c r="D1" s="79"/>
    </row>
    <row r="2" spans="1:7" x14ac:dyDescent="0.3">
      <c r="A2" s="3" t="s">
        <v>3</v>
      </c>
      <c r="B2" s="2" t="s">
        <v>2</v>
      </c>
      <c r="C2" s="2" t="s">
        <v>1</v>
      </c>
      <c r="D2" s="2" t="s">
        <v>0</v>
      </c>
      <c r="E2" s="1"/>
      <c r="F2" s="1"/>
    </row>
    <row r="3" spans="1:7" x14ac:dyDescent="0.3">
      <c r="A3" s="4" t="s">
        <v>4</v>
      </c>
      <c r="B3" s="4" t="s">
        <v>32</v>
      </c>
      <c r="C3" s="4" t="s">
        <v>33</v>
      </c>
      <c r="D3" s="10">
        <v>15729623.771406163</v>
      </c>
    </row>
    <row r="4" spans="1:7" x14ac:dyDescent="0.3">
      <c r="A4" s="4" t="s">
        <v>4</v>
      </c>
      <c r="B4" s="4" t="s">
        <v>36</v>
      </c>
      <c r="C4" s="4" t="s">
        <v>37</v>
      </c>
      <c r="D4" s="10">
        <v>19178664.062184878</v>
      </c>
    </row>
    <row r="5" spans="1:7" x14ac:dyDescent="0.3">
      <c r="A5" s="4" t="s">
        <v>4</v>
      </c>
      <c r="B5" s="4" t="s">
        <v>39</v>
      </c>
      <c r="C5" s="4" t="s">
        <v>41</v>
      </c>
      <c r="D5" s="10">
        <v>18142698.74789916</v>
      </c>
    </row>
    <row r="6" spans="1:7" x14ac:dyDescent="0.3">
      <c r="A6" s="75" t="s">
        <v>15</v>
      </c>
      <c r="B6" s="76"/>
      <c r="C6" s="77"/>
      <c r="D6" s="7">
        <f>SUM(D3:D5)</f>
        <v>53050986.581490204</v>
      </c>
      <c r="F6" s="11"/>
    </row>
    <row r="7" spans="1:7" x14ac:dyDescent="0.3">
      <c r="A7" s="5"/>
      <c r="B7" s="5"/>
      <c r="C7" s="5"/>
      <c r="D7" s="5"/>
    </row>
    <row r="8" spans="1:7" x14ac:dyDescent="0.3">
      <c r="A8" s="84" t="s">
        <v>6</v>
      </c>
      <c r="B8" s="84"/>
      <c r="C8" s="84"/>
      <c r="D8" s="84"/>
    </row>
    <row r="9" spans="1:7" x14ac:dyDescent="0.3">
      <c r="A9" s="4" t="s">
        <v>5</v>
      </c>
      <c r="B9" s="4" t="s">
        <v>2</v>
      </c>
      <c r="C9" s="4" t="s">
        <v>1</v>
      </c>
      <c r="D9" s="4" t="s">
        <v>0</v>
      </c>
      <c r="G9" s="11"/>
    </row>
    <row r="10" spans="1:7" x14ac:dyDescent="0.3">
      <c r="A10" s="4" t="s">
        <v>25</v>
      </c>
      <c r="B10" s="4" t="s">
        <v>30</v>
      </c>
      <c r="C10" s="4">
        <v>324</v>
      </c>
      <c r="D10" s="14">
        <v>34632854.560000002</v>
      </c>
    </row>
    <row r="11" spans="1:7" x14ac:dyDescent="0.3">
      <c r="A11" s="4" t="s">
        <v>25</v>
      </c>
      <c r="B11" s="4" t="s">
        <v>32</v>
      </c>
      <c r="C11" s="4">
        <v>344</v>
      </c>
      <c r="D11" s="14">
        <v>51111988.119999997</v>
      </c>
    </row>
    <row r="12" spans="1:7" x14ac:dyDescent="0.3">
      <c r="A12" s="4" t="s">
        <v>4</v>
      </c>
      <c r="B12" s="4" t="s">
        <v>36</v>
      </c>
      <c r="C12" s="4" t="s">
        <v>37</v>
      </c>
      <c r="D12" s="14">
        <v>6341301.9424343035</v>
      </c>
      <c r="G12" s="11"/>
    </row>
    <row r="13" spans="1:7" x14ac:dyDescent="0.3">
      <c r="A13" s="4" t="s">
        <v>25</v>
      </c>
      <c r="B13" s="4" t="s">
        <v>36</v>
      </c>
      <c r="C13" s="4">
        <v>361</v>
      </c>
      <c r="D13" s="14">
        <v>24945995.579999998</v>
      </c>
    </row>
    <row r="14" spans="1:7" x14ac:dyDescent="0.3">
      <c r="A14" s="4" t="s">
        <v>4</v>
      </c>
      <c r="B14" s="4" t="s">
        <v>40</v>
      </c>
      <c r="C14" s="4" t="s">
        <v>41</v>
      </c>
      <c r="D14" s="14">
        <v>6723368.6372785755</v>
      </c>
      <c r="G14" s="11"/>
    </row>
    <row r="15" spans="1:7" x14ac:dyDescent="0.3">
      <c r="A15" s="4" t="s">
        <v>25</v>
      </c>
      <c r="B15" s="4" t="s">
        <v>40</v>
      </c>
      <c r="C15" s="4">
        <v>378</v>
      </c>
      <c r="D15" s="14">
        <v>29589875.719999999</v>
      </c>
    </row>
    <row r="16" spans="1:7" x14ac:dyDescent="0.3">
      <c r="A16" s="75" t="s">
        <v>16</v>
      </c>
      <c r="B16" s="76"/>
      <c r="C16" s="77"/>
      <c r="D16" s="7">
        <f>SUM(D10:D15)</f>
        <v>153345384.55971289</v>
      </c>
    </row>
    <row r="18" spans="1:9" x14ac:dyDescent="0.3">
      <c r="A18" s="84" t="s">
        <v>17</v>
      </c>
      <c r="B18" s="84"/>
      <c r="C18" s="84"/>
      <c r="D18" s="84"/>
      <c r="E18" s="84"/>
      <c r="F18" s="84"/>
      <c r="G18" s="84"/>
      <c r="H18" s="84"/>
      <c r="I18" s="84"/>
    </row>
    <row r="19" spans="1:9" s="5" customFormat="1" ht="28.8" x14ac:dyDescent="0.3">
      <c r="A19" s="4" t="s">
        <v>3</v>
      </c>
      <c r="B19" s="4" t="s">
        <v>14</v>
      </c>
      <c r="C19" s="16" t="s">
        <v>7</v>
      </c>
      <c r="D19" s="16" t="s">
        <v>8</v>
      </c>
      <c r="E19" s="17" t="s">
        <v>9</v>
      </c>
      <c r="F19" s="18" t="s">
        <v>10</v>
      </c>
      <c r="G19" s="18" t="s">
        <v>11</v>
      </c>
      <c r="H19" s="18" t="s">
        <v>12</v>
      </c>
      <c r="I19" s="18" t="s">
        <v>13</v>
      </c>
    </row>
    <row r="20" spans="1:9" s="5" customFormat="1" ht="28.8" x14ac:dyDescent="0.3">
      <c r="A20" s="4" t="s">
        <v>26</v>
      </c>
      <c r="B20" s="4">
        <v>328</v>
      </c>
      <c r="C20" s="16" t="s">
        <v>31</v>
      </c>
      <c r="D20" s="16" t="s">
        <v>27</v>
      </c>
      <c r="E20" s="34">
        <v>5819710.7800000003</v>
      </c>
      <c r="F20" s="34">
        <v>929197.52</v>
      </c>
      <c r="G20" s="34">
        <v>4890513.26</v>
      </c>
      <c r="H20" s="34">
        <v>19562</v>
      </c>
      <c r="I20" s="34">
        <v>4870951.26</v>
      </c>
    </row>
    <row r="21" spans="1:9" s="5" customFormat="1" ht="28.8" x14ac:dyDescent="0.3">
      <c r="A21" s="4" t="s">
        <v>26</v>
      </c>
      <c r="B21" s="4">
        <v>330</v>
      </c>
      <c r="C21" s="16" t="s">
        <v>31</v>
      </c>
      <c r="D21" s="16" t="s">
        <v>28</v>
      </c>
      <c r="E21" s="34">
        <v>3090399.06</v>
      </c>
      <c r="F21" s="34">
        <v>493425.06</v>
      </c>
      <c r="G21" s="34">
        <v>2596974</v>
      </c>
      <c r="H21" s="34">
        <v>10388</v>
      </c>
      <c r="I21" s="34">
        <v>2219608.0702617168</v>
      </c>
    </row>
    <row r="22" spans="1:9" s="5" customFormat="1" ht="28.8" x14ac:dyDescent="0.3">
      <c r="A22" s="4" t="s">
        <v>26</v>
      </c>
      <c r="B22" s="4">
        <v>329</v>
      </c>
      <c r="C22" s="16" t="s">
        <v>31</v>
      </c>
      <c r="D22" s="16" t="s">
        <v>29</v>
      </c>
      <c r="E22" s="34">
        <v>5201728</v>
      </c>
      <c r="F22" s="34">
        <v>830528</v>
      </c>
      <c r="G22" s="34">
        <v>4371200</v>
      </c>
      <c r="H22" s="34">
        <v>17485</v>
      </c>
      <c r="I22" s="34">
        <v>4353715</v>
      </c>
    </row>
    <row r="23" spans="1:9" s="5" customFormat="1" ht="72" x14ac:dyDescent="0.3">
      <c r="A23" s="4" t="s">
        <v>20</v>
      </c>
      <c r="B23" s="4">
        <v>332</v>
      </c>
      <c r="C23" s="16" t="s">
        <v>31</v>
      </c>
      <c r="D23" s="16" t="s">
        <v>24</v>
      </c>
      <c r="E23" s="34">
        <v>40192964</v>
      </c>
      <c r="F23" s="34">
        <v>6417364</v>
      </c>
      <c r="G23" s="34">
        <v>33775600</v>
      </c>
      <c r="H23" s="34">
        <v>135102</v>
      </c>
      <c r="I23" s="34">
        <v>33640498</v>
      </c>
    </row>
    <row r="24" spans="1:9" s="5" customFormat="1" ht="43.2" x14ac:dyDescent="0.3">
      <c r="A24" s="4" t="s">
        <v>34</v>
      </c>
      <c r="B24" s="4">
        <v>331</v>
      </c>
      <c r="C24" s="16" t="s">
        <v>31</v>
      </c>
      <c r="D24" s="16" t="s">
        <v>35</v>
      </c>
      <c r="E24" s="34">
        <v>29371348.52</v>
      </c>
      <c r="F24" s="34">
        <v>4689543.04</v>
      </c>
      <c r="G24" s="34">
        <v>24681805.48</v>
      </c>
      <c r="H24" s="34">
        <v>98727</v>
      </c>
      <c r="I24" s="34">
        <v>24583078.48</v>
      </c>
    </row>
    <row r="25" spans="1:9" s="5" customFormat="1" ht="28.8" x14ac:dyDescent="0.3">
      <c r="A25" s="4" t="s">
        <v>26</v>
      </c>
      <c r="B25" s="4">
        <v>353</v>
      </c>
      <c r="C25" s="16" t="s">
        <v>38</v>
      </c>
      <c r="D25" s="16" t="s">
        <v>27</v>
      </c>
      <c r="E25" s="34">
        <v>5819710.7800000003</v>
      </c>
      <c r="F25" s="34">
        <v>929197.51949579827</v>
      </c>
      <c r="G25" s="34">
        <v>4890513.260504202</v>
      </c>
      <c r="H25" s="34">
        <v>19562</v>
      </c>
      <c r="I25" s="34">
        <v>4870951.260504202</v>
      </c>
    </row>
    <row r="26" spans="1:9" s="5" customFormat="1" ht="28.8" x14ac:dyDescent="0.3">
      <c r="A26" s="4" t="s">
        <v>26</v>
      </c>
      <c r="B26" s="4">
        <v>355</v>
      </c>
      <c r="C26" s="16" t="s">
        <v>38</v>
      </c>
      <c r="D26" s="16" t="s">
        <v>28</v>
      </c>
      <c r="E26" s="34">
        <v>3090399.06</v>
      </c>
      <c r="F26" s="34">
        <v>493425.06</v>
      </c>
      <c r="G26" s="34">
        <v>2596974</v>
      </c>
      <c r="H26" s="34">
        <v>10388</v>
      </c>
      <c r="I26" s="34">
        <v>2586586</v>
      </c>
    </row>
    <row r="27" spans="1:9" s="5" customFormat="1" ht="28.8" x14ac:dyDescent="0.3">
      <c r="A27" s="4" t="s">
        <v>26</v>
      </c>
      <c r="B27" s="4">
        <v>354</v>
      </c>
      <c r="C27" s="16" t="s">
        <v>38</v>
      </c>
      <c r="D27" s="16" t="s">
        <v>29</v>
      </c>
      <c r="E27" s="34">
        <v>5201728</v>
      </c>
      <c r="F27" s="34">
        <v>830528</v>
      </c>
      <c r="G27" s="34">
        <v>4371200</v>
      </c>
      <c r="H27" s="34">
        <v>17485</v>
      </c>
      <c r="I27" s="34">
        <v>4353715</v>
      </c>
    </row>
    <row r="28" spans="1:9" s="5" customFormat="1" ht="72" x14ac:dyDescent="0.3">
      <c r="A28" s="4" t="s">
        <v>20</v>
      </c>
      <c r="B28" s="4">
        <v>356</v>
      </c>
      <c r="C28" s="16" t="s">
        <v>38</v>
      </c>
      <c r="D28" s="16" t="s">
        <v>24</v>
      </c>
      <c r="E28" s="34">
        <v>42282998.127999999</v>
      </c>
      <c r="F28" s="34">
        <v>6751066.9279999956</v>
      </c>
      <c r="G28" s="34">
        <v>35531931.200000003</v>
      </c>
      <c r="H28" s="34">
        <v>142128</v>
      </c>
      <c r="I28" s="34">
        <v>35389803.200000003</v>
      </c>
    </row>
    <row r="29" spans="1:9" s="5" customFormat="1" ht="43.2" x14ac:dyDescent="0.3">
      <c r="A29" s="4" t="s">
        <v>34</v>
      </c>
      <c r="B29" s="4">
        <v>358</v>
      </c>
      <c r="C29" s="16" t="s">
        <v>38</v>
      </c>
      <c r="D29" s="16" t="s">
        <v>35</v>
      </c>
      <c r="E29" s="34">
        <v>29371348.52</v>
      </c>
      <c r="F29" s="34">
        <v>4689543.04</v>
      </c>
      <c r="G29" s="34">
        <v>24681805.48</v>
      </c>
      <c r="H29" s="34">
        <v>98727</v>
      </c>
      <c r="I29" s="34">
        <v>24583078.48</v>
      </c>
    </row>
    <row r="30" spans="1:9" s="5" customFormat="1" ht="72" x14ac:dyDescent="0.3">
      <c r="A30" s="4" t="s">
        <v>20</v>
      </c>
      <c r="B30" s="4">
        <v>366</v>
      </c>
      <c r="C30" s="16" t="s">
        <v>42</v>
      </c>
      <c r="D30" s="16" t="s">
        <v>24</v>
      </c>
      <c r="E30" s="34">
        <v>42282998.127999999</v>
      </c>
      <c r="F30" s="34">
        <v>6751066.9279999956</v>
      </c>
      <c r="G30" s="34">
        <v>35531931.200000003</v>
      </c>
      <c r="H30" s="34">
        <v>142128</v>
      </c>
      <c r="I30" s="34">
        <v>35389803.200000003</v>
      </c>
    </row>
    <row r="31" spans="1:9" s="5" customFormat="1" ht="43.2" x14ac:dyDescent="0.3">
      <c r="A31" s="4" t="s">
        <v>34</v>
      </c>
      <c r="B31" s="4">
        <v>367</v>
      </c>
      <c r="C31" s="16" t="s">
        <v>42</v>
      </c>
      <c r="D31" s="16" t="s">
        <v>35</v>
      </c>
      <c r="E31" s="34">
        <v>29371348.52</v>
      </c>
      <c r="F31" s="34">
        <v>4689543.04</v>
      </c>
      <c r="G31" s="34">
        <v>24681805.48</v>
      </c>
      <c r="H31" s="34">
        <v>98727</v>
      </c>
      <c r="I31" s="34">
        <v>24583078.48</v>
      </c>
    </row>
    <row r="32" spans="1:9" s="1" customFormat="1" ht="48" x14ac:dyDescent="0.3">
      <c r="A32" s="4" t="s">
        <v>20</v>
      </c>
      <c r="B32" s="23">
        <v>381</v>
      </c>
      <c r="C32" s="12" t="s">
        <v>43</v>
      </c>
      <c r="D32" s="20" t="s">
        <v>24</v>
      </c>
      <c r="E32" s="19">
        <v>42282998.127999999</v>
      </c>
      <c r="F32" s="35">
        <v>6751066.9279999956</v>
      </c>
      <c r="G32" s="35">
        <v>35531931.200000003</v>
      </c>
      <c r="H32" s="36">
        <v>142128</v>
      </c>
      <c r="I32" s="36">
        <v>35389803.200000003</v>
      </c>
    </row>
    <row r="33" spans="1:9" s="1" customFormat="1" ht="24" x14ac:dyDescent="0.3">
      <c r="A33" s="4" t="s">
        <v>34</v>
      </c>
      <c r="B33" s="23">
        <v>386</v>
      </c>
      <c r="C33" s="12" t="s">
        <v>43</v>
      </c>
      <c r="D33" s="25" t="s">
        <v>35</v>
      </c>
      <c r="E33" s="37">
        <v>30236824.25</v>
      </c>
      <c r="F33" s="37">
        <v>4827728.2415966392</v>
      </c>
      <c r="G33" s="37">
        <v>25409096.008403361</v>
      </c>
      <c r="H33" s="38">
        <v>101636</v>
      </c>
      <c r="I33" s="38">
        <v>25307460.008403361</v>
      </c>
    </row>
    <row r="34" spans="1:9" x14ac:dyDescent="0.3">
      <c r="A34" s="83" t="s">
        <v>15</v>
      </c>
      <c r="B34" s="83"/>
      <c r="C34" s="83"/>
      <c r="D34" s="83"/>
      <c r="E34" s="83"/>
      <c r="F34" s="83"/>
      <c r="G34" s="83"/>
      <c r="H34" s="83"/>
      <c r="I34" s="8">
        <f>SUM(I20:I33)</f>
        <v>262122129.63916928</v>
      </c>
    </row>
    <row r="36" spans="1:9" x14ac:dyDescent="0.3">
      <c r="F36" s="13"/>
    </row>
    <row r="37" spans="1:9" x14ac:dyDescent="0.3">
      <c r="D37" s="3" t="s">
        <v>21</v>
      </c>
      <c r="E37" s="15">
        <f>D6</f>
        <v>53050986.581490204</v>
      </c>
      <c r="F37" s="13"/>
    </row>
    <row r="38" spans="1:9" x14ac:dyDescent="0.3">
      <c r="A38" s="9" t="s">
        <v>18</v>
      </c>
      <c r="B38" s="6">
        <f>D6+D16+I34</f>
        <v>468518500.78037238</v>
      </c>
      <c r="C38" s="13"/>
      <c r="D38" s="3" t="s">
        <v>22</v>
      </c>
      <c r="E38" s="15">
        <f>D16</f>
        <v>153345384.55971289</v>
      </c>
      <c r="F38" s="13"/>
    </row>
    <row r="39" spans="1:9" x14ac:dyDescent="0.3">
      <c r="D39" s="3" t="s">
        <v>23</v>
      </c>
      <c r="E39" s="15">
        <f>I34</f>
        <v>262122129.63916928</v>
      </c>
    </row>
    <row r="44" spans="1:9" x14ac:dyDescent="0.3">
      <c r="C44" s="13"/>
    </row>
  </sheetData>
  <mergeCells count="6">
    <mergeCell ref="A34:H34"/>
    <mergeCell ref="A1:D1"/>
    <mergeCell ref="A6:C6"/>
    <mergeCell ref="A8:D8"/>
    <mergeCell ref="A16:C16"/>
    <mergeCell ref="A18:I1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Noviembre</vt:lpstr>
      <vt:lpstr>ANI</vt:lpstr>
      <vt:lpstr>Enero 2024</vt:lpstr>
      <vt:lpstr>ANI.</vt:lpstr>
      <vt:lpstr>ANI,.</vt:lpstr>
      <vt:lpstr>ANI1</vt:lpstr>
      <vt:lpstr>ANI  200</vt:lpstr>
      <vt:lpstr>2002-2</vt:lpstr>
      <vt:lpstr>Compilado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FLOREZ ORTIZ JONY ALEXANDER</dc:creator>
  <cp:lastModifiedBy>jony florez ortiz</cp:lastModifiedBy>
  <dcterms:created xsi:type="dcterms:W3CDTF">2023-10-24T19:20:37Z</dcterms:created>
  <dcterms:modified xsi:type="dcterms:W3CDTF">2025-11-01T14:03:31Z</dcterms:modified>
</cp:coreProperties>
</file>