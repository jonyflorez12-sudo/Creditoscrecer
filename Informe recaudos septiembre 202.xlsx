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comments2.xml" ContentType="application/vnd.openxmlformats-officedocument.spreadsheetml.comments+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tables/table3.xml" ContentType="application/vnd.openxmlformats-officedocument.spreadsheetml.table+xml"/>
  <Override PartName="/xl/comments3.xml" ContentType="application/vnd.openxmlformats-officedocument.spreadsheetml.comments+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4.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5.xml" ContentType="application/vnd.openxmlformats-officedocument.spreadsheetml.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6.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jony9\Downloads\"/>
    </mc:Choice>
  </mc:AlternateContent>
  <xr:revisionPtr revIDLastSave="0" documentId="8_{BD9D80BF-3D11-4866-9FED-D43DE3AD8B9A}" xr6:coauthVersionLast="47" xr6:coauthVersionMax="47" xr10:uidLastSave="{00000000-0000-0000-0000-000000000000}"/>
  <bookViews>
    <workbookView xWindow="-108" yWindow="-108" windowWidth="23256" windowHeight="12456" activeTab="6" xr2:uid="{4149BD1F-6A73-42F9-B8EA-619618F57442}"/>
  </bookViews>
  <sheets>
    <sheet name="Inmuebles" sheetId="7" r:id="rId1"/>
    <sheet name="Tabla Inm." sheetId="20" state="hidden" r:id="rId2"/>
    <sheet name="Imuebles 2" sheetId="21" r:id="rId3"/>
    <sheet name="Uso de Via" sheetId="11" r:id="rId4"/>
    <sheet name="Material rodante base" sheetId="23" state="hidden" r:id="rId5"/>
    <sheet name="Uso de vía" sheetId="24" state="hidden" r:id="rId6"/>
    <sheet name="Materal rodante" sheetId="10" r:id="rId7"/>
    <sheet name="Operacion comercial " sheetId="13" r:id="rId8"/>
    <sheet name="Base de datos O.P" sheetId="15" state="hidden" r:id="rId9"/>
    <sheet name="Tablas dinamicas O.P" sheetId="16" state="hidden" r:id="rId10"/>
    <sheet name="Turistren." sheetId="19" r:id="rId11"/>
    <sheet name="Turistren base de datos" sheetId="14" state="hidden" r:id="rId12"/>
    <sheet name="Tablas Turistren" sheetId="18" state="hidden" r:id="rId13"/>
  </sheets>
  <definedNames>
    <definedName name="_xlnm._FilterDatabase" localSheetId="0" hidden="1">Inmuebles!$A$4:$V$173</definedName>
    <definedName name="_xlnm._FilterDatabase" localSheetId="6" hidden="1">'Materal rodante'!$1:$1</definedName>
    <definedName name="_xlnm._FilterDatabase" localSheetId="3" hidden="1">'Uso de Via'!$A$3:$Y$75</definedName>
    <definedName name="SegmentaciónDeDatos_Año">#N/A</definedName>
    <definedName name="SegmentaciónDeDatos_AÑO1">#N/A</definedName>
    <definedName name="SegmentaciónDeDatos_AÑO2">#N/A</definedName>
    <definedName name="SegmentaciónDeDatos_Factura">#N/A</definedName>
    <definedName name="SegmentaciónDeDatos_Factura1">#N/A</definedName>
    <definedName name="SegmentaciónDeDatos_Mes">#N/A</definedName>
    <definedName name="SegmentaciónDeDatos_MES1">#N/A</definedName>
  </definedNames>
  <calcPr calcId="191028"/>
  <pivotCaches>
    <pivotCache cacheId="5" r:id="rId14"/>
    <pivotCache cacheId="6" r:id="rId15"/>
    <pivotCache cacheId="7" r:id="rId16"/>
    <pivotCache cacheId="8" r:id="rId17"/>
    <pivotCache cacheId="9" r:id="rId18"/>
  </pivotCaches>
  <extLst>
    <ext xmlns:x14="http://schemas.microsoft.com/office/spreadsheetml/2009/9/main" uri="{BBE1A952-AA13-448e-AADC-164F8A28A991}">
      <x14:slicerCaches>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22" i="7" l="1"/>
  <c r="N246" i="7"/>
  <c r="N247" i="7"/>
  <c r="O247" i="7" s="1"/>
  <c r="N248" i="7"/>
  <c r="O248" i="7" s="1"/>
  <c r="P248" i="7" s="1"/>
  <c r="N249" i="7"/>
  <c r="O249" i="7" s="1"/>
  <c r="N250" i="7"/>
  <c r="O250" i="7" s="1"/>
  <c r="P250" i="7" s="1"/>
  <c r="C246" i="7"/>
  <c r="C247" i="7"/>
  <c r="C248" i="7"/>
  <c r="C249" i="7"/>
  <c r="C250" i="7"/>
  <c r="C217" i="7"/>
  <c r="C216" i="7"/>
  <c r="N216" i="7"/>
  <c r="O216" i="7" s="1"/>
  <c r="P216" i="7" s="1"/>
  <c r="U216" i="7" s="1"/>
  <c r="N217" i="7"/>
  <c r="O217" i="7" s="1"/>
  <c r="B65" i="11"/>
  <c r="O65" i="11"/>
  <c r="P65" i="11" s="1"/>
  <c r="U65" i="11" s="1"/>
  <c r="N207" i="7"/>
  <c r="C207" i="7"/>
  <c r="C206" i="7"/>
  <c r="N206" i="7"/>
  <c r="O206" i="7" s="1"/>
  <c r="C184" i="7"/>
  <c r="N184" i="7"/>
  <c r="O184" i="7" s="1"/>
  <c r="O263" i="7" l="1"/>
  <c r="U250" i="7"/>
  <c r="O260" i="7"/>
  <c r="U248" i="7"/>
  <c r="P247" i="7"/>
  <c r="O246" i="7"/>
  <c r="P246" i="7" s="1"/>
  <c r="U246" i="7" s="1"/>
  <c r="P249" i="7"/>
  <c r="P217" i="7"/>
  <c r="U217" i="7" s="1"/>
  <c r="O207" i="7"/>
  <c r="P207" i="7" s="1"/>
  <c r="U207" i="7" s="1"/>
  <c r="P184" i="7"/>
  <c r="U184" i="7" s="1"/>
  <c r="P206" i="7"/>
  <c r="U206" i="7" s="1"/>
  <c r="U249" i="7" l="1"/>
  <c r="O262" i="7"/>
  <c r="U247" i="7"/>
  <c r="O261" i="7"/>
  <c r="Q35" i="10" l="1"/>
  <c r="P35" i="10"/>
  <c r="O35" i="10"/>
  <c r="H75" i="11"/>
  <c r="G75" i="11"/>
  <c r="O68" i="11" l="1"/>
  <c r="L1226" i="14"/>
  <c r="L1227" i="14"/>
  <c r="L1228" i="14"/>
  <c r="I1229" i="14"/>
  <c r="K1226" i="14"/>
  <c r="K1227" i="14"/>
  <c r="K1228" i="14"/>
  <c r="J1228" i="14"/>
  <c r="J1227" i="14"/>
  <c r="J1226" i="14"/>
  <c r="L1152" i="14" l="1"/>
  <c r="L1153" i="14"/>
  <c r="L1154" i="14"/>
  <c r="L1155" i="14"/>
  <c r="L1156" i="14"/>
  <c r="L1157" i="14"/>
  <c r="L1158" i="14"/>
  <c r="L1159" i="14"/>
  <c r="L1160" i="14"/>
  <c r="L1161" i="14"/>
  <c r="L1162" i="14"/>
  <c r="L1163" i="14"/>
  <c r="L1164" i="14"/>
  <c r="L1165" i="14"/>
  <c r="L1166" i="14"/>
  <c r="L1167" i="14"/>
  <c r="L1168" i="14"/>
  <c r="L1169" i="14"/>
  <c r="L1170" i="14"/>
  <c r="L1171" i="14"/>
  <c r="L1172" i="14"/>
  <c r="L1173" i="14"/>
  <c r="L1174" i="14"/>
  <c r="L1175" i="14"/>
  <c r="L1176" i="14"/>
  <c r="L1177" i="14"/>
  <c r="L1178" i="14"/>
  <c r="L1179" i="14"/>
  <c r="L1180" i="14"/>
  <c r="L1181" i="14"/>
  <c r="L1182" i="14"/>
  <c r="L1183" i="14"/>
  <c r="L1184" i="14"/>
  <c r="L1185" i="14"/>
  <c r="L1186" i="14"/>
  <c r="L1187" i="14"/>
  <c r="L1188" i="14"/>
  <c r="L1189" i="14"/>
  <c r="L1190" i="14"/>
  <c r="L1191" i="14"/>
  <c r="L1192" i="14"/>
  <c r="L1193" i="14"/>
  <c r="L1194" i="14"/>
  <c r="L1195" i="14"/>
  <c r="L1196" i="14"/>
  <c r="L1197" i="14"/>
  <c r="L1198" i="14"/>
  <c r="L1199" i="14"/>
  <c r="L1200" i="14"/>
  <c r="L1201" i="14"/>
  <c r="L1202" i="14"/>
  <c r="L1203" i="14"/>
  <c r="L1204" i="14"/>
  <c r="L1205" i="14"/>
  <c r="L1206" i="14"/>
  <c r="L1207" i="14"/>
  <c r="L1208" i="14"/>
  <c r="L1209" i="14"/>
  <c r="L1210" i="14"/>
  <c r="L1211" i="14"/>
  <c r="L1212" i="14"/>
  <c r="L1213" i="14"/>
  <c r="L1214" i="14"/>
  <c r="L1215" i="14"/>
  <c r="L1216" i="14"/>
  <c r="L1217" i="14"/>
  <c r="L1218" i="14"/>
  <c r="L1219" i="14"/>
  <c r="L1220" i="14"/>
  <c r="L1221" i="14"/>
  <c r="L1222" i="14"/>
  <c r="L1223" i="14"/>
  <c r="L1224" i="14"/>
  <c r="L1225" i="14"/>
  <c r="K1152" i="14"/>
  <c r="K1153" i="14"/>
  <c r="K1154" i="14"/>
  <c r="K1155" i="14"/>
  <c r="K1156" i="14"/>
  <c r="K1157" i="14"/>
  <c r="K1158" i="14"/>
  <c r="K1159" i="14"/>
  <c r="K1160" i="14"/>
  <c r="K1161" i="14"/>
  <c r="K1162" i="14"/>
  <c r="K1163" i="14"/>
  <c r="K1164" i="14"/>
  <c r="K1165" i="14"/>
  <c r="K1166" i="14"/>
  <c r="K1167" i="14"/>
  <c r="K1168" i="14"/>
  <c r="K1169" i="14"/>
  <c r="K1170" i="14"/>
  <c r="K1171" i="14"/>
  <c r="K1172" i="14"/>
  <c r="K1173" i="14"/>
  <c r="K1174" i="14"/>
  <c r="K1175" i="14"/>
  <c r="K1176" i="14"/>
  <c r="K1177" i="14"/>
  <c r="K1178" i="14"/>
  <c r="K1179" i="14"/>
  <c r="K1180" i="14"/>
  <c r="K1181" i="14"/>
  <c r="K1182" i="14"/>
  <c r="K1183" i="14"/>
  <c r="K1184" i="14"/>
  <c r="K1185" i="14"/>
  <c r="K1186" i="14"/>
  <c r="K1187" i="14"/>
  <c r="K1188" i="14"/>
  <c r="K1189" i="14"/>
  <c r="K1190" i="14"/>
  <c r="K1191" i="14"/>
  <c r="K1192" i="14"/>
  <c r="K1193" i="14"/>
  <c r="K1194" i="14"/>
  <c r="K1195" i="14"/>
  <c r="K1196" i="14"/>
  <c r="K1197" i="14"/>
  <c r="K1198" i="14"/>
  <c r="K1199" i="14"/>
  <c r="K1200" i="14"/>
  <c r="K1201" i="14"/>
  <c r="K1202" i="14"/>
  <c r="K1203" i="14"/>
  <c r="K1204" i="14"/>
  <c r="K1205" i="14"/>
  <c r="K1206" i="14"/>
  <c r="K1207" i="14"/>
  <c r="K1208" i="14"/>
  <c r="K1209" i="14"/>
  <c r="K1210" i="14"/>
  <c r="K1211" i="14"/>
  <c r="K1212" i="14"/>
  <c r="K1213" i="14"/>
  <c r="K1214" i="14"/>
  <c r="K1215" i="14"/>
  <c r="K1216" i="14"/>
  <c r="K1217" i="14"/>
  <c r="K1218" i="14"/>
  <c r="K1219" i="14"/>
  <c r="K1220" i="14"/>
  <c r="K1221" i="14"/>
  <c r="K1222" i="14"/>
  <c r="K1223" i="14"/>
  <c r="K1224" i="14"/>
  <c r="K1225" i="14"/>
  <c r="B306" i="15" l="1"/>
  <c r="B307" i="15"/>
  <c r="B308" i="15"/>
  <c r="B309" i="15"/>
  <c r="B310" i="15"/>
  <c r="B311" i="15"/>
  <c r="B312" i="15"/>
  <c r="B313" i="15"/>
  <c r="B314" i="15"/>
  <c r="B315" i="15"/>
  <c r="B316" i="15"/>
  <c r="B317" i="15"/>
  <c r="B318" i="15"/>
  <c r="B319" i="15"/>
  <c r="B320" i="15"/>
  <c r="B321" i="15"/>
  <c r="B322" i="15"/>
  <c r="B323" i="15"/>
  <c r="B324" i="15"/>
  <c r="C306" i="15"/>
  <c r="C307" i="15"/>
  <c r="C308" i="15"/>
  <c r="C309" i="15"/>
  <c r="C310" i="15"/>
  <c r="C311" i="15"/>
  <c r="C312" i="15"/>
  <c r="C313" i="15"/>
  <c r="C314" i="15"/>
  <c r="C315" i="15"/>
  <c r="C316" i="15"/>
  <c r="C317" i="15"/>
  <c r="C318" i="15"/>
  <c r="C319" i="15"/>
  <c r="C320" i="15"/>
  <c r="C321" i="15"/>
  <c r="C322" i="15"/>
  <c r="C323" i="15"/>
  <c r="C324" i="15"/>
  <c r="S53" i="11" l="1"/>
  <c r="C187" i="7"/>
  <c r="M187" i="7"/>
  <c r="N187" i="7" s="1"/>
  <c r="C183" i="7"/>
  <c r="N183" i="7"/>
  <c r="O183" i="7" s="1"/>
  <c r="C185" i="7"/>
  <c r="M185" i="7"/>
  <c r="N185" i="7" s="1"/>
  <c r="O185" i="7" s="1"/>
  <c r="O187" i="7" l="1"/>
  <c r="P187" i="7" s="1"/>
  <c r="U187" i="7" s="1"/>
  <c r="P183" i="7"/>
  <c r="U183" i="7" s="1"/>
  <c r="P185" i="7"/>
  <c r="U185" i="7" s="1"/>
  <c r="B31" i="10" l="1"/>
  <c r="M31" i="10"/>
  <c r="N31" i="10"/>
  <c r="T31" i="10"/>
  <c r="O70" i="11" l="1"/>
  <c r="B70" i="11"/>
  <c r="O69" i="11"/>
  <c r="P69" i="11" s="1"/>
  <c r="F74" i="11" s="1"/>
  <c r="B69" i="11"/>
  <c r="P68" i="11"/>
  <c r="F75" i="11" s="1"/>
  <c r="B68" i="11"/>
  <c r="M245" i="7"/>
  <c r="N245" i="7" s="1"/>
  <c r="M244" i="7"/>
  <c r="N244" i="7" s="1"/>
  <c r="M243" i="7"/>
  <c r="N243" i="7" s="1"/>
  <c r="M242" i="7"/>
  <c r="N242" i="7" s="1"/>
  <c r="M241" i="7"/>
  <c r="N241" i="7" s="1"/>
  <c r="C241" i="7"/>
  <c r="C242" i="7"/>
  <c r="C243" i="7"/>
  <c r="C244" i="7"/>
  <c r="C245" i="7"/>
  <c r="P70" i="11" l="1"/>
  <c r="F76" i="11" s="1"/>
  <c r="U68" i="11"/>
  <c r="U69" i="11"/>
  <c r="O241" i="7"/>
  <c r="P241" i="7" s="1"/>
  <c r="U241" i="7" s="1"/>
  <c r="O243" i="7"/>
  <c r="P243" i="7" s="1"/>
  <c r="O244" i="7"/>
  <c r="P244" i="7" s="1"/>
  <c r="O242" i="7"/>
  <c r="P242" i="7" s="1"/>
  <c r="O245" i="7"/>
  <c r="P245" i="7" s="1"/>
  <c r="U245" i="7" s="1"/>
  <c r="U70" i="11" l="1"/>
  <c r="U242" i="7"/>
  <c r="U244" i="7"/>
  <c r="U243" i="7"/>
  <c r="M199" i="7"/>
  <c r="H1151" i="14" l="1"/>
  <c r="H1150" i="14"/>
  <c r="J1150" i="14"/>
  <c r="K1150" i="14"/>
  <c r="L1150" i="14"/>
  <c r="J1151" i="14"/>
  <c r="K1151" i="14"/>
  <c r="L1151" i="14"/>
  <c r="K1078" i="14" l="1"/>
  <c r="K1079" i="14"/>
  <c r="K1080" i="14"/>
  <c r="K1081" i="14"/>
  <c r="K1082" i="14"/>
  <c r="K1083" i="14"/>
  <c r="K1084" i="14"/>
  <c r="K1085" i="14"/>
  <c r="K1086" i="14"/>
  <c r="K1087" i="14"/>
  <c r="K1088" i="14"/>
  <c r="K1089" i="14"/>
  <c r="K1090" i="14"/>
  <c r="K1091" i="14"/>
  <c r="K1092" i="14"/>
  <c r="K1093" i="14"/>
  <c r="K1094" i="14"/>
  <c r="K1095" i="14"/>
  <c r="K1096" i="14"/>
  <c r="K1097" i="14"/>
  <c r="K1098" i="14"/>
  <c r="K1099" i="14"/>
  <c r="K1100" i="14"/>
  <c r="K1101" i="14"/>
  <c r="K1102" i="14"/>
  <c r="K1103" i="14"/>
  <c r="K1104" i="14"/>
  <c r="K1105" i="14"/>
  <c r="K1106" i="14"/>
  <c r="K1107" i="14"/>
  <c r="K1108" i="14"/>
  <c r="K1109" i="14"/>
  <c r="K1110" i="14"/>
  <c r="K1111" i="14"/>
  <c r="K1112" i="14"/>
  <c r="K1113" i="14"/>
  <c r="K1114" i="14"/>
  <c r="K1115" i="14"/>
  <c r="K1116" i="14"/>
  <c r="K1117" i="14"/>
  <c r="K1118" i="14"/>
  <c r="K1119" i="14"/>
  <c r="K1120" i="14"/>
  <c r="K1121" i="14"/>
  <c r="K1122" i="14"/>
  <c r="K1123" i="14"/>
  <c r="K1124" i="14"/>
  <c r="K1125" i="14"/>
  <c r="K1126" i="14"/>
  <c r="K1127" i="14"/>
  <c r="K1128" i="14"/>
  <c r="K1129" i="14"/>
  <c r="K1130" i="14"/>
  <c r="K1131" i="14"/>
  <c r="K1132" i="14"/>
  <c r="K1133" i="14"/>
  <c r="K1134" i="14"/>
  <c r="K1135" i="14"/>
  <c r="K1136" i="14"/>
  <c r="K1137" i="14"/>
  <c r="K1138" i="14"/>
  <c r="K1139" i="14"/>
  <c r="K1140" i="14"/>
  <c r="K1141" i="14"/>
  <c r="K1142" i="14"/>
  <c r="K1143" i="14"/>
  <c r="K1144" i="14"/>
  <c r="K1145" i="14"/>
  <c r="K1146" i="14"/>
  <c r="K1147" i="14"/>
  <c r="K1148" i="14"/>
  <c r="K1149" i="14"/>
  <c r="L1078" i="14"/>
  <c r="L1079" i="14"/>
  <c r="L1080" i="14"/>
  <c r="L1081" i="14"/>
  <c r="L1082" i="14"/>
  <c r="L1083" i="14"/>
  <c r="L1084" i="14"/>
  <c r="L1085" i="14"/>
  <c r="L1086" i="14"/>
  <c r="L1087" i="14"/>
  <c r="L1088" i="14"/>
  <c r="L1089" i="14"/>
  <c r="L1090" i="14"/>
  <c r="L1091" i="14"/>
  <c r="L1092" i="14"/>
  <c r="L1093" i="14"/>
  <c r="L1094" i="14"/>
  <c r="L1095" i="14"/>
  <c r="L1096" i="14"/>
  <c r="L1097" i="14"/>
  <c r="L1098" i="14"/>
  <c r="L1099" i="14"/>
  <c r="L1100" i="14"/>
  <c r="L1101" i="14"/>
  <c r="L1102" i="14"/>
  <c r="L1103" i="14"/>
  <c r="L1104" i="14"/>
  <c r="L1105" i="14"/>
  <c r="L1106" i="14"/>
  <c r="L1107" i="14"/>
  <c r="L1108" i="14"/>
  <c r="L1109" i="14"/>
  <c r="L1110" i="14"/>
  <c r="L1111" i="14"/>
  <c r="L1112" i="14"/>
  <c r="L1113" i="14"/>
  <c r="L1114" i="14"/>
  <c r="L1115" i="14"/>
  <c r="L1116" i="14"/>
  <c r="L1117" i="14"/>
  <c r="L1118" i="14"/>
  <c r="L1119" i="14"/>
  <c r="L1120" i="14"/>
  <c r="L1121" i="14"/>
  <c r="L1122" i="14"/>
  <c r="L1123" i="14"/>
  <c r="L1124" i="14"/>
  <c r="L1125" i="14"/>
  <c r="L1126" i="14"/>
  <c r="L1127" i="14"/>
  <c r="L1128" i="14"/>
  <c r="L1129" i="14"/>
  <c r="L1130" i="14"/>
  <c r="L1131" i="14"/>
  <c r="L1132" i="14"/>
  <c r="L1133" i="14"/>
  <c r="L1134" i="14"/>
  <c r="L1135" i="14"/>
  <c r="L1136" i="14"/>
  <c r="L1137" i="14"/>
  <c r="L1138" i="14"/>
  <c r="L1139" i="14"/>
  <c r="L1140" i="14"/>
  <c r="L1141" i="14"/>
  <c r="L1142" i="14"/>
  <c r="L1143" i="14"/>
  <c r="L1144" i="14"/>
  <c r="L1145" i="14"/>
  <c r="L1146" i="14"/>
  <c r="L1147" i="14"/>
  <c r="L1148" i="14"/>
  <c r="L1149" i="14"/>
  <c r="J1149" i="14"/>
  <c r="J1148" i="14"/>
  <c r="H1148" i="14"/>
  <c r="J1147" i="14"/>
  <c r="H1147" i="14"/>
  <c r="J1146" i="14"/>
  <c r="H1146" i="14"/>
  <c r="J1145" i="14"/>
  <c r="H1145" i="14"/>
  <c r="J1144" i="14"/>
  <c r="H1144" i="14"/>
  <c r="J1143" i="14"/>
  <c r="H1143" i="14"/>
  <c r="J1142" i="14"/>
  <c r="H1142" i="14"/>
  <c r="J1141" i="14"/>
  <c r="H1141" i="14"/>
  <c r="J1140" i="14"/>
  <c r="H1140" i="14"/>
  <c r="J1139" i="14"/>
  <c r="H1139" i="14"/>
  <c r="J1138" i="14"/>
  <c r="H1138" i="14"/>
  <c r="J1137" i="14"/>
  <c r="H1137" i="14"/>
  <c r="J1136" i="14"/>
  <c r="H1136" i="14"/>
  <c r="J1135" i="14"/>
  <c r="H1135" i="14"/>
  <c r="J1134" i="14"/>
  <c r="H1134" i="14"/>
  <c r="J1133" i="14"/>
  <c r="H1133" i="14"/>
  <c r="J1132" i="14"/>
  <c r="H1132" i="14"/>
  <c r="J1131" i="14"/>
  <c r="H1131" i="14"/>
  <c r="J1130" i="14"/>
  <c r="H1130" i="14"/>
  <c r="J1129" i="14"/>
  <c r="H1129" i="14"/>
  <c r="J1128" i="14"/>
  <c r="H1128" i="14"/>
  <c r="J1127" i="14"/>
  <c r="H1127" i="14"/>
  <c r="J1126" i="14"/>
  <c r="H1126" i="14"/>
  <c r="J1125" i="14"/>
  <c r="H1125" i="14"/>
  <c r="J1124" i="14"/>
  <c r="H1124" i="14"/>
  <c r="J1123" i="14"/>
  <c r="H1123" i="14"/>
  <c r="J1122" i="14"/>
  <c r="H1122" i="14"/>
  <c r="J1121" i="14"/>
  <c r="H1121" i="14"/>
  <c r="J1120" i="14"/>
  <c r="H1120" i="14"/>
  <c r="J1119" i="14"/>
  <c r="H1119" i="14"/>
  <c r="J1118" i="14"/>
  <c r="H1118" i="14"/>
  <c r="J1117" i="14"/>
  <c r="H1117" i="14"/>
  <c r="J1116" i="14"/>
  <c r="H1116" i="14"/>
  <c r="J1115" i="14"/>
  <c r="H1115" i="14"/>
  <c r="J1114" i="14"/>
  <c r="H1114" i="14"/>
  <c r="J1113" i="14"/>
  <c r="H1113" i="14"/>
  <c r="J1112" i="14"/>
  <c r="H1112" i="14"/>
  <c r="J1111" i="14"/>
  <c r="H1111" i="14"/>
  <c r="J1110" i="14"/>
  <c r="H1110" i="14"/>
  <c r="J1109" i="14"/>
  <c r="H1109" i="14"/>
  <c r="J1108" i="14"/>
  <c r="H1108" i="14"/>
  <c r="J1107" i="14"/>
  <c r="H1107" i="14"/>
  <c r="J1106" i="14"/>
  <c r="H1106" i="14"/>
  <c r="J1105" i="14"/>
  <c r="H1105" i="14"/>
  <c r="J1104" i="14"/>
  <c r="H1104" i="14"/>
  <c r="J1103" i="14"/>
  <c r="H1103" i="14"/>
  <c r="J1102" i="14"/>
  <c r="H1102" i="14"/>
  <c r="J1101" i="14"/>
  <c r="H1101" i="14"/>
  <c r="J1100" i="14"/>
  <c r="H1100" i="14"/>
  <c r="J1099" i="14"/>
  <c r="H1099" i="14"/>
  <c r="J1098" i="14"/>
  <c r="H1098" i="14"/>
  <c r="J1097" i="14"/>
  <c r="H1097" i="14"/>
  <c r="J1096" i="14"/>
  <c r="H1096" i="14"/>
  <c r="J1095" i="14"/>
  <c r="H1095" i="14"/>
  <c r="J1094" i="14"/>
  <c r="H1094" i="14"/>
  <c r="J1093" i="14"/>
  <c r="H1093" i="14"/>
  <c r="J1092" i="14"/>
  <c r="H1092" i="14"/>
  <c r="J1091" i="14"/>
  <c r="H1091" i="14"/>
  <c r="J1090" i="14"/>
  <c r="H1090" i="14"/>
  <c r="J1089" i="14"/>
  <c r="H1089" i="14"/>
  <c r="J1088" i="14"/>
  <c r="H1088" i="14"/>
  <c r="J1087" i="14"/>
  <c r="H1087" i="14"/>
  <c r="J1086" i="14"/>
  <c r="H1086" i="14"/>
  <c r="J1085" i="14"/>
  <c r="H1085" i="14"/>
  <c r="J1084" i="14"/>
  <c r="H1084" i="14"/>
  <c r="J1083" i="14"/>
  <c r="H1083" i="14"/>
  <c r="J1082" i="14"/>
  <c r="H1082" i="14"/>
  <c r="J1081" i="14"/>
  <c r="H1081" i="14"/>
  <c r="J1080" i="14"/>
  <c r="H1080" i="14"/>
  <c r="J1079" i="14"/>
  <c r="H1079" i="14"/>
  <c r="J1078" i="14"/>
  <c r="H1078" i="14"/>
  <c r="B269" i="15" l="1"/>
  <c r="B270" i="15"/>
  <c r="B271" i="15"/>
  <c r="B272" i="15"/>
  <c r="B273" i="15"/>
  <c r="B274" i="15"/>
  <c r="B275" i="15"/>
  <c r="B276" i="15"/>
  <c r="B277" i="15"/>
  <c r="B278" i="15"/>
  <c r="B279" i="15"/>
  <c r="B280" i="15"/>
  <c r="B281" i="15"/>
  <c r="B282" i="15"/>
  <c r="B283" i="15"/>
  <c r="B284" i="15"/>
  <c r="B285" i="15"/>
  <c r="B286" i="15"/>
  <c r="B287" i="15"/>
  <c r="B288" i="15"/>
  <c r="B289" i="15"/>
  <c r="B290" i="15"/>
  <c r="B291" i="15"/>
  <c r="B292" i="15"/>
  <c r="B293" i="15"/>
  <c r="B294" i="15"/>
  <c r="B295" i="15"/>
  <c r="B296" i="15"/>
  <c r="B297" i="15"/>
  <c r="B298" i="15"/>
  <c r="B299" i="15"/>
  <c r="B300" i="15"/>
  <c r="B301" i="15"/>
  <c r="B302" i="15"/>
  <c r="B303" i="15"/>
  <c r="B304" i="15"/>
  <c r="B305" i="15"/>
  <c r="C269" i="15"/>
  <c r="C270" i="15"/>
  <c r="C271" i="15"/>
  <c r="C272" i="15"/>
  <c r="C273" i="15"/>
  <c r="C274" i="15"/>
  <c r="C275" i="15"/>
  <c r="C276" i="15"/>
  <c r="C277" i="15"/>
  <c r="C278" i="15"/>
  <c r="C279" i="15"/>
  <c r="C280" i="15"/>
  <c r="C281" i="15"/>
  <c r="C282" i="15"/>
  <c r="C283" i="15"/>
  <c r="C284" i="15"/>
  <c r="C285" i="15"/>
  <c r="C286" i="15"/>
  <c r="C287" i="15"/>
  <c r="C288" i="15"/>
  <c r="C289" i="15"/>
  <c r="C290" i="15"/>
  <c r="C291" i="15"/>
  <c r="C292" i="15"/>
  <c r="C293" i="15"/>
  <c r="C294" i="15"/>
  <c r="C295" i="15"/>
  <c r="C296" i="15"/>
  <c r="C297" i="15"/>
  <c r="C298" i="15"/>
  <c r="C299" i="15"/>
  <c r="C300" i="15"/>
  <c r="C301" i="15"/>
  <c r="C302" i="15"/>
  <c r="C303" i="15"/>
  <c r="C304" i="15"/>
  <c r="C305" i="15"/>
  <c r="B30" i="10" l="1"/>
  <c r="L30" i="10"/>
  <c r="M30" i="10" s="1"/>
  <c r="N30" i="10" s="1"/>
  <c r="T30" i="10" s="1"/>
  <c r="O67" i="11" l="1"/>
  <c r="P67" i="11" s="1"/>
  <c r="B67" i="11"/>
  <c r="O66" i="11"/>
  <c r="P66" i="11" s="1"/>
  <c r="Q66" i="11" s="1"/>
  <c r="B66" i="11"/>
  <c r="O64" i="11"/>
  <c r="P64" i="11" s="1"/>
  <c r="B64" i="11"/>
  <c r="C186" i="7"/>
  <c r="M186" i="7"/>
  <c r="N186" i="7" s="1"/>
  <c r="C160" i="7"/>
  <c r="M160" i="7"/>
  <c r="N160" i="7" s="1"/>
  <c r="S51" i="11"/>
  <c r="S52" i="11"/>
  <c r="S50" i="11"/>
  <c r="U64" i="11" l="1"/>
  <c r="U66" i="11"/>
  <c r="U67" i="11"/>
  <c r="O186" i="7"/>
  <c r="P186" i="7" s="1"/>
  <c r="O160" i="7"/>
  <c r="P160" i="7" s="1"/>
  <c r="U160" i="7" s="1"/>
  <c r="U186" i="7" l="1"/>
  <c r="M240" i="7" l="1"/>
  <c r="N240" i="7" s="1"/>
  <c r="C240" i="7"/>
  <c r="M239" i="7"/>
  <c r="N239" i="7" s="1"/>
  <c r="C239" i="7"/>
  <c r="M238" i="7"/>
  <c r="N238" i="7" s="1"/>
  <c r="M237" i="7"/>
  <c r="N237" i="7" s="1"/>
  <c r="C237" i="7"/>
  <c r="M236" i="7"/>
  <c r="N236" i="7" s="1"/>
  <c r="C236" i="7"/>
  <c r="M235" i="7"/>
  <c r="N235" i="7" s="1"/>
  <c r="C235" i="7"/>
  <c r="M234" i="7"/>
  <c r="N234" i="7" s="1"/>
  <c r="C234" i="7"/>
  <c r="M233" i="7"/>
  <c r="N233" i="7" s="1"/>
  <c r="C233" i="7"/>
  <c r="M232" i="7"/>
  <c r="N232" i="7" s="1"/>
  <c r="C232" i="7"/>
  <c r="C238" i="7"/>
  <c r="O240" i="7" l="1"/>
  <c r="P240" i="7" s="1"/>
  <c r="U240" i="7" s="1"/>
  <c r="O239" i="7"/>
  <c r="P239" i="7" s="1"/>
  <c r="U239" i="7" s="1"/>
  <c r="O238" i="7"/>
  <c r="P238" i="7" s="1"/>
  <c r="U238" i="7" s="1"/>
  <c r="O237" i="7"/>
  <c r="P237" i="7" s="1"/>
  <c r="U237" i="7" s="1"/>
  <c r="O232" i="7"/>
  <c r="P232" i="7" s="1"/>
  <c r="O233" i="7"/>
  <c r="P233" i="7" s="1"/>
  <c r="U233" i="7" s="1"/>
  <c r="O234" i="7"/>
  <c r="P234" i="7" s="1"/>
  <c r="O235" i="7"/>
  <c r="P235" i="7" s="1"/>
  <c r="R262" i="7" s="1"/>
  <c r="O236" i="7"/>
  <c r="P236" i="7" s="1"/>
  <c r="U234" i="7" l="1"/>
  <c r="U235" i="7"/>
  <c r="U232" i="7"/>
  <c r="U236" i="7"/>
  <c r="K1072" i="14"/>
  <c r="K1073" i="14"/>
  <c r="K1074" i="14"/>
  <c r="K1075" i="14"/>
  <c r="K1076" i="14"/>
  <c r="K1077" i="14"/>
  <c r="L1072" i="14"/>
  <c r="L1073" i="14"/>
  <c r="L1074" i="14"/>
  <c r="L1075" i="14"/>
  <c r="L1076" i="14"/>
  <c r="L1077" i="14"/>
  <c r="J1077" i="14"/>
  <c r="H1077" i="14"/>
  <c r="J1076" i="14"/>
  <c r="H1076" i="14"/>
  <c r="J1075" i="14"/>
  <c r="H1075" i="14"/>
  <c r="J1074" i="14"/>
  <c r="H1074" i="14"/>
  <c r="J1073" i="14"/>
  <c r="H1073" i="14"/>
  <c r="J1072" i="14"/>
  <c r="H1072" i="14"/>
  <c r="K1037" i="14" l="1"/>
  <c r="K1038" i="14"/>
  <c r="K1039" i="14"/>
  <c r="K1040" i="14"/>
  <c r="K1041" i="14"/>
  <c r="K1042" i="14"/>
  <c r="K1043" i="14"/>
  <c r="K1044" i="14"/>
  <c r="K1045" i="14"/>
  <c r="K1046" i="14"/>
  <c r="K1047" i="14"/>
  <c r="K1048" i="14"/>
  <c r="K1049" i="14"/>
  <c r="K1050" i="14"/>
  <c r="K1051" i="14"/>
  <c r="K1052" i="14"/>
  <c r="K1053" i="14"/>
  <c r="K1054" i="14"/>
  <c r="K1055" i="14"/>
  <c r="K1056" i="14"/>
  <c r="K1057" i="14"/>
  <c r="K1058" i="14"/>
  <c r="K1059" i="14"/>
  <c r="K1060" i="14"/>
  <c r="K1061" i="14"/>
  <c r="K1062" i="14"/>
  <c r="K1063" i="14"/>
  <c r="K1064" i="14"/>
  <c r="K1065" i="14"/>
  <c r="K1066" i="14"/>
  <c r="K1067" i="14"/>
  <c r="K1068" i="14"/>
  <c r="K1069" i="14"/>
  <c r="K1070" i="14"/>
  <c r="K1071" i="14"/>
  <c r="L1037" i="14"/>
  <c r="L1038" i="14"/>
  <c r="L1039" i="14"/>
  <c r="L1040" i="14"/>
  <c r="L1041" i="14"/>
  <c r="L1042" i="14"/>
  <c r="L1043" i="14"/>
  <c r="L1044" i="14"/>
  <c r="L1045" i="14"/>
  <c r="L1046" i="14"/>
  <c r="L1047" i="14"/>
  <c r="L1048" i="14"/>
  <c r="L1049" i="14"/>
  <c r="L1050" i="14"/>
  <c r="L1051" i="14"/>
  <c r="L1052" i="14"/>
  <c r="L1053" i="14"/>
  <c r="L1054" i="14"/>
  <c r="L1055" i="14"/>
  <c r="L1056" i="14"/>
  <c r="L1057" i="14"/>
  <c r="L1058" i="14"/>
  <c r="L1059" i="14"/>
  <c r="L1060" i="14"/>
  <c r="L1061" i="14"/>
  <c r="L1062" i="14"/>
  <c r="L1063" i="14"/>
  <c r="L1064" i="14"/>
  <c r="L1065" i="14"/>
  <c r="L1066" i="14"/>
  <c r="L1067" i="14"/>
  <c r="L1068" i="14"/>
  <c r="L1069" i="14"/>
  <c r="L1070" i="14"/>
  <c r="L1071" i="14"/>
  <c r="J1071" i="14"/>
  <c r="H1071" i="14"/>
  <c r="J1070" i="14"/>
  <c r="H1070" i="14"/>
  <c r="J1069" i="14"/>
  <c r="H1069" i="14"/>
  <c r="J1068" i="14"/>
  <c r="H1068" i="14"/>
  <c r="J1067" i="14"/>
  <c r="H1067" i="14"/>
  <c r="J1066" i="14"/>
  <c r="H1066" i="14"/>
  <c r="J1065" i="14"/>
  <c r="H1065" i="14"/>
  <c r="J1064" i="14"/>
  <c r="H1064" i="14"/>
  <c r="J1063" i="14"/>
  <c r="H1063" i="14"/>
  <c r="J1062" i="14"/>
  <c r="H1062" i="14"/>
  <c r="J1061" i="14"/>
  <c r="H1061" i="14"/>
  <c r="J1060" i="14"/>
  <c r="H1060" i="14"/>
  <c r="J1059" i="14"/>
  <c r="H1059" i="14"/>
  <c r="J1058" i="14"/>
  <c r="H1058" i="14"/>
  <c r="J1057" i="14"/>
  <c r="H1057" i="14"/>
  <c r="J1056" i="14"/>
  <c r="H1056" i="14"/>
  <c r="J1055" i="14"/>
  <c r="H1055" i="14"/>
  <c r="J1054" i="14"/>
  <c r="H1054" i="14"/>
  <c r="J1053" i="14"/>
  <c r="H1053" i="14"/>
  <c r="J1052" i="14"/>
  <c r="H1052" i="14"/>
  <c r="J1051" i="14"/>
  <c r="H1051" i="14"/>
  <c r="J1050" i="14"/>
  <c r="H1050" i="14"/>
  <c r="J1049" i="14"/>
  <c r="H1049" i="14"/>
  <c r="J1048" i="14"/>
  <c r="H1048" i="14"/>
  <c r="J1047" i="14"/>
  <c r="H1047" i="14"/>
  <c r="J1046" i="14"/>
  <c r="H1046" i="14"/>
  <c r="J1045" i="14"/>
  <c r="H1045" i="14"/>
  <c r="J1044" i="14"/>
  <c r="H1044" i="14"/>
  <c r="J1043" i="14"/>
  <c r="H1043" i="14"/>
  <c r="J1042" i="14"/>
  <c r="H1042" i="14"/>
  <c r="J1041" i="14"/>
  <c r="H1041" i="14"/>
  <c r="J1040" i="14"/>
  <c r="H1040" i="14"/>
  <c r="J1039" i="14"/>
  <c r="H1039" i="14"/>
  <c r="J1038" i="14"/>
  <c r="H1038" i="14"/>
  <c r="J1037" i="14"/>
  <c r="H1037" i="14"/>
  <c r="B237" i="15" l="1"/>
  <c r="B238" i="15"/>
  <c r="B239" i="15"/>
  <c r="B240" i="15"/>
  <c r="B241" i="15"/>
  <c r="B242" i="15"/>
  <c r="B243" i="15"/>
  <c r="B244" i="15"/>
  <c r="B245" i="15"/>
  <c r="B246" i="15"/>
  <c r="B247" i="15"/>
  <c r="B248" i="15"/>
  <c r="B249" i="15"/>
  <c r="B250" i="15"/>
  <c r="B251" i="15"/>
  <c r="B252" i="15"/>
  <c r="B253" i="15"/>
  <c r="B254" i="15"/>
  <c r="B255" i="15"/>
  <c r="B256" i="15"/>
  <c r="B257" i="15"/>
  <c r="B258" i="15"/>
  <c r="B259" i="15"/>
  <c r="B260" i="15"/>
  <c r="B261" i="15"/>
  <c r="B262" i="15"/>
  <c r="B263" i="15"/>
  <c r="B264" i="15"/>
  <c r="B265" i="15"/>
  <c r="B266" i="15"/>
  <c r="B267" i="15"/>
  <c r="B268" i="15"/>
  <c r="C237" i="15"/>
  <c r="C238" i="15"/>
  <c r="C239" i="15"/>
  <c r="C240" i="15"/>
  <c r="C241" i="15"/>
  <c r="C242" i="15"/>
  <c r="C243" i="15"/>
  <c r="C244" i="15"/>
  <c r="C245" i="15"/>
  <c r="C246" i="15"/>
  <c r="C247" i="15"/>
  <c r="C248" i="15"/>
  <c r="C249" i="15"/>
  <c r="C250" i="15"/>
  <c r="C251" i="15"/>
  <c r="C252" i="15"/>
  <c r="C253" i="15"/>
  <c r="C254" i="15"/>
  <c r="C255" i="15"/>
  <c r="C256" i="15"/>
  <c r="C257" i="15"/>
  <c r="C258" i="15"/>
  <c r="C259" i="15"/>
  <c r="C260" i="15"/>
  <c r="C261" i="15"/>
  <c r="C262" i="15"/>
  <c r="C263" i="15"/>
  <c r="C264" i="15"/>
  <c r="C265" i="15"/>
  <c r="C266" i="15"/>
  <c r="C267" i="15"/>
  <c r="C268" i="15"/>
  <c r="L28" i="10" l="1"/>
  <c r="L29" i="10"/>
  <c r="M29" i="10" s="1"/>
  <c r="B29" i="10"/>
  <c r="B63" i="11"/>
  <c r="O63" i="11"/>
  <c r="P63" i="11" s="1"/>
  <c r="U63" i="11" l="1"/>
  <c r="I76" i="11" s="1"/>
  <c r="N29" i="10"/>
  <c r="O62" i="11"/>
  <c r="P62" i="11" s="1"/>
  <c r="Q62" i="11" s="1"/>
  <c r="O61" i="11"/>
  <c r="P61" i="11" s="1"/>
  <c r="Q61" i="11" s="1"/>
  <c r="T29" i="10" l="1"/>
  <c r="U61" i="11"/>
  <c r="U62" i="11"/>
  <c r="F77" i="11"/>
  <c r="M227" i="7"/>
  <c r="N227" i="7" s="1"/>
  <c r="M228" i="7"/>
  <c r="N228" i="7" s="1"/>
  <c r="O228" i="7" s="1"/>
  <c r="M229" i="7"/>
  <c r="N229" i="7" s="1"/>
  <c r="O229" i="7" s="1"/>
  <c r="M230" i="7"/>
  <c r="N230" i="7" s="1"/>
  <c r="O230" i="7" s="1"/>
  <c r="P230" i="7" s="1"/>
  <c r="M231" i="7"/>
  <c r="N231" i="7" s="1"/>
  <c r="O231" i="7" s="1"/>
  <c r="M226" i="7"/>
  <c r="N226" i="7" s="1"/>
  <c r="O226" i="7" s="1"/>
  <c r="P226" i="7" s="1"/>
  <c r="C226" i="7"/>
  <c r="C227" i="7"/>
  <c r="C228" i="7"/>
  <c r="C229" i="7"/>
  <c r="C230" i="7"/>
  <c r="C231" i="7"/>
  <c r="Q230" i="7" l="1"/>
  <c r="U230" i="7" s="1"/>
  <c r="U226" i="7"/>
  <c r="O227" i="7"/>
  <c r="P227" i="7" s="1"/>
  <c r="U227" i="7" s="1"/>
  <c r="P229" i="7"/>
  <c r="P228" i="7"/>
  <c r="U228" i="7" s="1"/>
  <c r="P231" i="7"/>
  <c r="U231" i="7" s="1"/>
  <c r="Q229" i="7" l="1"/>
  <c r="U229" i="7" s="1"/>
  <c r="R260" i="7"/>
  <c r="M159" i="7"/>
  <c r="N159" i="7" s="1"/>
  <c r="C159" i="7"/>
  <c r="N163" i="7"/>
  <c r="P163" i="7" s="1"/>
  <c r="U163" i="7" s="1"/>
  <c r="C163" i="7"/>
  <c r="S49" i="11"/>
  <c r="O159" i="7" l="1"/>
  <c r="P159" i="7" s="1"/>
  <c r="U159" i="7" s="1"/>
  <c r="B61" i="11" l="1"/>
  <c r="B62" i="11"/>
  <c r="L27" i="10"/>
  <c r="B214" i="15"/>
  <c r="B215" i="15"/>
  <c r="B216" i="15"/>
  <c r="B217" i="15"/>
  <c r="B218" i="15"/>
  <c r="B219" i="15"/>
  <c r="B220" i="15"/>
  <c r="B221" i="15"/>
  <c r="B222" i="15"/>
  <c r="B223" i="15"/>
  <c r="B224" i="15"/>
  <c r="B225" i="15"/>
  <c r="B226" i="15"/>
  <c r="B227" i="15"/>
  <c r="B228" i="15"/>
  <c r="B229" i="15"/>
  <c r="B230" i="15"/>
  <c r="B231" i="15"/>
  <c r="B232" i="15"/>
  <c r="B233" i="15"/>
  <c r="B234" i="15"/>
  <c r="B235" i="15"/>
  <c r="B236" i="15"/>
  <c r="C214" i="15"/>
  <c r="C215" i="15"/>
  <c r="C216" i="15"/>
  <c r="C217" i="15"/>
  <c r="C218" i="15"/>
  <c r="C219" i="15"/>
  <c r="C220" i="15"/>
  <c r="C221" i="15"/>
  <c r="C222" i="15"/>
  <c r="C223" i="15"/>
  <c r="C224" i="15"/>
  <c r="C225" i="15"/>
  <c r="C226" i="15"/>
  <c r="C227" i="15"/>
  <c r="C228" i="15"/>
  <c r="C229" i="15"/>
  <c r="C230" i="15"/>
  <c r="C231" i="15"/>
  <c r="C232" i="15"/>
  <c r="C233" i="15"/>
  <c r="C234" i="15"/>
  <c r="C235" i="15"/>
  <c r="C236" i="15"/>
  <c r="J1036" i="14" l="1"/>
  <c r="H1036" i="14"/>
  <c r="J1035" i="14"/>
  <c r="H1035" i="14"/>
  <c r="J1034" i="14"/>
  <c r="H1034" i="14"/>
  <c r="J1033" i="14"/>
  <c r="H1033" i="14"/>
  <c r="J1032" i="14"/>
  <c r="H1032" i="14"/>
  <c r="J1031" i="14"/>
  <c r="H1031" i="14"/>
  <c r="J1030" i="14"/>
  <c r="H1030" i="14"/>
  <c r="J1029" i="14"/>
  <c r="H1029" i="14"/>
  <c r="J1028" i="14"/>
  <c r="H1028" i="14"/>
  <c r="J1027" i="14"/>
  <c r="H1027" i="14"/>
  <c r="J1026" i="14"/>
  <c r="H1026" i="14"/>
  <c r="J1025" i="14"/>
  <c r="H1025" i="14"/>
  <c r="J1024" i="14"/>
  <c r="H1024" i="14"/>
  <c r="J1023" i="14"/>
  <c r="H1023" i="14"/>
  <c r="J1022" i="14"/>
  <c r="H1022" i="14"/>
  <c r="J1021" i="14"/>
  <c r="H1021" i="14"/>
  <c r="K1021" i="14" l="1"/>
  <c r="K1022" i="14"/>
  <c r="K1023" i="14"/>
  <c r="K1024" i="14"/>
  <c r="K1025" i="14"/>
  <c r="K1026" i="14"/>
  <c r="K1027" i="14"/>
  <c r="K1028" i="14"/>
  <c r="K1029" i="14"/>
  <c r="K1030" i="14"/>
  <c r="K1031" i="14"/>
  <c r="K1032" i="14"/>
  <c r="L1021" i="14"/>
  <c r="L1022" i="14"/>
  <c r="L1023" i="14"/>
  <c r="L1024" i="14"/>
  <c r="L1025" i="14"/>
  <c r="L1026" i="14"/>
  <c r="L1027" i="14"/>
  <c r="L1028" i="14"/>
  <c r="L1029" i="14"/>
  <c r="L1030" i="14"/>
  <c r="L1031" i="14"/>
  <c r="L1032" i="14"/>
  <c r="K1033" i="14"/>
  <c r="K1034" i="14"/>
  <c r="K1035" i="14"/>
  <c r="K1036" i="14"/>
  <c r="L1033" i="14"/>
  <c r="L1034" i="14"/>
  <c r="L1035" i="14"/>
  <c r="L1036" i="14"/>
  <c r="C214" i="7"/>
  <c r="M214" i="7"/>
  <c r="N214" i="7" s="1"/>
  <c r="O214" i="7" s="1"/>
  <c r="C215" i="7"/>
  <c r="M215" i="7"/>
  <c r="N215" i="7" s="1"/>
  <c r="C218" i="7"/>
  <c r="M218" i="7"/>
  <c r="N218" i="7" s="1"/>
  <c r="O218" i="7" s="1"/>
  <c r="P218" i="7" s="1"/>
  <c r="U218" i="7" s="1"/>
  <c r="C219" i="7"/>
  <c r="M219" i="7"/>
  <c r="N219" i="7" s="1"/>
  <c r="C220" i="7"/>
  <c r="M220" i="7"/>
  <c r="N220" i="7" s="1"/>
  <c r="O220" i="7" s="1"/>
  <c r="C221" i="7"/>
  <c r="M221" i="7"/>
  <c r="N221" i="7" s="1"/>
  <c r="C222" i="7"/>
  <c r="N222" i="7"/>
  <c r="O222" i="7" s="1"/>
  <c r="C223" i="7"/>
  <c r="M223" i="7"/>
  <c r="N223" i="7" s="1"/>
  <c r="C224" i="7"/>
  <c r="M224" i="7"/>
  <c r="N224" i="7" s="1"/>
  <c r="O224" i="7" s="1"/>
  <c r="C225" i="7"/>
  <c r="M225" i="7"/>
  <c r="N225" i="7" s="1"/>
  <c r="P220" i="7" l="1"/>
  <c r="P214" i="7"/>
  <c r="P222" i="7"/>
  <c r="U222" i="7" s="1"/>
  <c r="P224" i="7"/>
  <c r="U224" i="7" s="1"/>
  <c r="O223" i="7"/>
  <c r="P223" i="7" s="1"/>
  <c r="U223" i="7" s="1"/>
  <c r="O215" i="7"/>
  <c r="P215" i="7" s="1"/>
  <c r="O219" i="7"/>
  <c r="P219" i="7" s="1"/>
  <c r="Q219" i="7" s="1"/>
  <c r="O221" i="7"/>
  <c r="P221" i="7" s="1"/>
  <c r="O225" i="7"/>
  <c r="P225" i="7" s="1"/>
  <c r="U225" i="7" s="1"/>
  <c r="B60" i="11"/>
  <c r="O60" i="11"/>
  <c r="P60" i="11" s="1"/>
  <c r="B59" i="11"/>
  <c r="O59" i="11"/>
  <c r="P59" i="11" s="1"/>
  <c r="Q59" i="11" s="1"/>
  <c r="Q220" i="7" l="1"/>
  <c r="U220" i="7" s="1"/>
  <c r="U215" i="7"/>
  <c r="U60" i="11"/>
  <c r="U59" i="11"/>
  <c r="U221" i="7"/>
  <c r="U219" i="7"/>
  <c r="U214" i="7"/>
  <c r="B28" i="10"/>
  <c r="M28" i="10"/>
  <c r="N28" i="10" s="1"/>
  <c r="T28" i="10" l="1"/>
  <c r="M213" i="7"/>
  <c r="N213" i="7" s="1"/>
  <c r="M212" i="7"/>
  <c r="N212" i="7" s="1"/>
  <c r="C212" i="7"/>
  <c r="C213" i="7"/>
  <c r="O213" i="7" l="1"/>
  <c r="P213" i="7" s="1"/>
  <c r="U213" i="7" s="1"/>
  <c r="O212" i="7"/>
  <c r="P212" i="7" s="1"/>
  <c r="U212" i="7" s="1"/>
  <c r="L1020" i="14" l="1"/>
  <c r="L953" i="14"/>
  <c r="L954" i="14"/>
  <c r="L955" i="14"/>
  <c r="L956" i="14"/>
  <c r="L957" i="14"/>
  <c r="L958" i="14"/>
  <c r="L959" i="14"/>
  <c r="L960" i="14"/>
  <c r="L961" i="14"/>
  <c r="L962" i="14"/>
  <c r="L963" i="14"/>
  <c r="L964" i="14"/>
  <c r="L965" i="14"/>
  <c r="L966" i="14"/>
  <c r="L967" i="14"/>
  <c r="L968" i="14"/>
  <c r="L969" i="14"/>
  <c r="L970" i="14"/>
  <c r="L971" i="14"/>
  <c r="L972" i="14"/>
  <c r="L973" i="14"/>
  <c r="L974" i="14"/>
  <c r="L975" i="14"/>
  <c r="L976" i="14"/>
  <c r="L977" i="14"/>
  <c r="L978" i="14"/>
  <c r="L979" i="14"/>
  <c r="L980" i="14"/>
  <c r="L981" i="14"/>
  <c r="L982" i="14"/>
  <c r="L983" i="14"/>
  <c r="L984" i="14"/>
  <c r="L985" i="14"/>
  <c r="L986" i="14"/>
  <c r="L987" i="14"/>
  <c r="L988" i="14"/>
  <c r="L989" i="14"/>
  <c r="L990" i="14"/>
  <c r="L991" i="14"/>
  <c r="L992" i="14"/>
  <c r="L993" i="14"/>
  <c r="L994" i="14"/>
  <c r="L995" i="14"/>
  <c r="L996" i="14"/>
  <c r="L997" i="14"/>
  <c r="L998" i="14"/>
  <c r="L999" i="14"/>
  <c r="L1000" i="14"/>
  <c r="L1001" i="14"/>
  <c r="L1002" i="14"/>
  <c r="L1003" i="14"/>
  <c r="L1004" i="14"/>
  <c r="L1005" i="14"/>
  <c r="L1006" i="14"/>
  <c r="L1007" i="14"/>
  <c r="L1008" i="14"/>
  <c r="L1009" i="14"/>
  <c r="L1010" i="14"/>
  <c r="L1011" i="14"/>
  <c r="L1012" i="14"/>
  <c r="L1013" i="14"/>
  <c r="L1014" i="14"/>
  <c r="L1015" i="14"/>
  <c r="L1016" i="14"/>
  <c r="L1017" i="14"/>
  <c r="L1018" i="14"/>
  <c r="L1019" i="14"/>
  <c r="K954" i="14"/>
  <c r="K955" i="14"/>
  <c r="K956" i="14"/>
  <c r="K957" i="14"/>
  <c r="K958" i="14"/>
  <c r="K959" i="14"/>
  <c r="K960" i="14"/>
  <c r="K961" i="14"/>
  <c r="K962" i="14"/>
  <c r="K963" i="14"/>
  <c r="K964" i="14"/>
  <c r="K965" i="14"/>
  <c r="K966" i="14"/>
  <c r="K967" i="14"/>
  <c r="K968" i="14"/>
  <c r="K969" i="14"/>
  <c r="K970" i="14"/>
  <c r="K971" i="14"/>
  <c r="K972" i="14"/>
  <c r="K973" i="14"/>
  <c r="K974" i="14"/>
  <c r="K975" i="14"/>
  <c r="K976" i="14"/>
  <c r="K977" i="14"/>
  <c r="K978" i="14"/>
  <c r="K979" i="14"/>
  <c r="K980" i="14"/>
  <c r="K981" i="14"/>
  <c r="K982" i="14"/>
  <c r="K983" i="14"/>
  <c r="K984" i="14"/>
  <c r="K985" i="14"/>
  <c r="K986" i="14"/>
  <c r="K987" i="14"/>
  <c r="K988" i="14"/>
  <c r="K989" i="14"/>
  <c r="K990" i="14"/>
  <c r="K991" i="14"/>
  <c r="K992" i="14"/>
  <c r="K993" i="14"/>
  <c r="K994" i="14"/>
  <c r="K995" i="14"/>
  <c r="K996" i="14"/>
  <c r="K997" i="14"/>
  <c r="K998" i="14"/>
  <c r="K999" i="14"/>
  <c r="K1000" i="14"/>
  <c r="K1001" i="14"/>
  <c r="K1002" i="14"/>
  <c r="K1003" i="14"/>
  <c r="K1004" i="14"/>
  <c r="K1005" i="14"/>
  <c r="K1006" i="14"/>
  <c r="K1007" i="14"/>
  <c r="K1008" i="14"/>
  <c r="K1009" i="14"/>
  <c r="K1010" i="14"/>
  <c r="K1011" i="14"/>
  <c r="K1012" i="14"/>
  <c r="K1013" i="14"/>
  <c r="K1014" i="14"/>
  <c r="K1015" i="14"/>
  <c r="K1016" i="14"/>
  <c r="K1017" i="14"/>
  <c r="K1018" i="14"/>
  <c r="K1019" i="14"/>
  <c r="K1020" i="14"/>
  <c r="J1020" i="14"/>
  <c r="H1020" i="14"/>
  <c r="J1019" i="14"/>
  <c r="H1019" i="14"/>
  <c r="J1018" i="14"/>
  <c r="H1018" i="14"/>
  <c r="J1017" i="14"/>
  <c r="H1017" i="14"/>
  <c r="J1016" i="14"/>
  <c r="H1016" i="14"/>
  <c r="J1015" i="14"/>
  <c r="H1015" i="14"/>
  <c r="J1014" i="14"/>
  <c r="H1014" i="14"/>
  <c r="J1013" i="14"/>
  <c r="H1013" i="14"/>
  <c r="J1012" i="14"/>
  <c r="H1012" i="14"/>
  <c r="J1011" i="14"/>
  <c r="H1011" i="14"/>
  <c r="J1010" i="14"/>
  <c r="H1010" i="14"/>
  <c r="J1009" i="14"/>
  <c r="H1009" i="14"/>
  <c r="J1008" i="14"/>
  <c r="H1008" i="14"/>
  <c r="J1007" i="14"/>
  <c r="H1007" i="14"/>
  <c r="J1006" i="14"/>
  <c r="H1006" i="14"/>
  <c r="J1005" i="14"/>
  <c r="H1005" i="14"/>
  <c r="J1004" i="14"/>
  <c r="H1004" i="14"/>
  <c r="J1003" i="14"/>
  <c r="H1003" i="14"/>
  <c r="J1002" i="14"/>
  <c r="H1002" i="14"/>
  <c r="J1001" i="14"/>
  <c r="H1001" i="14"/>
  <c r="J1000" i="14"/>
  <c r="H1000" i="14"/>
  <c r="J999" i="14"/>
  <c r="H999" i="14"/>
  <c r="J998" i="14"/>
  <c r="H998" i="14"/>
  <c r="J997" i="14"/>
  <c r="H997" i="14"/>
  <c r="J996" i="14"/>
  <c r="H996" i="14"/>
  <c r="J995" i="14"/>
  <c r="H995" i="14"/>
  <c r="J994" i="14"/>
  <c r="H994" i="14"/>
  <c r="J993" i="14"/>
  <c r="H993" i="14"/>
  <c r="J992" i="14"/>
  <c r="H992" i="14"/>
  <c r="J991" i="14"/>
  <c r="H991" i="14"/>
  <c r="J990" i="14"/>
  <c r="H990" i="14"/>
  <c r="J989" i="14"/>
  <c r="H989" i="14"/>
  <c r="J988" i="14"/>
  <c r="H988" i="14"/>
  <c r="J987" i="14"/>
  <c r="H987" i="14"/>
  <c r="J986" i="14"/>
  <c r="H986" i="14"/>
  <c r="J985" i="14"/>
  <c r="H985" i="14"/>
  <c r="J984" i="14"/>
  <c r="H984" i="14"/>
  <c r="J983" i="14"/>
  <c r="H983" i="14"/>
  <c r="J982" i="14"/>
  <c r="H982" i="14"/>
  <c r="J981" i="14"/>
  <c r="H981" i="14"/>
  <c r="J980" i="14"/>
  <c r="H980" i="14"/>
  <c r="J979" i="14"/>
  <c r="H979" i="14"/>
  <c r="J978" i="14"/>
  <c r="H978" i="14"/>
  <c r="J977" i="14"/>
  <c r="H977" i="14"/>
  <c r="J976" i="14"/>
  <c r="H976" i="14"/>
  <c r="J975" i="14"/>
  <c r="H975" i="14"/>
  <c r="J974" i="14"/>
  <c r="H974" i="14"/>
  <c r="J973" i="14"/>
  <c r="H973" i="14"/>
  <c r="J972" i="14"/>
  <c r="H972" i="14"/>
  <c r="J971" i="14"/>
  <c r="H971" i="14"/>
  <c r="J970" i="14"/>
  <c r="H970" i="14"/>
  <c r="J969" i="14"/>
  <c r="H969" i="14"/>
  <c r="J968" i="14"/>
  <c r="H968" i="14"/>
  <c r="J967" i="14"/>
  <c r="H967" i="14"/>
  <c r="J966" i="14"/>
  <c r="H966" i="14"/>
  <c r="J965" i="14"/>
  <c r="H965" i="14"/>
  <c r="J964" i="14"/>
  <c r="H964" i="14"/>
  <c r="J963" i="14"/>
  <c r="H963" i="14"/>
  <c r="J962" i="14"/>
  <c r="H962" i="14"/>
  <c r="J961" i="14"/>
  <c r="H961" i="14"/>
  <c r="J960" i="14"/>
  <c r="H960" i="14"/>
  <c r="J959" i="14"/>
  <c r="H959" i="14"/>
  <c r="J958" i="14"/>
  <c r="H958" i="14"/>
  <c r="J957" i="14"/>
  <c r="H957" i="14"/>
  <c r="J956" i="14"/>
  <c r="H956" i="14"/>
  <c r="J955" i="14"/>
  <c r="H955" i="14"/>
  <c r="J954" i="14"/>
  <c r="H954" i="14"/>
  <c r="J953" i="14"/>
  <c r="H953" i="14"/>
  <c r="K953" i="14"/>
  <c r="B203" i="15"/>
  <c r="B204" i="15"/>
  <c r="B205" i="15"/>
  <c r="B206" i="15"/>
  <c r="B207" i="15"/>
  <c r="B208" i="15"/>
  <c r="B209" i="15"/>
  <c r="B210" i="15"/>
  <c r="B211" i="15"/>
  <c r="B212" i="15"/>
  <c r="B213" i="15"/>
  <c r="C203" i="15"/>
  <c r="C204" i="15"/>
  <c r="C205" i="15"/>
  <c r="C206" i="15"/>
  <c r="C207" i="15"/>
  <c r="C208" i="15"/>
  <c r="C209" i="15"/>
  <c r="C210" i="15"/>
  <c r="C211" i="15"/>
  <c r="C212" i="15"/>
  <c r="C213" i="15"/>
  <c r="B57" i="11" l="1"/>
  <c r="O57" i="11"/>
  <c r="P57" i="11" s="1"/>
  <c r="Q57" i="11" s="1"/>
  <c r="B58" i="11"/>
  <c r="O58" i="11"/>
  <c r="P58" i="11" s="1"/>
  <c r="Q58" i="11" s="1"/>
  <c r="M27" i="10"/>
  <c r="N27" i="10" s="1"/>
  <c r="B27" i="10"/>
  <c r="T27" i="10" l="1"/>
  <c r="U58" i="11"/>
  <c r="U57" i="11"/>
  <c r="N152" i="7"/>
  <c r="U152" i="7"/>
  <c r="C162" i="7"/>
  <c r="N162" i="7"/>
  <c r="P162" i="7" s="1"/>
  <c r="U162" i="7" l="1"/>
  <c r="C153" i="7" l="1"/>
  <c r="N153" i="7"/>
  <c r="O153" i="7" s="1"/>
  <c r="S48" i="11"/>
  <c r="P153" i="7" l="1"/>
  <c r="U153" i="7" s="1"/>
  <c r="M211" i="7"/>
  <c r="N211" i="7" s="1"/>
  <c r="M210" i="7"/>
  <c r="N210" i="7" s="1"/>
  <c r="M209" i="7"/>
  <c r="N209" i="7" s="1"/>
  <c r="M205" i="7"/>
  <c r="N205" i="7" s="1"/>
  <c r="M204" i="7"/>
  <c r="N204" i="7" s="1"/>
  <c r="M203" i="7"/>
  <c r="N203" i="7" s="1"/>
  <c r="M208" i="7"/>
  <c r="N208" i="7" s="1"/>
  <c r="C203" i="7"/>
  <c r="C204" i="7"/>
  <c r="C205" i="7"/>
  <c r="C209" i="7"/>
  <c r="C208" i="7"/>
  <c r="C210" i="7"/>
  <c r="C211" i="7"/>
  <c r="B5" i="11"/>
  <c r="A10" i="11"/>
  <c r="A8" i="11"/>
  <c r="L56" i="11"/>
  <c r="O210" i="7" l="1"/>
  <c r="P210" i="7" s="1"/>
  <c r="O211" i="7"/>
  <c r="P211" i="7" s="1"/>
  <c r="U211" i="7" s="1"/>
  <c r="O209" i="7"/>
  <c r="P209" i="7" s="1"/>
  <c r="Q209" i="7" s="1"/>
  <c r="O204" i="7"/>
  <c r="O205" i="7"/>
  <c r="P205" i="7" s="1"/>
  <c r="O203" i="7"/>
  <c r="P203" i="7" s="1"/>
  <c r="Q203" i="7" s="1"/>
  <c r="O208" i="7"/>
  <c r="P208" i="7" s="1"/>
  <c r="Q208" i="7" s="1"/>
  <c r="H952" i="14"/>
  <c r="H951" i="14"/>
  <c r="H950" i="14"/>
  <c r="H949" i="14"/>
  <c r="H948" i="14"/>
  <c r="H947" i="14"/>
  <c r="H946" i="14"/>
  <c r="H945" i="14"/>
  <c r="H940" i="14"/>
  <c r="H939" i="14"/>
  <c r="H938" i="14"/>
  <c r="H937" i="14"/>
  <c r="H936" i="14"/>
  <c r="H935" i="14"/>
  <c r="H934" i="14"/>
  <c r="H933" i="14"/>
  <c r="H932" i="14"/>
  <c r="H931" i="14"/>
  <c r="H930" i="14"/>
  <c r="H929" i="14"/>
  <c r="H928" i="14"/>
  <c r="H927" i="14"/>
  <c r="H926" i="14"/>
  <c r="H919" i="14"/>
  <c r="H917" i="14"/>
  <c r="H916" i="14"/>
  <c r="H915" i="14"/>
  <c r="H914" i="14"/>
  <c r="H913" i="14"/>
  <c r="H912" i="14"/>
  <c r="H911" i="14"/>
  <c r="H910" i="14"/>
  <c r="H909" i="14"/>
  <c r="H908" i="14"/>
  <c r="H907" i="14"/>
  <c r="H906" i="14"/>
  <c r="H905" i="14"/>
  <c r="H904" i="14"/>
  <c r="H901" i="14"/>
  <c r="H900" i="14"/>
  <c r="H899" i="14"/>
  <c r="H898" i="14"/>
  <c r="H897" i="14"/>
  <c r="H896" i="14"/>
  <c r="H895" i="14"/>
  <c r="H894" i="14"/>
  <c r="H893" i="14"/>
  <c r="H892" i="14"/>
  <c r="H891" i="14"/>
  <c r="L891" i="14"/>
  <c r="K892" i="14"/>
  <c r="K893" i="14"/>
  <c r="K894" i="14"/>
  <c r="K895" i="14"/>
  <c r="K896" i="14"/>
  <c r="K897" i="14"/>
  <c r="K898" i="14"/>
  <c r="K899" i="14"/>
  <c r="K900" i="14"/>
  <c r="K901" i="14"/>
  <c r="K902" i="14"/>
  <c r="K903" i="14"/>
  <c r="K904" i="14"/>
  <c r="K905" i="14"/>
  <c r="K906" i="14"/>
  <c r="K907" i="14"/>
  <c r="K908" i="14"/>
  <c r="K909" i="14"/>
  <c r="K910" i="14"/>
  <c r="K911" i="14"/>
  <c r="K912" i="14"/>
  <c r="K913" i="14"/>
  <c r="K914" i="14"/>
  <c r="K915" i="14"/>
  <c r="K916" i="14"/>
  <c r="K917" i="14"/>
  <c r="K918" i="14"/>
  <c r="K919" i="14"/>
  <c r="K920" i="14"/>
  <c r="K921" i="14"/>
  <c r="K922" i="14"/>
  <c r="K923" i="14"/>
  <c r="K924" i="14"/>
  <c r="K925" i="14"/>
  <c r="K926" i="14"/>
  <c r="K927" i="14"/>
  <c r="K928" i="14"/>
  <c r="K929" i="14"/>
  <c r="K930" i="14"/>
  <c r="K931" i="14"/>
  <c r="K932" i="14"/>
  <c r="K933" i="14"/>
  <c r="K934" i="14"/>
  <c r="K935" i="14"/>
  <c r="K936" i="14"/>
  <c r="K937" i="14"/>
  <c r="K938" i="14"/>
  <c r="K939" i="14"/>
  <c r="K940" i="14"/>
  <c r="K941" i="14"/>
  <c r="K942" i="14"/>
  <c r="K943" i="14"/>
  <c r="K944" i="14"/>
  <c r="K945" i="14"/>
  <c r="K946" i="14"/>
  <c r="K947" i="14"/>
  <c r="K948" i="14"/>
  <c r="K949" i="14"/>
  <c r="K950" i="14"/>
  <c r="K951" i="14"/>
  <c r="K952" i="14"/>
  <c r="L892" i="14"/>
  <c r="L893" i="14"/>
  <c r="L894" i="14"/>
  <c r="L895" i="14"/>
  <c r="L896" i="14"/>
  <c r="L897" i="14"/>
  <c r="L898" i="14"/>
  <c r="L899" i="14"/>
  <c r="L900" i="14"/>
  <c r="L901" i="14"/>
  <c r="L902" i="14"/>
  <c r="L903" i="14"/>
  <c r="L904" i="14"/>
  <c r="L905" i="14"/>
  <c r="L906" i="14"/>
  <c r="L907" i="14"/>
  <c r="L908" i="14"/>
  <c r="L909" i="14"/>
  <c r="L910" i="14"/>
  <c r="L911" i="14"/>
  <c r="L912" i="14"/>
  <c r="L913" i="14"/>
  <c r="L914" i="14"/>
  <c r="L915" i="14"/>
  <c r="L916" i="14"/>
  <c r="L917" i="14"/>
  <c r="L918" i="14"/>
  <c r="L919" i="14"/>
  <c r="L920" i="14"/>
  <c r="L921" i="14"/>
  <c r="L922" i="14"/>
  <c r="L923" i="14"/>
  <c r="L924" i="14"/>
  <c r="L925" i="14"/>
  <c r="L926" i="14"/>
  <c r="L927" i="14"/>
  <c r="L928" i="14"/>
  <c r="L929" i="14"/>
  <c r="L930" i="14"/>
  <c r="L931" i="14"/>
  <c r="L932" i="14"/>
  <c r="L933" i="14"/>
  <c r="L934" i="14"/>
  <c r="L935" i="14"/>
  <c r="L936" i="14"/>
  <c r="L937" i="14"/>
  <c r="L938" i="14"/>
  <c r="L939" i="14"/>
  <c r="L940" i="14"/>
  <c r="L941" i="14"/>
  <c r="L942" i="14"/>
  <c r="L943" i="14"/>
  <c r="L944" i="14"/>
  <c r="L945" i="14"/>
  <c r="L946" i="14"/>
  <c r="L947" i="14"/>
  <c r="L948" i="14"/>
  <c r="L949" i="14"/>
  <c r="L950" i="14"/>
  <c r="L951" i="14"/>
  <c r="L952" i="14"/>
  <c r="J952" i="14"/>
  <c r="J951" i="14"/>
  <c r="J950" i="14"/>
  <c r="J949" i="14"/>
  <c r="J948" i="14"/>
  <c r="J947" i="14"/>
  <c r="J946" i="14"/>
  <c r="J945" i="14"/>
  <c r="J944" i="14"/>
  <c r="H944" i="14"/>
  <c r="J943" i="14"/>
  <c r="H943" i="14"/>
  <c r="J942" i="14"/>
  <c r="H942" i="14"/>
  <c r="J941" i="14"/>
  <c r="H941" i="14"/>
  <c r="J940" i="14"/>
  <c r="J939" i="14"/>
  <c r="J938" i="14"/>
  <c r="J937" i="14"/>
  <c r="J936" i="14"/>
  <c r="J935" i="14"/>
  <c r="J934" i="14"/>
  <c r="J933" i="14"/>
  <c r="J932" i="14"/>
  <c r="J931" i="14"/>
  <c r="J930" i="14"/>
  <c r="J929" i="14"/>
  <c r="J928" i="14"/>
  <c r="J927" i="14"/>
  <c r="J926" i="14"/>
  <c r="J925" i="14"/>
  <c r="H925" i="14"/>
  <c r="J924" i="14"/>
  <c r="H924" i="14"/>
  <c r="J923" i="14"/>
  <c r="H923" i="14"/>
  <c r="J922" i="14"/>
  <c r="H922" i="14"/>
  <c r="J921" i="14"/>
  <c r="H921" i="14"/>
  <c r="J920" i="14"/>
  <c r="H920" i="14"/>
  <c r="J919" i="14"/>
  <c r="J918" i="14"/>
  <c r="H918" i="14"/>
  <c r="J917" i="14"/>
  <c r="J916" i="14"/>
  <c r="J915" i="14"/>
  <c r="J914" i="14"/>
  <c r="J913" i="14"/>
  <c r="J912" i="14"/>
  <c r="J911" i="14"/>
  <c r="J910" i="14"/>
  <c r="J909" i="14"/>
  <c r="J908" i="14"/>
  <c r="J907" i="14"/>
  <c r="J906" i="14"/>
  <c r="J905" i="14"/>
  <c r="J904" i="14"/>
  <c r="J903" i="14"/>
  <c r="H903" i="14"/>
  <c r="J902" i="14"/>
  <c r="H902" i="14"/>
  <c r="J901" i="14"/>
  <c r="J900" i="14"/>
  <c r="J899" i="14"/>
  <c r="J898" i="14"/>
  <c r="J897" i="14"/>
  <c r="J896" i="14"/>
  <c r="J895" i="14"/>
  <c r="J894" i="14"/>
  <c r="J893" i="14"/>
  <c r="J892" i="14"/>
  <c r="J891" i="14"/>
  <c r="K891" i="14"/>
  <c r="B195" i="15"/>
  <c r="B196" i="15"/>
  <c r="B197" i="15"/>
  <c r="B198" i="15"/>
  <c r="B199" i="15"/>
  <c r="B200" i="15"/>
  <c r="B201" i="15"/>
  <c r="B202" i="15"/>
  <c r="C195" i="15"/>
  <c r="C196" i="15"/>
  <c r="C197" i="15"/>
  <c r="C198" i="15"/>
  <c r="C199" i="15"/>
  <c r="C200" i="15"/>
  <c r="C201" i="15"/>
  <c r="C202" i="15"/>
  <c r="U205" i="7" l="1"/>
  <c r="O264" i="7"/>
  <c r="U210" i="7"/>
  <c r="U208" i="7"/>
  <c r="U209" i="7"/>
  <c r="P204" i="7"/>
  <c r="Q204" i="7" s="1"/>
  <c r="P261" i="7" s="1"/>
  <c r="L25" i="10"/>
  <c r="L26" i="10"/>
  <c r="M26" i="10" s="1"/>
  <c r="N26" i="10" s="1"/>
  <c r="T26" i="10" s="1"/>
  <c r="R35" i="10" s="1"/>
  <c r="B26" i="10"/>
  <c r="O56" i="11"/>
  <c r="P56" i="11" s="1"/>
  <c r="B56" i="11"/>
  <c r="N55" i="11"/>
  <c r="B55" i="11"/>
  <c r="U204" i="7" l="1"/>
  <c r="Q56" i="11"/>
  <c r="U56" i="11" s="1"/>
  <c r="O55" i="11"/>
  <c r="P55" i="11" s="1"/>
  <c r="Q55" i="11" s="1"/>
  <c r="U55" i="11" l="1"/>
  <c r="I75" i="11" s="1"/>
  <c r="M201" i="7"/>
  <c r="N201" i="7" s="1"/>
  <c r="O201" i="7" s="1"/>
  <c r="M202" i="7"/>
  <c r="N202" i="7" s="1"/>
  <c r="M196" i="7"/>
  <c r="N196" i="7" s="1"/>
  <c r="O196" i="7" s="1"/>
  <c r="M197" i="7"/>
  <c r="N197" i="7" s="1"/>
  <c r="O197" i="7" s="1"/>
  <c r="P197" i="7" s="1"/>
  <c r="M198" i="7"/>
  <c r="N198" i="7" s="1"/>
  <c r="O198" i="7" s="1"/>
  <c r="P198" i="7" s="1"/>
  <c r="U198" i="7" s="1"/>
  <c r="N199" i="7"/>
  <c r="O199" i="7" s="1"/>
  <c r="P199" i="7" s="1"/>
  <c r="M200" i="7"/>
  <c r="N200" i="7" s="1"/>
  <c r="O200" i="7" s="1"/>
  <c r="P200" i="7" s="1"/>
  <c r="M195" i="7"/>
  <c r="N195" i="7" s="1"/>
  <c r="C195" i="7"/>
  <c r="C196" i="7"/>
  <c r="C197" i="7"/>
  <c r="C198" i="7"/>
  <c r="C199" i="7"/>
  <c r="C200" i="7"/>
  <c r="M194" i="7"/>
  <c r="N194" i="7" s="1"/>
  <c r="C194" i="7"/>
  <c r="M193" i="7"/>
  <c r="N193" i="7" s="1"/>
  <c r="O193" i="7" s="1"/>
  <c r="C193" i="7"/>
  <c r="M192" i="7"/>
  <c r="N192" i="7" s="1"/>
  <c r="C192" i="7"/>
  <c r="M191" i="7"/>
  <c r="N191" i="7" s="1"/>
  <c r="C191" i="7"/>
  <c r="M190" i="7"/>
  <c r="N190" i="7" s="1"/>
  <c r="C190" i="7"/>
  <c r="M189" i="7"/>
  <c r="N189" i="7" s="1"/>
  <c r="C189" i="7"/>
  <c r="C201" i="7"/>
  <c r="C202" i="7"/>
  <c r="M188" i="7"/>
  <c r="N188" i="7" s="1"/>
  <c r="C188" i="7"/>
  <c r="M182" i="7"/>
  <c r="N182" i="7" s="1"/>
  <c r="C182" i="7"/>
  <c r="M181" i="7"/>
  <c r="N181" i="7" s="1"/>
  <c r="C181" i="7"/>
  <c r="M180" i="7"/>
  <c r="N180" i="7" s="1"/>
  <c r="C180" i="7"/>
  <c r="S46" i="11"/>
  <c r="C152" i="7"/>
  <c r="O152" i="7"/>
  <c r="J819" i="14"/>
  <c r="J820" i="14"/>
  <c r="J821" i="14"/>
  <c r="J822" i="14"/>
  <c r="J823" i="14"/>
  <c r="J824" i="14"/>
  <c r="J825" i="14"/>
  <c r="J826" i="14"/>
  <c r="J827" i="14"/>
  <c r="J828" i="14"/>
  <c r="J829" i="14"/>
  <c r="J830" i="14"/>
  <c r="J831" i="14"/>
  <c r="J832" i="14"/>
  <c r="J833" i="14"/>
  <c r="J834" i="14"/>
  <c r="J835" i="14"/>
  <c r="J836" i="14"/>
  <c r="J837" i="14"/>
  <c r="J838" i="14"/>
  <c r="J839" i="14"/>
  <c r="J840" i="14"/>
  <c r="J841" i="14"/>
  <c r="J842" i="14"/>
  <c r="J843" i="14"/>
  <c r="J844" i="14"/>
  <c r="J845" i="14"/>
  <c r="J846" i="14"/>
  <c r="J847" i="14"/>
  <c r="J848" i="14"/>
  <c r="J849" i="14"/>
  <c r="J850" i="14"/>
  <c r="J851" i="14"/>
  <c r="J852" i="14"/>
  <c r="J853" i="14"/>
  <c r="J854" i="14"/>
  <c r="J855" i="14"/>
  <c r="J856" i="14"/>
  <c r="J857" i="14"/>
  <c r="J858" i="14"/>
  <c r="J859" i="14"/>
  <c r="J860" i="14"/>
  <c r="J861" i="14"/>
  <c r="J862" i="14"/>
  <c r="J863" i="14"/>
  <c r="J864" i="14"/>
  <c r="J865" i="14"/>
  <c r="J866" i="14"/>
  <c r="J867" i="14"/>
  <c r="J868" i="14"/>
  <c r="J869" i="14"/>
  <c r="J870" i="14"/>
  <c r="J871" i="14"/>
  <c r="J872" i="14"/>
  <c r="J873" i="14"/>
  <c r="J874" i="14"/>
  <c r="J875" i="14"/>
  <c r="J876" i="14"/>
  <c r="J877" i="14"/>
  <c r="J878" i="14"/>
  <c r="J879" i="14"/>
  <c r="J880" i="14"/>
  <c r="J881" i="14"/>
  <c r="J882" i="14"/>
  <c r="J883" i="14"/>
  <c r="J884" i="14"/>
  <c r="J885" i="14"/>
  <c r="J886" i="14"/>
  <c r="J887" i="14"/>
  <c r="J888" i="14"/>
  <c r="J889" i="14"/>
  <c r="J890" i="14"/>
  <c r="H820" i="14"/>
  <c r="H821" i="14"/>
  <c r="H822" i="14"/>
  <c r="H823" i="14"/>
  <c r="H824" i="14"/>
  <c r="H825" i="14"/>
  <c r="H826" i="14"/>
  <c r="H827" i="14"/>
  <c r="H828" i="14"/>
  <c r="H829" i="14"/>
  <c r="H830" i="14"/>
  <c r="H831" i="14"/>
  <c r="H832" i="14"/>
  <c r="H833" i="14"/>
  <c r="H834" i="14"/>
  <c r="H835" i="14"/>
  <c r="H836" i="14"/>
  <c r="H837" i="14"/>
  <c r="H838" i="14"/>
  <c r="H839" i="14"/>
  <c r="H840" i="14"/>
  <c r="H841" i="14"/>
  <c r="H842" i="14"/>
  <c r="H843" i="14"/>
  <c r="H844" i="14"/>
  <c r="H845" i="14"/>
  <c r="H846" i="14"/>
  <c r="H847" i="14"/>
  <c r="H848" i="14"/>
  <c r="H849" i="14"/>
  <c r="H850" i="14"/>
  <c r="H851" i="14"/>
  <c r="H852" i="14"/>
  <c r="H853" i="14"/>
  <c r="H854" i="14"/>
  <c r="H855" i="14"/>
  <c r="H856" i="14"/>
  <c r="H857" i="14"/>
  <c r="H858" i="14"/>
  <c r="H859" i="14"/>
  <c r="H860" i="14"/>
  <c r="H861" i="14"/>
  <c r="H862" i="14"/>
  <c r="H863" i="14"/>
  <c r="H864" i="14"/>
  <c r="H865" i="14"/>
  <c r="H866" i="14"/>
  <c r="H867" i="14"/>
  <c r="H868" i="14"/>
  <c r="H869" i="14"/>
  <c r="H870" i="14"/>
  <c r="H871" i="14"/>
  <c r="H872" i="14"/>
  <c r="H873" i="14"/>
  <c r="H874" i="14"/>
  <c r="H875" i="14"/>
  <c r="H876" i="14"/>
  <c r="H877" i="14"/>
  <c r="H878" i="14"/>
  <c r="H879" i="14"/>
  <c r="H880" i="14"/>
  <c r="H881" i="14"/>
  <c r="H882" i="14"/>
  <c r="H883" i="14"/>
  <c r="H884" i="14"/>
  <c r="H885" i="14"/>
  <c r="H886" i="14"/>
  <c r="H887" i="14"/>
  <c r="H888" i="14"/>
  <c r="H889" i="14"/>
  <c r="H890" i="14"/>
  <c r="H819" i="14"/>
  <c r="K838" i="14"/>
  <c r="K820" i="14"/>
  <c r="K821" i="14"/>
  <c r="K822" i="14"/>
  <c r="K823" i="14"/>
  <c r="K824" i="14"/>
  <c r="K825" i="14"/>
  <c r="K826" i="14"/>
  <c r="K827" i="14"/>
  <c r="K828" i="14"/>
  <c r="K829" i="14"/>
  <c r="K830" i="14"/>
  <c r="K831" i="14"/>
  <c r="K832" i="14"/>
  <c r="K833" i="14"/>
  <c r="K834" i="14"/>
  <c r="K835" i="14"/>
  <c r="K836" i="14"/>
  <c r="K837" i="14"/>
  <c r="K839" i="14"/>
  <c r="K840" i="14"/>
  <c r="K841" i="14"/>
  <c r="K842" i="14"/>
  <c r="K843" i="14"/>
  <c r="K844" i="14"/>
  <c r="K845" i="14"/>
  <c r="K846" i="14"/>
  <c r="K847" i="14"/>
  <c r="K848" i="14"/>
  <c r="K849" i="14"/>
  <c r="K850" i="14"/>
  <c r="K851" i="14"/>
  <c r="K852" i="14"/>
  <c r="K853" i="14"/>
  <c r="K854" i="14"/>
  <c r="K855" i="14"/>
  <c r="K856" i="14"/>
  <c r="K857" i="14"/>
  <c r="K858" i="14"/>
  <c r="K859" i="14"/>
  <c r="K860" i="14"/>
  <c r="K861" i="14"/>
  <c r="K862" i="14"/>
  <c r="K863" i="14"/>
  <c r="K864" i="14"/>
  <c r="K865" i="14"/>
  <c r="K866" i="14"/>
  <c r="K867" i="14"/>
  <c r="K868" i="14"/>
  <c r="K869" i="14"/>
  <c r="K870" i="14"/>
  <c r="K871" i="14"/>
  <c r="K872" i="14"/>
  <c r="K873" i="14"/>
  <c r="K874" i="14"/>
  <c r="K875" i="14"/>
  <c r="K876" i="14"/>
  <c r="K877" i="14"/>
  <c r="K878" i="14"/>
  <c r="K879" i="14"/>
  <c r="K880" i="14"/>
  <c r="K881" i="14"/>
  <c r="K882" i="14"/>
  <c r="K883" i="14"/>
  <c r="K884" i="14"/>
  <c r="K885" i="14"/>
  <c r="K886" i="14"/>
  <c r="K887" i="14"/>
  <c r="K888" i="14"/>
  <c r="K889" i="14"/>
  <c r="K890" i="14"/>
  <c r="L820" i="14"/>
  <c r="L821" i="14"/>
  <c r="L822" i="14"/>
  <c r="L823" i="14"/>
  <c r="L824" i="14"/>
  <c r="L825" i="14"/>
  <c r="L826" i="14"/>
  <c r="L827" i="14"/>
  <c r="L828" i="14"/>
  <c r="L829" i="14"/>
  <c r="L830" i="14"/>
  <c r="L831" i="14"/>
  <c r="L832" i="14"/>
  <c r="L833" i="14"/>
  <c r="L834" i="14"/>
  <c r="L835" i="14"/>
  <c r="L836" i="14"/>
  <c r="L837" i="14"/>
  <c r="L838" i="14"/>
  <c r="L839" i="14"/>
  <c r="L840" i="14"/>
  <c r="L841" i="14"/>
  <c r="L842" i="14"/>
  <c r="L843" i="14"/>
  <c r="L844" i="14"/>
  <c r="L845" i="14"/>
  <c r="L846" i="14"/>
  <c r="L847" i="14"/>
  <c r="L848" i="14"/>
  <c r="L849" i="14"/>
  <c r="L850" i="14"/>
  <c r="L851" i="14"/>
  <c r="L852" i="14"/>
  <c r="L853" i="14"/>
  <c r="L854" i="14"/>
  <c r="L855" i="14"/>
  <c r="L856" i="14"/>
  <c r="L857" i="14"/>
  <c r="L858" i="14"/>
  <c r="L859" i="14"/>
  <c r="L860" i="14"/>
  <c r="L861" i="14"/>
  <c r="L862" i="14"/>
  <c r="L863" i="14"/>
  <c r="L864" i="14"/>
  <c r="L865" i="14"/>
  <c r="L866" i="14"/>
  <c r="L867" i="14"/>
  <c r="L868" i="14"/>
  <c r="L869" i="14"/>
  <c r="L870" i="14"/>
  <c r="L871" i="14"/>
  <c r="L872" i="14"/>
  <c r="L873" i="14"/>
  <c r="L874" i="14"/>
  <c r="L875" i="14"/>
  <c r="L876" i="14"/>
  <c r="L877" i="14"/>
  <c r="L878" i="14"/>
  <c r="L879" i="14"/>
  <c r="L880" i="14"/>
  <c r="L881" i="14"/>
  <c r="L882" i="14"/>
  <c r="L883" i="14"/>
  <c r="L884" i="14"/>
  <c r="L885" i="14"/>
  <c r="L886" i="14"/>
  <c r="L887" i="14"/>
  <c r="L888" i="14"/>
  <c r="L889" i="14"/>
  <c r="L890" i="14"/>
  <c r="C185" i="15"/>
  <c r="B185" i="15"/>
  <c r="B186" i="15"/>
  <c r="B187" i="15"/>
  <c r="B188" i="15"/>
  <c r="B189" i="15"/>
  <c r="B190" i="15"/>
  <c r="B191" i="15"/>
  <c r="B192" i="15"/>
  <c r="B193" i="15"/>
  <c r="B194" i="15"/>
  <c r="C186" i="15"/>
  <c r="C187" i="15"/>
  <c r="C188" i="15"/>
  <c r="C189" i="15"/>
  <c r="C190" i="15"/>
  <c r="C191" i="15"/>
  <c r="C192" i="15"/>
  <c r="C193" i="15"/>
  <c r="C194" i="15"/>
  <c r="B25" i="10"/>
  <c r="M25" i="10"/>
  <c r="N25" i="10" s="1"/>
  <c r="T25" i="10" s="1"/>
  <c r="N51" i="11"/>
  <c r="N53" i="11"/>
  <c r="Q200" i="7" l="1"/>
  <c r="U200" i="7" s="1"/>
  <c r="Q199" i="7"/>
  <c r="U199" i="7" s="1"/>
  <c r="Q197" i="7"/>
  <c r="U197" i="7" s="1"/>
  <c r="T32" i="10"/>
  <c r="O202" i="7"/>
  <c r="P202" i="7" s="1"/>
  <c r="U202" i="7" s="1"/>
  <c r="P196" i="7"/>
  <c r="O195" i="7"/>
  <c r="P195" i="7" s="1"/>
  <c r="R263" i="7" s="1"/>
  <c r="O190" i="7"/>
  <c r="P190" i="7" s="1"/>
  <c r="U190" i="7" s="1"/>
  <c r="O192" i="7"/>
  <c r="P192" i="7" s="1"/>
  <c r="U192" i="7" s="1"/>
  <c r="O194" i="7"/>
  <c r="P194" i="7" s="1"/>
  <c r="U194" i="7" s="1"/>
  <c r="O189" i="7"/>
  <c r="P189" i="7" s="1"/>
  <c r="U189" i="7" s="1"/>
  <c r="O191" i="7"/>
  <c r="P191" i="7" s="1"/>
  <c r="U191" i="7" s="1"/>
  <c r="P193" i="7"/>
  <c r="U193" i="7" s="1"/>
  <c r="P201" i="7"/>
  <c r="O181" i="7"/>
  <c r="P181" i="7" s="1"/>
  <c r="O180" i="7"/>
  <c r="P180" i="7" s="1"/>
  <c r="O182" i="7"/>
  <c r="P182" i="7" s="1"/>
  <c r="U182" i="7" s="1"/>
  <c r="O188" i="7"/>
  <c r="P188" i="7" s="1"/>
  <c r="B53" i="11"/>
  <c r="O53" i="11"/>
  <c r="P53" i="11" s="1"/>
  <c r="N54" i="11"/>
  <c r="O54" i="11" s="1"/>
  <c r="P54" i="11" s="1"/>
  <c r="Q54" i="11" s="1"/>
  <c r="L52" i="11"/>
  <c r="N52" i="11" s="1"/>
  <c r="B54" i="11"/>
  <c r="M179" i="7"/>
  <c r="N179" i="7" s="1"/>
  <c r="C179" i="7"/>
  <c r="M178" i="7"/>
  <c r="N178" i="7" s="1"/>
  <c r="C178" i="7"/>
  <c r="M177" i="7"/>
  <c r="N177" i="7" s="1"/>
  <c r="C177" i="7"/>
  <c r="M176" i="7"/>
  <c r="N176" i="7" s="1"/>
  <c r="C176" i="7"/>
  <c r="M175" i="7"/>
  <c r="N175" i="7" s="1"/>
  <c r="C175" i="7"/>
  <c r="M174" i="7"/>
  <c r="N174" i="7" s="1"/>
  <c r="O174" i="7" s="1"/>
  <c r="C174" i="7"/>
  <c r="Q188" i="7" l="1"/>
  <c r="Q196" i="7"/>
  <c r="Q180" i="7"/>
  <c r="Q201" i="7"/>
  <c r="U201" i="7" s="1"/>
  <c r="U181" i="7"/>
  <c r="U188" i="7"/>
  <c r="U195" i="7"/>
  <c r="U54" i="11"/>
  <c r="I74" i="11" s="1"/>
  <c r="U53" i="11"/>
  <c r="O179" i="7"/>
  <c r="P179" i="7" s="1"/>
  <c r="U179" i="7" s="1"/>
  <c r="O178" i="7"/>
  <c r="P178" i="7" s="1"/>
  <c r="U178" i="7" s="1"/>
  <c r="O177" i="7"/>
  <c r="P177" i="7" s="1"/>
  <c r="U177" i="7" s="1"/>
  <c r="O176" i="7"/>
  <c r="P176" i="7" s="1"/>
  <c r="U176" i="7" s="1"/>
  <c r="O175" i="7"/>
  <c r="P175" i="7" s="1"/>
  <c r="U175" i="7" s="1"/>
  <c r="P174" i="7"/>
  <c r="M169" i="7"/>
  <c r="N169" i="7" s="1"/>
  <c r="M172" i="7"/>
  <c r="N172" i="7" s="1"/>
  <c r="C172" i="7"/>
  <c r="M171" i="7"/>
  <c r="N171" i="7" s="1"/>
  <c r="C171" i="7"/>
  <c r="M170" i="7"/>
  <c r="N170" i="7" s="1"/>
  <c r="C170" i="7"/>
  <c r="M173" i="7"/>
  <c r="N173" i="7" s="1"/>
  <c r="C173" i="7"/>
  <c r="C169" i="7"/>
  <c r="L4" i="14"/>
  <c r="K760" i="14"/>
  <c r="K761" i="14"/>
  <c r="K762" i="14"/>
  <c r="K763" i="14"/>
  <c r="K764" i="14"/>
  <c r="K765" i="14"/>
  <c r="K766" i="14"/>
  <c r="K767" i="14"/>
  <c r="K768" i="14"/>
  <c r="K769" i="14"/>
  <c r="K770" i="14"/>
  <c r="K771" i="14"/>
  <c r="K772" i="14"/>
  <c r="K773" i="14"/>
  <c r="K774" i="14"/>
  <c r="K775" i="14"/>
  <c r="K776" i="14"/>
  <c r="K777" i="14"/>
  <c r="K778" i="14"/>
  <c r="K779" i="14"/>
  <c r="K780" i="14"/>
  <c r="K781" i="14"/>
  <c r="K782" i="14"/>
  <c r="K783" i="14"/>
  <c r="K784" i="14"/>
  <c r="K785" i="14"/>
  <c r="K786" i="14"/>
  <c r="K787" i="14"/>
  <c r="K788" i="14"/>
  <c r="K789" i="14"/>
  <c r="K790" i="14"/>
  <c r="K791" i="14"/>
  <c r="K792" i="14"/>
  <c r="K793" i="14"/>
  <c r="K794" i="14"/>
  <c r="K795" i="14"/>
  <c r="K796" i="14"/>
  <c r="K797" i="14"/>
  <c r="K798" i="14"/>
  <c r="K799" i="14"/>
  <c r="K800" i="14"/>
  <c r="K801" i="14"/>
  <c r="K802" i="14"/>
  <c r="K803" i="14"/>
  <c r="K804" i="14"/>
  <c r="K805" i="14"/>
  <c r="K806" i="14"/>
  <c r="K807" i="14"/>
  <c r="K808" i="14"/>
  <c r="K809" i="14"/>
  <c r="K810" i="14"/>
  <c r="K811" i="14"/>
  <c r="K812" i="14"/>
  <c r="K813" i="14"/>
  <c r="K814" i="14"/>
  <c r="K815" i="14"/>
  <c r="K816" i="14"/>
  <c r="K817" i="14"/>
  <c r="K818" i="14"/>
  <c r="K819" i="14"/>
  <c r="L760" i="14"/>
  <c r="L761" i="14"/>
  <c r="L762" i="14"/>
  <c r="L763" i="14"/>
  <c r="L764" i="14"/>
  <c r="L765" i="14"/>
  <c r="L766" i="14"/>
  <c r="L767" i="14"/>
  <c r="L768" i="14"/>
  <c r="L769" i="14"/>
  <c r="L770" i="14"/>
  <c r="L771" i="14"/>
  <c r="L772" i="14"/>
  <c r="L773" i="14"/>
  <c r="L774" i="14"/>
  <c r="L775" i="14"/>
  <c r="L776" i="14"/>
  <c r="L777" i="14"/>
  <c r="L778" i="14"/>
  <c r="L779" i="14"/>
  <c r="L780" i="14"/>
  <c r="L781" i="14"/>
  <c r="L782" i="14"/>
  <c r="L783" i="14"/>
  <c r="L784" i="14"/>
  <c r="L785" i="14"/>
  <c r="L786" i="14"/>
  <c r="L787" i="14"/>
  <c r="L788" i="14"/>
  <c r="L789" i="14"/>
  <c r="L790" i="14"/>
  <c r="L791" i="14"/>
  <c r="L792" i="14"/>
  <c r="L793" i="14"/>
  <c r="L794" i="14"/>
  <c r="L795" i="14"/>
  <c r="L796" i="14"/>
  <c r="L797" i="14"/>
  <c r="L798" i="14"/>
  <c r="L799" i="14"/>
  <c r="L800" i="14"/>
  <c r="L801" i="14"/>
  <c r="L802" i="14"/>
  <c r="L803" i="14"/>
  <c r="L804" i="14"/>
  <c r="L805" i="14"/>
  <c r="L806" i="14"/>
  <c r="L807" i="14"/>
  <c r="L808" i="14"/>
  <c r="L809" i="14"/>
  <c r="L810" i="14"/>
  <c r="L811" i="14"/>
  <c r="L812" i="14"/>
  <c r="L813" i="14"/>
  <c r="L814" i="14"/>
  <c r="L815" i="14"/>
  <c r="L816" i="14"/>
  <c r="L817" i="14"/>
  <c r="L818" i="14"/>
  <c r="L819" i="14"/>
  <c r="J818" i="14"/>
  <c r="H818" i="14"/>
  <c r="J817" i="14"/>
  <c r="H817" i="14"/>
  <c r="J816" i="14"/>
  <c r="H816" i="14"/>
  <c r="J815" i="14"/>
  <c r="H815" i="14"/>
  <c r="J814" i="14"/>
  <c r="H814" i="14"/>
  <c r="J813" i="14"/>
  <c r="H813" i="14"/>
  <c r="J812" i="14"/>
  <c r="H812" i="14"/>
  <c r="J811" i="14"/>
  <c r="H811" i="14"/>
  <c r="J810" i="14"/>
  <c r="H810" i="14"/>
  <c r="J809" i="14"/>
  <c r="H809" i="14"/>
  <c r="J808" i="14"/>
  <c r="H808" i="14"/>
  <c r="J807" i="14"/>
  <c r="H807" i="14"/>
  <c r="J806" i="14"/>
  <c r="H806" i="14"/>
  <c r="J805" i="14"/>
  <c r="H805" i="14"/>
  <c r="J804" i="14"/>
  <c r="H804" i="14"/>
  <c r="J803" i="14"/>
  <c r="H803" i="14"/>
  <c r="J802" i="14"/>
  <c r="H802" i="14"/>
  <c r="J801" i="14"/>
  <c r="H801" i="14"/>
  <c r="J800" i="14"/>
  <c r="H800" i="14"/>
  <c r="J799" i="14"/>
  <c r="H799" i="14"/>
  <c r="J798" i="14"/>
  <c r="H798" i="14"/>
  <c r="J797" i="14"/>
  <c r="H797" i="14"/>
  <c r="J796" i="14"/>
  <c r="H796" i="14"/>
  <c r="J795" i="14"/>
  <c r="H795" i="14"/>
  <c r="J794" i="14"/>
  <c r="H794" i="14"/>
  <c r="J793" i="14"/>
  <c r="H793" i="14"/>
  <c r="J792" i="14"/>
  <c r="H792" i="14"/>
  <c r="J791" i="14"/>
  <c r="H791" i="14"/>
  <c r="J790" i="14"/>
  <c r="H790" i="14"/>
  <c r="J789" i="14"/>
  <c r="H789" i="14"/>
  <c r="J788" i="14"/>
  <c r="H788" i="14"/>
  <c r="J787" i="14"/>
  <c r="H787" i="14"/>
  <c r="J786" i="14"/>
  <c r="H786" i="14"/>
  <c r="J785" i="14"/>
  <c r="H785" i="14"/>
  <c r="J784" i="14"/>
  <c r="H784" i="14"/>
  <c r="J783" i="14"/>
  <c r="H783" i="14"/>
  <c r="J782" i="14"/>
  <c r="H782" i="14"/>
  <c r="J781" i="14"/>
  <c r="H781" i="14"/>
  <c r="J780" i="14"/>
  <c r="H780" i="14"/>
  <c r="J779" i="14"/>
  <c r="H779" i="14"/>
  <c r="J778" i="14"/>
  <c r="H778" i="14"/>
  <c r="J777" i="14"/>
  <c r="H777" i="14"/>
  <c r="J776" i="14"/>
  <c r="H776" i="14"/>
  <c r="J775" i="14"/>
  <c r="H775" i="14"/>
  <c r="J774" i="14"/>
  <c r="H774" i="14"/>
  <c r="J773" i="14"/>
  <c r="H773" i="14"/>
  <c r="J772" i="14"/>
  <c r="H772" i="14"/>
  <c r="J771" i="14"/>
  <c r="H771" i="14"/>
  <c r="J770" i="14"/>
  <c r="H770" i="14"/>
  <c r="J769" i="14"/>
  <c r="H769" i="14"/>
  <c r="J768" i="14"/>
  <c r="H768" i="14"/>
  <c r="J767" i="14"/>
  <c r="H767" i="14"/>
  <c r="J766" i="14"/>
  <c r="H766" i="14"/>
  <c r="J765" i="14"/>
  <c r="H765" i="14"/>
  <c r="J764" i="14"/>
  <c r="H764" i="14"/>
  <c r="J763" i="14"/>
  <c r="H763" i="14"/>
  <c r="J762" i="14"/>
  <c r="H762" i="14"/>
  <c r="J761" i="14"/>
  <c r="H761" i="14"/>
  <c r="J760" i="14"/>
  <c r="H760" i="14"/>
  <c r="J759" i="14"/>
  <c r="H759" i="14"/>
  <c r="K759" i="14"/>
  <c r="L759" i="14"/>
  <c r="S47" i="11"/>
  <c r="S45" i="11"/>
  <c r="S44" i="11"/>
  <c r="B175" i="15"/>
  <c r="B176" i="15"/>
  <c r="B177" i="15"/>
  <c r="B178" i="15"/>
  <c r="B179" i="15"/>
  <c r="B180" i="15"/>
  <c r="B181" i="15"/>
  <c r="B182" i="15"/>
  <c r="B183" i="15"/>
  <c r="B184" i="15"/>
  <c r="C175" i="15"/>
  <c r="C176" i="15"/>
  <c r="C177" i="15"/>
  <c r="C178" i="15"/>
  <c r="C179" i="15"/>
  <c r="C180" i="15"/>
  <c r="C181" i="15"/>
  <c r="C182" i="15"/>
  <c r="C183" i="15"/>
  <c r="C184" i="15"/>
  <c r="B24" i="10"/>
  <c r="K24" i="10"/>
  <c r="L24" i="10" s="1"/>
  <c r="O51" i="11"/>
  <c r="P51" i="11" s="1"/>
  <c r="Q51" i="11" s="1"/>
  <c r="K51" i="11"/>
  <c r="K49" i="11"/>
  <c r="B51" i="11"/>
  <c r="B52" i="11"/>
  <c r="O52" i="11"/>
  <c r="P52" i="11" s="1"/>
  <c r="M168" i="7"/>
  <c r="N168" i="7" s="1"/>
  <c r="C168" i="7"/>
  <c r="M167" i="7"/>
  <c r="N167" i="7" s="1"/>
  <c r="C167" i="7"/>
  <c r="M166" i="7"/>
  <c r="N166" i="7" s="1"/>
  <c r="C166" i="7"/>
  <c r="M164" i="7"/>
  <c r="N164" i="7" s="1"/>
  <c r="O164" i="7" s="1"/>
  <c r="C164" i="7"/>
  <c r="M165" i="7"/>
  <c r="N165" i="7" s="1"/>
  <c r="C165" i="7"/>
  <c r="S5" i="11"/>
  <c r="S6" i="11"/>
  <c r="S7" i="11"/>
  <c r="S8" i="11"/>
  <c r="S9" i="11"/>
  <c r="S10" i="11"/>
  <c r="S11" i="11"/>
  <c r="S12" i="11"/>
  <c r="S13" i="11"/>
  <c r="S14" i="11"/>
  <c r="S15" i="11"/>
  <c r="S16" i="11"/>
  <c r="S17" i="11"/>
  <c r="S18" i="11"/>
  <c r="S19" i="11"/>
  <c r="S20" i="11"/>
  <c r="S21" i="11"/>
  <c r="S22" i="11"/>
  <c r="S23" i="11"/>
  <c r="S24" i="11"/>
  <c r="S25" i="11"/>
  <c r="S26" i="11"/>
  <c r="S27" i="11"/>
  <c r="S28" i="11"/>
  <c r="S29" i="11"/>
  <c r="S30" i="11"/>
  <c r="S31" i="11"/>
  <c r="S32" i="11"/>
  <c r="S33" i="11"/>
  <c r="S34" i="11"/>
  <c r="S35" i="11"/>
  <c r="S36" i="11"/>
  <c r="S37" i="11"/>
  <c r="S38" i="11"/>
  <c r="S39" i="11"/>
  <c r="S40" i="11"/>
  <c r="S41" i="11"/>
  <c r="S42" i="11"/>
  <c r="S43" i="11"/>
  <c r="S4" i="11"/>
  <c r="B4" i="11"/>
  <c r="B6" i="11"/>
  <c r="B7" i="11"/>
  <c r="B8" i="11"/>
  <c r="B9"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C26" i="7"/>
  <c r="N5" i="18"/>
  <c r="J5" i="18"/>
  <c r="F5" i="18"/>
  <c r="B5" i="18"/>
  <c r="L758" i="14"/>
  <c r="K758" i="14"/>
  <c r="J758" i="14"/>
  <c r="H758" i="14"/>
  <c r="L757" i="14"/>
  <c r="K757" i="14"/>
  <c r="J757" i="14"/>
  <c r="H757" i="14"/>
  <c r="L756" i="14"/>
  <c r="K756" i="14"/>
  <c r="J756" i="14"/>
  <c r="H756" i="14"/>
  <c r="L755" i="14"/>
  <c r="K755" i="14"/>
  <c r="J755" i="14"/>
  <c r="H755" i="14"/>
  <c r="L754" i="14"/>
  <c r="K754" i="14"/>
  <c r="J754" i="14"/>
  <c r="H754" i="14"/>
  <c r="L753" i="14"/>
  <c r="K753" i="14"/>
  <c r="J753" i="14"/>
  <c r="H753" i="14"/>
  <c r="L752" i="14"/>
  <c r="K752" i="14"/>
  <c r="J752" i="14"/>
  <c r="H752" i="14"/>
  <c r="L751" i="14"/>
  <c r="K751" i="14"/>
  <c r="J751" i="14"/>
  <c r="H751" i="14"/>
  <c r="L750" i="14"/>
  <c r="K750" i="14"/>
  <c r="J750" i="14"/>
  <c r="H750" i="14"/>
  <c r="L749" i="14"/>
  <c r="K749" i="14"/>
  <c r="J749" i="14"/>
  <c r="H749" i="14"/>
  <c r="L748" i="14"/>
  <c r="K748" i="14"/>
  <c r="J748" i="14"/>
  <c r="H748" i="14"/>
  <c r="L747" i="14"/>
  <c r="K747" i="14"/>
  <c r="J747" i="14"/>
  <c r="H747" i="14"/>
  <c r="L746" i="14"/>
  <c r="K746" i="14"/>
  <c r="J746" i="14"/>
  <c r="H746" i="14"/>
  <c r="L745" i="14"/>
  <c r="K745" i="14"/>
  <c r="J745" i="14"/>
  <c r="H745" i="14"/>
  <c r="L744" i="14"/>
  <c r="K744" i="14"/>
  <c r="J744" i="14"/>
  <c r="H744" i="14"/>
  <c r="L743" i="14"/>
  <c r="K743" i="14"/>
  <c r="J743" i="14"/>
  <c r="H743" i="14"/>
  <c r="L742" i="14"/>
  <c r="K742" i="14"/>
  <c r="J742" i="14"/>
  <c r="H742" i="14"/>
  <c r="L741" i="14"/>
  <c r="K741" i="14"/>
  <c r="J741" i="14"/>
  <c r="H741" i="14"/>
  <c r="L740" i="14"/>
  <c r="K740" i="14"/>
  <c r="J740" i="14"/>
  <c r="H740" i="14"/>
  <c r="L739" i="14"/>
  <c r="K739" i="14"/>
  <c r="J739" i="14"/>
  <c r="H739" i="14"/>
  <c r="L738" i="14"/>
  <c r="K738" i="14"/>
  <c r="J738" i="14"/>
  <c r="H738" i="14"/>
  <c r="L737" i="14"/>
  <c r="K737" i="14"/>
  <c r="J737" i="14"/>
  <c r="H737" i="14"/>
  <c r="L736" i="14"/>
  <c r="K736" i="14"/>
  <c r="J736" i="14"/>
  <c r="H736" i="14"/>
  <c r="L735" i="14"/>
  <c r="K735" i="14"/>
  <c r="J735" i="14"/>
  <c r="H735" i="14"/>
  <c r="L734" i="14"/>
  <c r="K734" i="14"/>
  <c r="J734" i="14"/>
  <c r="H734" i="14"/>
  <c r="L733" i="14"/>
  <c r="K733" i="14"/>
  <c r="J733" i="14"/>
  <c r="H733" i="14"/>
  <c r="L732" i="14"/>
  <c r="K732" i="14"/>
  <c r="J732" i="14"/>
  <c r="H732" i="14"/>
  <c r="L731" i="14"/>
  <c r="K731" i="14"/>
  <c r="J731" i="14"/>
  <c r="H731" i="14"/>
  <c r="L730" i="14"/>
  <c r="K730" i="14"/>
  <c r="J730" i="14"/>
  <c r="H730" i="14"/>
  <c r="L729" i="14"/>
  <c r="K729" i="14"/>
  <c r="J729" i="14"/>
  <c r="H729" i="14"/>
  <c r="L728" i="14"/>
  <c r="K728" i="14"/>
  <c r="J728" i="14"/>
  <c r="H728" i="14"/>
  <c r="L727" i="14"/>
  <c r="K727" i="14"/>
  <c r="J727" i="14"/>
  <c r="H727" i="14"/>
  <c r="L726" i="14"/>
  <c r="K726" i="14"/>
  <c r="J726" i="14"/>
  <c r="H726" i="14"/>
  <c r="L725" i="14"/>
  <c r="K725" i="14"/>
  <c r="J725" i="14"/>
  <c r="H725" i="14"/>
  <c r="L724" i="14"/>
  <c r="K724" i="14"/>
  <c r="J724" i="14"/>
  <c r="H724" i="14"/>
  <c r="L723" i="14"/>
  <c r="K723" i="14"/>
  <c r="J723" i="14"/>
  <c r="H723" i="14"/>
  <c r="L722" i="14"/>
  <c r="K722" i="14"/>
  <c r="J722" i="14"/>
  <c r="H722" i="14"/>
  <c r="L721" i="14"/>
  <c r="K721" i="14"/>
  <c r="J721" i="14"/>
  <c r="H721" i="14"/>
  <c r="L720" i="14"/>
  <c r="K720" i="14"/>
  <c r="J720" i="14"/>
  <c r="H720" i="14"/>
  <c r="L719" i="14"/>
  <c r="K719" i="14"/>
  <c r="J719" i="14"/>
  <c r="H719" i="14"/>
  <c r="L718" i="14"/>
  <c r="K718" i="14"/>
  <c r="J718" i="14"/>
  <c r="H718" i="14"/>
  <c r="L717" i="14"/>
  <c r="K717" i="14"/>
  <c r="J717" i="14"/>
  <c r="H717" i="14"/>
  <c r="L716" i="14"/>
  <c r="K716" i="14"/>
  <c r="J716" i="14"/>
  <c r="H716" i="14"/>
  <c r="L715" i="14"/>
  <c r="K715" i="14"/>
  <c r="J715" i="14"/>
  <c r="H715" i="14"/>
  <c r="L714" i="14"/>
  <c r="K714" i="14"/>
  <c r="J714" i="14"/>
  <c r="H714" i="14"/>
  <c r="L713" i="14"/>
  <c r="K713" i="14"/>
  <c r="J713" i="14"/>
  <c r="H713" i="14"/>
  <c r="L712" i="14"/>
  <c r="K712" i="14"/>
  <c r="J712" i="14"/>
  <c r="H712" i="14"/>
  <c r="L711" i="14"/>
  <c r="K711" i="14"/>
  <c r="J711" i="14"/>
  <c r="H711" i="14"/>
  <c r="L710" i="14"/>
  <c r="K710" i="14"/>
  <c r="J710" i="14"/>
  <c r="H710" i="14"/>
  <c r="L709" i="14"/>
  <c r="K709" i="14"/>
  <c r="J709" i="14"/>
  <c r="H709" i="14"/>
  <c r="L708" i="14"/>
  <c r="K708" i="14"/>
  <c r="J708" i="14"/>
  <c r="H708" i="14"/>
  <c r="L707" i="14"/>
  <c r="K707" i="14"/>
  <c r="J707" i="14"/>
  <c r="H707" i="14"/>
  <c r="L706" i="14"/>
  <c r="K706" i="14"/>
  <c r="J706" i="14"/>
  <c r="H706" i="14"/>
  <c r="L705" i="14"/>
  <c r="K705" i="14"/>
  <c r="J705" i="14"/>
  <c r="H705" i="14"/>
  <c r="L704" i="14"/>
  <c r="K704" i="14"/>
  <c r="J704" i="14"/>
  <c r="H704" i="14"/>
  <c r="L703" i="14"/>
  <c r="K703" i="14"/>
  <c r="J703" i="14"/>
  <c r="H703" i="14"/>
  <c r="L702" i="14"/>
  <c r="K702" i="14"/>
  <c r="J702" i="14"/>
  <c r="H702" i="14"/>
  <c r="L701" i="14"/>
  <c r="K701" i="14"/>
  <c r="J701" i="14"/>
  <c r="H701" i="14"/>
  <c r="L700" i="14"/>
  <c r="K700" i="14"/>
  <c r="J700" i="14"/>
  <c r="H700" i="14"/>
  <c r="L699" i="14"/>
  <c r="K699" i="14"/>
  <c r="J699" i="14"/>
  <c r="H699" i="14"/>
  <c r="L698" i="14"/>
  <c r="K698" i="14"/>
  <c r="J698" i="14"/>
  <c r="H698" i="14"/>
  <c r="L697" i="14"/>
  <c r="K697" i="14"/>
  <c r="J697" i="14"/>
  <c r="H697" i="14"/>
  <c r="L696" i="14"/>
  <c r="K696" i="14"/>
  <c r="J696" i="14"/>
  <c r="H696" i="14"/>
  <c r="L695" i="14"/>
  <c r="K695" i="14"/>
  <c r="J695" i="14"/>
  <c r="H695" i="14"/>
  <c r="L694" i="14"/>
  <c r="K694" i="14"/>
  <c r="J694" i="14"/>
  <c r="H694" i="14"/>
  <c r="L693" i="14"/>
  <c r="K693" i="14"/>
  <c r="J693" i="14"/>
  <c r="H693" i="14"/>
  <c r="L692" i="14"/>
  <c r="K692" i="14"/>
  <c r="J692" i="14"/>
  <c r="H692" i="14"/>
  <c r="L691" i="14"/>
  <c r="K691" i="14"/>
  <c r="J691" i="14"/>
  <c r="H691" i="14"/>
  <c r="L690" i="14"/>
  <c r="K690" i="14"/>
  <c r="J690" i="14"/>
  <c r="H690" i="14"/>
  <c r="L689" i="14"/>
  <c r="K689" i="14"/>
  <c r="J689" i="14"/>
  <c r="H689" i="14"/>
  <c r="L688" i="14"/>
  <c r="K688" i="14"/>
  <c r="J688" i="14"/>
  <c r="H688" i="14"/>
  <c r="L687" i="14"/>
  <c r="K687" i="14"/>
  <c r="J687" i="14"/>
  <c r="H687" i="14"/>
  <c r="L686" i="14"/>
  <c r="K686" i="14"/>
  <c r="J686" i="14"/>
  <c r="H686" i="14"/>
  <c r="L685" i="14"/>
  <c r="K685" i="14"/>
  <c r="J685" i="14"/>
  <c r="H685" i="14"/>
  <c r="L684" i="14"/>
  <c r="K684" i="14"/>
  <c r="J684" i="14"/>
  <c r="H684" i="14"/>
  <c r="L683" i="14"/>
  <c r="K683" i="14"/>
  <c r="J683" i="14"/>
  <c r="H683" i="14"/>
  <c r="L682" i="14"/>
  <c r="K682" i="14"/>
  <c r="J682" i="14"/>
  <c r="H682" i="14"/>
  <c r="L681" i="14"/>
  <c r="K681" i="14"/>
  <c r="J681" i="14"/>
  <c r="H681" i="14"/>
  <c r="L680" i="14"/>
  <c r="K680" i="14"/>
  <c r="J680" i="14"/>
  <c r="H680" i="14"/>
  <c r="L679" i="14"/>
  <c r="K679" i="14"/>
  <c r="J679" i="14"/>
  <c r="H679" i="14"/>
  <c r="L678" i="14"/>
  <c r="K678" i="14"/>
  <c r="J678" i="14"/>
  <c r="H678" i="14"/>
  <c r="L677" i="14"/>
  <c r="K677" i="14"/>
  <c r="J677" i="14"/>
  <c r="H677" i="14"/>
  <c r="L676" i="14"/>
  <c r="K676" i="14"/>
  <c r="J676" i="14"/>
  <c r="H676" i="14"/>
  <c r="L675" i="14"/>
  <c r="K675" i="14"/>
  <c r="J675" i="14"/>
  <c r="H675" i="14"/>
  <c r="L674" i="14"/>
  <c r="K674" i="14"/>
  <c r="J674" i="14"/>
  <c r="H674" i="14"/>
  <c r="L673" i="14"/>
  <c r="K673" i="14"/>
  <c r="J673" i="14"/>
  <c r="H673" i="14"/>
  <c r="L672" i="14"/>
  <c r="K672" i="14"/>
  <c r="J672" i="14"/>
  <c r="H672" i="14"/>
  <c r="L671" i="14"/>
  <c r="K671" i="14"/>
  <c r="J671" i="14"/>
  <c r="H671" i="14"/>
  <c r="L670" i="14"/>
  <c r="K670" i="14"/>
  <c r="J670" i="14"/>
  <c r="H670" i="14"/>
  <c r="L669" i="14"/>
  <c r="K669" i="14"/>
  <c r="J669" i="14"/>
  <c r="H669" i="14"/>
  <c r="L668" i="14"/>
  <c r="K668" i="14"/>
  <c r="J668" i="14"/>
  <c r="H668" i="14"/>
  <c r="L667" i="14"/>
  <c r="K667" i="14"/>
  <c r="J667" i="14"/>
  <c r="H667" i="14"/>
  <c r="L666" i="14"/>
  <c r="K666" i="14"/>
  <c r="J666" i="14"/>
  <c r="H666" i="14"/>
  <c r="L665" i="14"/>
  <c r="K665" i="14"/>
  <c r="J665" i="14"/>
  <c r="H665" i="14"/>
  <c r="L664" i="14"/>
  <c r="K664" i="14"/>
  <c r="J664" i="14"/>
  <c r="H664" i="14"/>
  <c r="L663" i="14"/>
  <c r="K663" i="14"/>
  <c r="J663" i="14"/>
  <c r="H663" i="14"/>
  <c r="L662" i="14"/>
  <c r="K662" i="14"/>
  <c r="J662" i="14"/>
  <c r="H662" i="14"/>
  <c r="L661" i="14"/>
  <c r="K661" i="14"/>
  <c r="J661" i="14"/>
  <c r="H661" i="14"/>
  <c r="L660" i="14"/>
  <c r="K660" i="14"/>
  <c r="J660" i="14"/>
  <c r="H660" i="14"/>
  <c r="L659" i="14"/>
  <c r="K659" i="14"/>
  <c r="J659" i="14"/>
  <c r="H659" i="14"/>
  <c r="L658" i="14"/>
  <c r="K658" i="14"/>
  <c r="J658" i="14"/>
  <c r="H658" i="14"/>
  <c r="L657" i="14"/>
  <c r="K657" i="14"/>
  <c r="J657" i="14"/>
  <c r="H657" i="14"/>
  <c r="L656" i="14"/>
  <c r="K656" i="14"/>
  <c r="J656" i="14"/>
  <c r="H656" i="14"/>
  <c r="L655" i="14"/>
  <c r="K655" i="14"/>
  <c r="J655" i="14"/>
  <c r="H655" i="14"/>
  <c r="L654" i="14"/>
  <c r="K654" i="14"/>
  <c r="J654" i="14"/>
  <c r="H654" i="14"/>
  <c r="L653" i="14"/>
  <c r="K653" i="14"/>
  <c r="J653" i="14"/>
  <c r="H653" i="14"/>
  <c r="L652" i="14"/>
  <c r="K652" i="14"/>
  <c r="J652" i="14"/>
  <c r="H652" i="14"/>
  <c r="L651" i="14"/>
  <c r="K651" i="14"/>
  <c r="J651" i="14"/>
  <c r="H651" i="14"/>
  <c r="L650" i="14"/>
  <c r="K650" i="14"/>
  <c r="J650" i="14"/>
  <c r="H650" i="14"/>
  <c r="L649" i="14"/>
  <c r="K649" i="14"/>
  <c r="J649" i="14"/>
  <c r="H649" i="14"/>
  <c r="L648" i="14"/>
  <c r="K648" i="14"/>
  <c r="J648" i="14"/>
  <c r="H648" i="14"/>
  <c r="L647" i="14"/>
  <c r="K647" i="14"/>
  <c r="J647" i="14"/>
  <c r="H647" i="14"/>
  <c r="L646" i="14"/>
  <c r="K646" i="14"/>
  <c r="J646" i="14"/>
  <c r="H646" i="14"/>
  <c r="L645" i="14"/>
  <c r="K645" i="14"/>
  <c r="J645" i="14"/>
  <c r="H645" i="14"/>
  <c r="L644" i="14"/>
  <c r="K644" i="14"/>
  <c r="J644" i="14"/>
  <c r="H644" i="14"/>
  <c r="L643" i="14"/>
  <c r="K643" i="14"/>
  <c r="J643" i="14"/>
  <c r="H643" i="14"/>
  <c r="L642" i="14"/>
  <c r="K642" i="14"/>
  <c r="J642" i="14"/>
  <c r="H642" i="14"/>
  <c r="L641" i="14"/>
  <c r="K641" i="14"/>
  <c r="J641" i="14"/>
  <c r="H641" i="14"/>
  <c r="L640" i="14"/>
  <c r="K640" i="14"/>
  <c r="J640" i="14"/>
  <c r="H640" i="14"/>
  <c r="L639" i="14"/>
  <c r="K639" i="14"/>
  <c r="J639" i="14"/>
  <c r="H639" i="14"/>
  <c r="L638" i="14"/>
  <c r="K638" i="14"/>
  <c r="J638" i="14"/>
  <c r="H638" i="14"/>
  <c r="L637" i="14"/>
  <c r="K637" i="14"/>
  <c r="J637" i="14"/>
  <c r="H637" i="14"/>
  <c r="L636" i="14"/>
  <c r="K636" i="14"/>
  <c r="J636" i="14"/>
  <c r="H636" i="14"/>
  <c r="L635" i="14"/>
  <c r="K635" i="14"/>
  <c r="J635" i="14"/>
  <c r="H635" i="14"/>
  <c r="L634" i="14"/>
  <c r="K634" i="14"/>
  <c r="J634" i="14"/>
  <c r="H634" i="14"/>
  <c r="L633" i="14"/>
  <c r="K633" i="14"/>
  <c r="J633" i="14"/>
  <c r="H633" i="14"/>
  <c r="L632" i="14"/>
  <c r="K632" i="14"/>
  <c r="J632" i="14"/>
  <c r="H632" i="14"/>
  <c r="L631" i="14"/>
  <c r="K631" i="14"/>
  <c r="J631" i="14"/>
  <c r="H631" i="14"/>
  <c r="L630" i="14"/>
  <c r="K630" i="14"/>
  <c r="J630" i="14"/>
  <c r="H630" i="14"/>
  <c r="L629" i="14"/>
  <c r="K629" i="14"/>
  <c r="J629" i="14"/>
  <c r="H629" i="14"/>
  <c r="L628" i="14"/>
  <c r="K628" i="14"/>
  <c r="J628" i="14"/>
  <c r="H628" i="14"/>
  <c r="L627" i="14"/>
  <c r="K627" i="14"/>
  <c r="J627" i="14"/>
  <c r="H627" i="14"/>
  <c r="L626" i="14"/>
  <c r="K626" i="14"/>
  <c r="J626" i="14"/>
  <c r="H626" i="14"/>
  <c r="L625" i="14"/>
  <c r="K625" i="14"/>
  <c r="J625" i="14"/>
  <c r="H625" i="14"/>
  <c r="L624" i="14"/>
  <c r="K624" i="14"/>
  <c r="J624" i="14"/>
  <c r="H624" i="14"/>
  <c r="L623" i="14"/>
  <c r="K623" i="14"/>
  <c r="J623" i="14"/>
  <c r="H623" i="14"/>
  <c r="L622" i="14"/>
  <c r="K622" i="14"/>
  <c r="J622" i="14"/>
  <c r="H622" i="14"/>
  <c r="L621" i="14"/>
  <c r="K621" i="14"/>
  <c r="J621" i="14"/>
  <c r="H621" i="14"/>
  <c r="L620" i="14"/>
  <c r="K620" i="14"/>
  <c r="J620" i="14"/>
  <c r="H620" i="14"/>
  <c r="L619" i="14"/>
  <c r="K619" i="14"/>
  <c r="J619" i="14"/>
  <c r="H619" i="14"/>
  <c r="L618" i="14"/>
  <c r="K618" i="14"/>
  <c r="J618" i="14"/>
  <c r="H618" i="14"/>
  <c r="L617" i="14"/>
  <c r="K617" i="14"/>
  <c r="J617" i="14"/>
  <c r="H617" i="14"/>
  <c r="L616" i="14"/>
  <c r="K616" i="14"/>
  <c r="J616" i="14"/>
  <c r="H616" i="14"/>
  <c r="L615" i="14"/>
  <c r="K615" i="14"/>
  <c r="J615" i="14"/>
  <c r="H615" i="14"/>
  <c r="L614" i="14"/>
  <c r="K614" i="14"/>
  <c r="J614" i="14"/>
  <c r="H614" i="14"/>
  <c r="L613" i="14"/>
  <c r="K613" i="14"/>
  <c r="J613" i="14"/>
  <c r="H613" i="14"/>
  <c r="L612" i="14"/>
  <c r="K612" i="14"/>
  <c r="J612" i="14"/>
  <c r="H612" i="14"/>
  <c r="L611" i="14"/>
  <c r="K611" i="14"/>
  <c r="J611" i="14"/>
  <c r="H611" i="14"/>
  <c r="L610" i="14"/>
  <c r="K610" i="14"/>
  <c r="J610" i="14"/>
  <c r="H610" i="14"/>
  <c r="L609" i="14"/>
  <c r="K609" i="14"/>
  <c r="J609" i="14"/>
  <c r="H609" i="14"/>
  <c r="L608" i="14"/>
  <c r="K608" i="14"/>
  <c r="J608" i="14"/>
  <c r="H608" i="14"/>
  <c r="L607" i="14"/>
  <c r="K607" i="14"/>
  <c r="J607" i="14"/>
  <c r="H607" i="14"/>
  <c r="L606" i="14"/>
  <c r="K606" i="14"/>
  <c r="J606" i="14"/>
  <c r="H606" i="14"/>
  <c r="L605" i="14"/>
  <c r="K605" i="14"/>
  <c r="J605" i="14"/>
  <c r="H605" i="14"/>
  <c r="L604" i="14"/>
  <c r="K604" i="14"/>
  <c r="J604" i="14"/>
  <c r="H604" i="14"/>
  <c r="L603" i="14"/>
  <c r="K603" i="14"/>
  <c r="J603" i="14"/>
  <c r="H603" i="14"/>
  <c r="L602" i="14"/>
  <c r="K602" i="14"/>
  <c r="J602" i="14"/>
  <c r="H602" i="14"/>
  <c r="L601" i="14"/>
  <c r="K601" i="14"/>
  <c r="J601" i="14"/>
  <c r="H601" i="14"/>
  <c r="L600" i="14"/>
  <c r="K600" i="14"/>
  <c r="J600" i="14"/>
  <c r="H600" i="14"/>
  <c r="L599" i="14"/>
  <c r="K599" i="14"/>
  <c r="J599" i="14"/>
  <c r="H599" i="14"/>
  <c r="L598" i="14"/>
  <c r="K598" i="14"/>
  <c r="J598" i="14"/>
  <c r="H598" i="14"/>
  <c r="L597" i="14"/>
  <c r="K597" i="14"/>
  <c r="J597" i="14"/>
  <c r="H597" i="14"/>
  <c r="L596" i="14"/>
  <c r="K596" i="14"/>
  <c r="J596" i="14"/>
  <c r="H596" i="14"/>
  <c r="L595" i="14"/>
  <c r="K595" i="14"/>
  <c r="J595" i="14"/>
  <c r="H595" i="14"/>
  <c r="L594" i="14"/>
  <c r="K594" i="14"/>
  <c r="J594" i="14"/>
  <c r="H594" i="14"/>
  <c r="L593" i="14"/>
  <c r="K593" i="14"/>
  <c r="J593" i="14"/>
  <c r="H593" i="14"/>
  <c r="L592" i="14"/>
  <c r="K592" i="14"/>
  <c r="J592" i="14"/>
  <c r="H592" i="14"/>
  <c r="L591" i="14"/>
  <c r="K591" i="14"/>
  <c r="J591" i="14"/>
  <c r="H591" i="14"/>
  <c r="L590" i="14"/>
  <c r="K590" i="14"/>
  <c r="J590" i="14"/>
  <c r="H590" i="14"/>
  <c r="L589" i="14"/>
  <c r="K589" i="14"/>
  <c r="J589" i="14"/>
  <c r="H589" i="14"/>
  <c r="L588" i="14"/>
  <c r="K588" i="14"/>
  <c r="J588" i="14"/>
  <c r="H588" i="14"/>
  <c r="L587" i="14"/>
  <c r="K587" i="14"/>
  <c r="J587" i="14"/>
  <c r="H587" i="14"/>
  <c r="L586" i="14"/>
  <c r="K586" i="14"/>
  <c r="J586" i="14"/>
  <c r="H586" i="14"/>
  <c r="L585" i="14"/>
  <c r="K585" i="14"/>
  <c r="J585" i="14"/>
  <c r="H585" i="14"/>
  <c r="L584" i="14"/>
  <c r="K584" i="14"/>
  <c r="J584" i="14"/>
  <c r="H584" i="14"/>
  <c r="L583" i="14"/>
  <c r="K583" i="14"/>
  <c r="J583" i="14"/>
  <c r="H583" i="14"/>
  <c r="L582" i="14"/>
  <c r="K582" i="14"/>
  <c r="J582" i="14"/>
  <c r="H582" i="14"/>
  <c r="L581" i="14"/>
  <c r="K581" i="14"/>
  <c r="J581" i="14"/>
  <c r="H581" i="14"/>
  <c r="L580" i="14"/>
  <c r="K580" i="14"/>
  <c r="J580" i="14"/>
  <c r="H580" i="14"/>
  <c r="L579" i="14"/>
  <c r="K579" i="14"/>
  <c r="J579" i="14"/>
  <c r="H579" i="14"/>
  <c r="L578" i="14"/>
  <c r="K578" i="14"/>
  <c r="J578" i="14"/>
  <c r="H578" i="14"/>
  <c r="L577" i="14"/>
  <c r="K577" i="14"/>
  <c r="J577" i="14"/>
  <c r="H577" i="14"/>
  <c r="L576" i="14"/>
  <c r="K576" i="14"/>
  <c r="J576" i="14"/>
  <c r="H576" i="14"/>
  <c r="L575" i="14"/>
  <c r="K575" i="14"/>
  <c r="J575" i="14"/>
  <c r="H575" i="14"/>
  <c r="L574" i="14"/>
  <c r="K574" i="14"/>
  <c r="J574" i="14"/>
  <c r="H574" i="14"/>
  <c r="L573" i="14"/>
  <c r="K573" i="14"/>
  <c r="J573" i="14"/>
  <c r="H573" i="14"/>
  <c r="L572" i="14"/>
  <c r="K572" i="14"/>
  <c r="J572" i="14"/>
  <c r="H572" i="14"/>
  <c r="L571" i="14"/>
  <c r="K571" i="14"/>
  <c r="J571" i="14"/>
  <c r="H571" i="14"/>
  <c r="L570" i="14"/>
  <c r="K570" i="14"/>
  <c r="J570" i="14"/>
  <c r="H570" i="14"/>
  <c r="L569" i="14"/>
  <c r="K569" i="14"/>
  <c r="J569" i="14"/>
  <c r="H569" i="14"/>
  <c r="L568" i="14"/>
  <c r="K568" i="14"/>
  <c r="J568" i="14"/>
  <c r="H568" i="14"/>
  <c r="L567" i="14"/>
  <c r="K567" i="14"/>
  <c r="J567" i="14"/>
  <c r="H567" i="14"/>
  <c r="L566" i="14"/>
  <c r="K566" i="14"/>
  <c r="J566" i="14"/>
  <c r="H566" i="14"/>
  <c r="L565" i="14"/>
  <c r="K565" i="14"/>
  <c r="J565" i="14"/>
  <c r="H565" i="14"/>
  <c r="L564" i="14"/>
  <c r="K564" i="14"/>
  <c r="J564" i="14"/>
  <c r="H564" i="14"/>
  <c r="L563" i="14"/>
  <c r="K563" i="14"/>
  <c r="J563" i="14"/>
  <c r="H563" i="14"/>
  <c r="L562" i="14"/>
  <c r="K562" i="14"/>
  <c r="J562" i="14"/>
  <c r="H562" i="14"/>
  <c r="L561" i="14"/>
  <c r="K561" i="14"/>
  <c r="J561" i="14"/>
  <c r="H561" i="14"/>
  <c r="L560" i="14"/>
  <c r="K560" i="14"/>
  <c r="J560" i="14"/>
  <c r="H560" i="14"/>
  <c r="L559" i="14"/>
  <c r="K559" i="14"/>
  <c r="J559" i="14"/>
  <c r="H559" i="14"/>
  <c r="L558" i="14"/>
  <c r="K558" i="14"/>
  <c r="J558" i="14"/>
  <c r="H558" i="14"/>
  <c r="L557" i="14"/>
  <c r="K557" i="14"/>
  <c r="J557" i="14"/>
  <c r="H557" i="14"/>
  <c r="L556" i="14"/>
  <c r="K556" i="14"/>
  <c r="J556" i="14"/>
  <c r="H556" i="14"/>
  <c r="L555" i="14"/>
  <c r="K555" i="14"/>
  <c r="J555" i="14"/>
  <c r="H555" i="14"/>
  <c r="L554" i="14"/>
  <c r="K554" i="14"/>
  <c r="J554" i="14"/>
  <c r="H554" i="14"/>
  <c r="L553" i="14"/>
  <c r="K553" i="14"/>
  <c r="J553" i="14"/>
  <c r="H553" i="14"/>
  <c r="L552" i="14"/>
  <c r="K552" i="14"/>
  <c r="J552" i="14"/>
  <c r="H552" i="14"/>
  <c r="L551" i="14"/>
  <c r="K551" i="14"/>
  <c r="J551" i="14"/>
  <c r="H551" i="14"/>
  <c r="L550" i="14"/>
  <c r="K550" i="14"/>
  <c r="J550" i="14"/>
  <c r="H550" i="14"/>
  <c r="L549" i="14"/>
  <c r="K549" i="14"/>
  <c r="J549" i="14"/>
  <c r="H549" i="14"/>
  <c r="L548" i="14"/>
  <c r="K548" i="14"/>
  <c r="J548" i="14"/>
  <c r="H548" i="14"/>
  <c r="L547" i="14"/>
  <c r="K547" i="14"/>
  <c r="J547" i="14"/>
  <c r="H547" i="14"/>
  <c r="L546" i="14"/>
  <c r="K546" i="14"/>
  <c r="J546" i="14"/>
  <c r="H546" i="14"/>
  <c r="L545" i="14"/>
  <c r="K545" i="14"/>
  <c r="J545" i="14"/>
  <c r="H545" i="14"/>
  <c r="L544" i="14"/>
  <c r="K544" i="14"/>
  <c r="J544" i="14"/>
  <c r="H544" i="14"/>
  <c r="L543" i="14"/>
  <c r="K543" i="14"/>
  <c r="J543" i="14"/>
  <c r="H543" i="14"/>
  <c r="L542" i="14"/>
  <c r="K542" i="14"/>
  <c r="J542" i="14"/>
  <c r="H542" i="14"/>
  <c r="L541" i="14"/>
  <c r="K541" i="14"/>
  <c r="J541" i="14"/>
  <c r="H541" i="14"/>
  <c r="L540" i="14"/>
  <c r="K540" i="14"/>
  <c r="J540" i="14"/>
  <c r="H540" i="14"/>
  <c r="L539" i="14"/>
  <c r="K539" i="14"/>
  <c r="J539" i="14"/>
  <c r="H539" i="14"/>
  <c r="L538" i="14"/>
  <c r="K538" i="14"/>
  <c r="J538" i="14"/>
  <c r="H538" i="14"/>
  <c r="L537" i="14"/>
  <c r="K537" i="14"/>
  <c r="J537" i="14"/>
  <c r="H537" i="14"/>
  <c r="L536" i="14"/>
  <c r="K536" i="14"/>
  <c r="J536" i="14"/>
  <c r="H536" i="14"/>
  <c r="L535" i="14"/>
  <c r="K535" i="14"/>
  <c r="J535" i="14"/>
  <c r="H535" i="14"/>
  <c r="L534" i="14"/>
  <c r="K534" i="14"/>
  <c r="J534" i="14"/>
  <c r="H534" i="14"/>
  <c r="L533" i="14"/>
  <c r="K533" i="14"/>
  <c r="J533" i="14"/>
  <c r="H533" i="14"/>
  <c r="L532" i="14"/>
  <c r="K532" i="14"/>
  <c r="J532" i="14"/>
  <c r="H532" i="14"/>
  <c r="L531" i="14"/>
  <c r="K531" i="14"/>
  <c r="J531" i="14"/>
  <c r="H531" i="14"/>
  <c r="L530" i="14"/>
  <c r="K530" i="14"/>
  <c r="J530" i="14"/>
  <c r="H530" i="14"/>
  <c r="L529" i="14"/>
  <c r="K529" i="14"/>
  <c r="J529" i="14"/>
  <c r="H529" i="14"/>
  <c r="L528" i="14"/>
  <c r="K528" i="14"/>
  <c r="J528" i="14"/>
  <c r="H528" i="14"/>
  <c r="L527" i="14"/>
  <c r="K527" i="14"/>
  <c r="J527" i="14"/>
  <c r="H527" i="14"/>
  <c r="L526" i="14"/>
  <c r="K526" i="14"/>
  <c r="J526" i="14"/>
  <c r="H526" i="14"/>
  <c r="L525" i="14"/>
  <c r="K525" i="14"/>
  <c r="J525" i="14"/>
  <c r="H525" i="14"/>
  <c r="L524" i="14"/>
  <c r="K524" i="14"/>
  <c r="J524" i="14"/>
  <c r="H524" i="14"/>
  <c r="L523" i="14"/>
  <c r="K523" i="14"/>
  <c r="J523" i="14"/>
  <c r="H523" i="14"/>
  <c r="L522" i="14"/>
  <c r="K522" i="14"/>
  <c r="J522" i="14"/>
  <c r="H522" i="14"/>
  <c r="L521" i="14"/>
  <c r="K521" i="14"/>
  <c r="J521" i="14"/>
  <c r="H521" i="14"/>
  <c r="L520" i="14"/>
  <c r="K520" i="14"/>
  <c r="J520" i="14"/>
  <c r="H520" i="14"/>
  <c r="L519" i="14"/>
  <c r="K519" i="14"/>
  <c r="J519" i="14"/>
  <c r="H519" i="14"/>
  <c r="L518" i="14"/>
  <c r="K518" i="14"/>
  <c r="J518" i="14"/>
  <c r="H518" i="14"/>
  <c r="L517" i="14"/>
  <c r="K517" i="14"/>
  <c r="J517" i="14"/>
  <c r="H517" i="14"/>
  <c r="L516" i="14"/>
  <c r="K516" i="14"/>
  <c r="J516" i="14"/>
  <c r="H516" i="14"/>
  <c r="L515" i="14"/>
  <c r="K515" i="14"/>
  <c r="J515" i="14"/>
  <c r="H515" i="14"/>
  <c r="L514" i="14"/>
  <c r="K514" i="14"/>
  <c r="J514" i="14"/>
  <c r="H514" i="14"/>
  <c r="L513" i="14"/>
  <c r="K513" i="14"/>
  <c r="J513" i="14"/>
  <c r="H513" i="14"/>
  <c r="L512" i="14"/>
  <c r="K512" i="14"/>
  <c r="J512" i="14"/>
  <c r="H512" i="14"/>
  <c r="L511" i="14"/>
  <c r="K511" i="14"/>
  <c r="J511" i="14"/>
  <c r="H511" i="14"/>
  <c r="L510" i="14"/>
  <c r="K510" i="14"/>
  <c r="J510" i="14"/>
  <c r="H510" i="14"/>
  <c r="L509" i="14"/>
  <c r="K509" i="14"/>
  <c r="J509" i="14"/>
  <c r="H509" i="14"/>
  <c r="L508" i="14"/>
  <c r="K508" i="14"/>
  <c r="J508" i="14"/>
  <c r="H508" i="14"/>
  <c r="L507" i="14"/>
  <c r="K507" i="14"/>
  <c r="J507" i="14"/>
  <c r="H507" i="14"/>
  <c r="L506" i="14"/>
  <c r="K506" i="14"/>
  <c r="J506" i="14"/>
  <c r="H506" i="14"/>
  <c r="L505" i="14"/>
  <c r="K505" i="14"/>
  <c r="J505" i="14"/>
  <c r="H505" i="14"/>
  <c r="L504" i="14"/>
  <c r="K504" i="14"/>
  <c r="J504" i="14"/>
  <c r="H504" i="14"/>
  <c r="L503" i="14"/>
  <c r="K503" i="14"/>
  <c r="J503" i="14"/>
  <c r="H503" i="14"/>
  <c r="L502" i="14"/>
  <c r="K502" i="14"/>
  <c r="J502" i="14"/>
  <c r="H502" i="14"/>
  <c r="L501" i="14"/>
  <c r="K501" i="14"/>
  <c r="J501" i="14"/>
  <c r="H501" i="14"/>
  <c r="L500" i="14"/>
  <c r="K500" i="14"/>
  <c r="J500" i="14"/>
  <c r="H500" i="14"/>
  <c r="L499" i="14"/>
  <c r="K499" i="14"/>
  <c r="J499" i="14"/>
  <c r="H499" i="14"/>
  <c r="L498" i="14"/>
  <c r="K498" i="14"/>
  <c r="J498" i="14"/>
  <c r="H498" i="14"/>
  <c r="L497" i="14"/>
  <c r="K497" i="14"/>
  <c r="J497" i="14"/>
  <c r="H497" i="14"/>
  <c r="L496" i="14"/>
  <c r="K496" i="14"/>
  <c r="J496" i="14"/>
  <c r="H496" i="14"/>
  <c r="L495" i="14"/>
  <c r="K495" i="14"/>
  <c r="J495" i="14"/>
  <c r="H495" i="14"/>
  <c r="L494" i="14"/>
  <c r="K494" i="14"/>
  <c r="J494" i="14"/>
  <c r="H494" i="14"/>
  <c r="L493" i="14"/>
  <c r="K493" i="14"/>
  <c r="J493" i="14"/>
  <c r="H493" i="14"/>
  <c r="L492" i="14"/>
  <c r="K492" i="14"/>
  <c r="J492" i="14"/>
  <c r="H492" i="14"/>
  <c r="L491" i="14"/>
  <c r="K491" i="14"/>
  <c r="J491" i="14"/>
  <c r="H491" i="14"/>
  <c r="L490" i="14"/>
  <c r="K490" i="14"/>
  <c r="J490" i="14"/>
  <c r="H490" i="14"/>
  <c r="L489" i="14"/>
  <c r="K489" i="14"/>
  <c r="J489" i="14"/>
  <c r="H489" i="14"/>
  <c r="L488" i="14"/>
  <c r="K488" i="14"/>
  <c r="J488" i="14"/>
  <c r="H488" i="14"/>
  <c r="L487" i="14"/>
  <c r="K487" i="14"/>
  <c r="J487" i="14"/>
  <c r="H487" i="14"/>
  <c r="L486" i="14"/>
  <c r="K486" i="14"/>
  <c r="J486" i="14"/>
  <c r="H486" i="14"/>
  <c r="L485" i="14"/>
  <c r="K485" i="14"/>
  <c r="J485" i="14"/>
  <c r="H485" i="14"/>
  <c r="L484" i="14"/>
  <c r="K484" i="14"/>
  <c r="J484" i="14"/>
  <c r="H484" i="14"/>
  <c r="L483" i="14"/>
  <c r="K483" i="14"/>
  <c r="J483" i="14"/>
  <c r="H483" i="14"/>
  <c r="L482" i="14"/>
  <c r="K482" i="14"/>
  <c r="J482" i="14"/>
  <c r="H482" i="14"/>
  <c r="L481" i="14"/>
  <c r="K481" i="14"/>
  <c r="J481" i="14"/>
  <c r="H481" i="14"/>
  <c r="L480" i="14"/>
  <c r="K480" i="14"/>
  <c r="J480" i="14"/>
  <c r="H480" i="14"/>
  <c r="L479" i="14"/>
  <c r="K479" i="14"/>
  <c r="J479" i="14"/>
  <c r="H479" i="14"/>
  <c r="L478" i="14"/>
  <c r="K478" i="14"/>
  <c r="J478" i="14"/>
  <c r="H478" i="14"/>
  <c r="L477" i="14"/>
  <c r="K477" i="14"/>
  <c r="J477" i="14"/>
  <c r="H477" i="14"/>
  <c r="L476" i="14"/>
  <c r="K476" i="14"/>
  <c r="J476" i="14"/>
  <c r="H476" i="14"/>
  <c r="L475" i="14"/>
  <c r="K475" i="14"/>
  <c r="J475" i="14"/>
  <c r="H475" i="14"/>
  <c r="L474" i="14"/>
  <c r="K474" i="14"/>
  <c r="J474" i="14"/>
  <c r="H474" i="14"/>
  <c r="L473" i="14"/>
  <c r="K473" i="14"/>
  <c r="J473" i="14"/>
  <c r="H473" i="14"/>
  <c r="L472" i="14"/>
  <c r="K472" i="14"/>
  <c r="J472" i="14"/>
  <c r="H472" i="14"/>
  <c r="L471" i="14"/>
  <c r="K471" i="14"/>
  <c r="J471" i="14"/>
  <c r="H471" i="14"/>
  <c r="L470" i="14"/>
  <c r="K470" i="14"/>
  <c r="J470" i="14"/>
  <c r="H470" i="14"/>
  <c r="L469" i="14"/>
  <c r="K469" i="14"/>
  <c r="J469" i="14"/>
  <c r="H469" i="14"/>
  <c r="L468" i="14"/>
  <c r="K468" i="14"/>
  <c r="J468" i="14"/>
  <c r="H468" i="14"/>
  <c r="L467" i="14"/>
  <c r="K467" i="14"/>
  <c r="J467" i="14"/>
  <c r="H467" i="14"/>
  <c r="L466" i="14"/>
  <c r="K466" i="14"/>
  <c r="J466" i="14"/>
  <c r="H466" i="14"/>
  <c r="L465" i="14"/>
  <c r="K465" i="14"/>
  <c r="J465" i="14"/>
  <c r="H465" i="14"/>
  <c r="L464" i="14"/>
  <c r="K464" i="14"/>
  <c r="J464" i="14"/>
  <c r="H464" i="14"/>
  <c r="L463" i="14"/>
  <c r="K463" i="14"/>
  <c r="J463" i="14"/>
  <c r="H463" i="14"/>
  <c r="L462" i="14"/>
  <c r="K462" i="14"/>
  <c r="J462" i="14"/>
  <c r="H462" i="14"/>
  <c r="L461" i="14"/>
  <c r="K461" i="14"/>
  <c r="J461" i="14"/>
  <c r="H461" i="14"/>
  <c r="L460" i="14"/>
  <c r="K460" i="14"/>
  <c r="J460" i="14"/>
  <c r="H460" i="14"/>
  <c r="L459" i="14"/>
  <c r="K459" i="14"/>
  <c r="J459" i="14"/>
  <c r="H459" i="14"/>
  <c r="L458" i="14"/>
  <c r="K458" i="14"/>
  <c r="J458" i="14"/>
  <c r="H458" i="14"/>
  <c r="L457" i="14"/>
  <c r="K457" i="14"/>
  <c r="J457" i="14"/>
  <c r="H457" i="14"/>
  <c r="L456" i="14"/>
  <c r="K456" i="14"/>
  <c r="J456" i="14"/>
  <c r="H456" i="14"/>
  <c r="L455" i="14"/>
  <c r="K455" i="14"/>
  <c r="J455" i="14"/>
  <c r="H455" i="14"/>
  <c r="L454" i="14"/>
  <c r="K454" i="14"/>
  <c r="J454" i="14"/>
  <c r="H454" i="14"/>
  <c r="L453" i="14"/>
  <c r="K453" i="14"/>
  <c r="J453" i="14"/>
  <c r="H453" i="14"/>
  <c r="L452" i="14"/>
  <c r="K452" i="14"/>
  <c r="J452" i="14"/>
  <c r="H452" i="14"/>
  <c r="L451" i="14"/>
  <c r="K451" i="14"/>
  <c r="J451" i="14"/>
  <c r="H451" i="14"/>
  <c r="L450" i="14"/>
  <c r="K450" i="14"/>
  <c r="J450" i="14"/>
  <c r="H450" i="14"/>
  <c r="L449" i="14"/>
  <c r="K449" i="14"/>
  <c r="J449" i="14"/>
  <c r="H449" i="14"/>
  <c r="L448" i="14"/>
  <c r="K448" i="14"/>
  <c r="J448" i="14"/>
  <c r="H448" i="14"/>
  <c r="L447" i="14"/>
  <c r="K447" i="14"/>
  <c r="J447" i="14"/>
  <c r="H447" i="14"/>
  <c r="L446" i="14"/>
  <c r="K446" i="14"/>
  <c r="J446" i="14"/>
  <c r="H446" i="14"/>
  <c r="L445" i="14"/>
  <c r="K445" i="14"/>
  <c r="J445" i="14"/>
  <c r="H445" i="14"/>
  <c r="L444" i="14"/>
  <c r="K444" i="14"/>
  <c r="J444" i="14"/>
  <c r="H444" i="14"/>
  <c r="L443" i="14"/>
  <c r="K443" i="14"/>
  <c r="J443" i="14"/>
  <c r="H443" i="14"/>
  <c r="L442" i="14"/>
  <c r="K442" i="14"/>
  <c r="J442" i="14"/>
  <c r="H442" i="14"/>
  <c r="L441" i="14"/>
  <c r="K441" i="14"/>
  <c r="J441" i="14"/>
  <c r="H441" i="14"/>
  <c r="L440" i="14"/>
  <c r="K440" i="14"/>
  <c r="J440" i="14"/>
  <c r="H440" i="14"/>
  <c r="L439" i="14"/>
  <c r="K439" i="14"/>
  <c r="J439" i="14"/>
  <c r="H439" i="14"/>
  <c r="L438" i="14"/>
  <c r="K438" i="14"/>
  <c r="J438" i="14"/>
  <c r="H438" i="14"/>
  <c r="L437" i="14"/>
  <c r="K437" i="14"/>
  <c r="J437" i="14"/>
  <c r="H437" i="14"/>
  <c r="L436" i="14"/>
  <c r="K436" i="14"/>
  <c r="J436" i="14"/>
  <c r="H436" i="14"/>
  <c r="L435" i="14"/>
  <c r="K435" i="14"/>
  <c r="J435" i="14"/>
  <c r="H435" i="14"/>
  <c r="L434" i="14"/>
  <c r="K434" i="14"/>
  <c r="J434" i="14"/>
  <c r="H434" i="14"/>
  <c r="L433" i="14"/>
  <c r="K433" i="14"/>
  <c r="J433" i="14"/>
  <c r="H433" i="14"/>
  <c r="L432" i="14"/>
  <c r="K432" i="14"/>
  <c r="J432" i="14"/>
  <c r="H432" i="14"/>
  <c r="L431" i="14"/>
  <c r="K431" i="14"/>
  <c r="J431" i="14"/>
  <c r="H431" i="14"/>
  <c r="L430" i="14"/>
  <c r="K430" i="14"/>
  <c r="J430" i="14"/>
  <c r="H430" i="14"/>
  <c r="L429" i="14"/>
  <c r="K429" i="14"/>
  <c r="J429" i="14"/>
  <c r="H429" i="14"/>
  <c r="L428" i="14"/>
  <c r="K428" i="14"/>
  <c r="J428" i="14"/>
  <c r="H428" i="14"/>
  <c r="L427" i="14"/>
  <c r="K427" i="14"/>
  <c r="J427" i="14"/>
  <c r="H427" i="14"/>
  <c r="L426" i="14"/>
  <c r="K426" i="14"/>
  <c r="J426" i="14"/>
  <c r="H426" i="14"/>
  <c r="L425" i="14"/>
  <c r="K425" i="14"/>
  <c r="J425" i="14"/>
  <c r="H425" i="14"/>
  <c r="L424" i="14"/>
  <c r="K424" i="14"/>
  <c r="J424" i="14"/>
  <c r="H424" i="14"/>
  <c r="L423" i="14"/>
  <c r="K423" i="14"/>
  <c r="J423" i="14"/>
  <c r="H423" i="14"/>
  <c r="L422" i="14"/>
  <c r="K422" i="14"/>
  <c r="J422" i="14"/>
  <c r="H422" i="14"/>
  <c r="L421" i="14"/>
  <c r="K421" i="14"/>
  <c r="J421" i="14"/>
  <c r="H421" i="14"/>
  <c r="L420" i="14"/>
  <c r="K420" i="14"/>
  <c r="J420" i="14"/>
  <c r="H420" i="14"/>
  <c r="L419" i="14"/>
  <c r="K419" i="14"/>
  <c r="J419" i="14"/>
  <c r="H419" i="14"/>
  <c r="L418" i="14"/>
  <c r="K418" i="14"/>
  <c r="J418" i="14"/>
  <c r="H418" i="14"/>
  <c r="L417" i="14"/>
  <c r="K417" i="14"/>
  <c r="J417" i="14"/>
  <c r="H417" i="14"/>
  <c r="L416" i="14"/>
  <c r="K416" i="14"/>
  <c r="J416" i="14"/>
  <c r="H416" i="14"/>
  <c r="L415" i="14"/>
  <c r="K415" i="14"/>
  <c r="J415" i="14"/>
  <c r="H415" i="14"/>
  <c r="L414" i="14"/>
  <c r="K414" i="14"/>
  <c r="J414" i="14"/>
  <c r="H414" i="14"/>
  <c r="L413" i="14"/>
  <c r="K413" i="14"/>
  <c r="J413" i="14"/>
  <c r="H413" i="14"/>
  <c r="L412" i="14"/>
  <c r="K412" i="14"/>
  <c r="J412" i="14"/>
  <c r="H412" i="14"/>
  <c r="L411" i="14"/>
  <c r="K411" i="14"/>
  <c r="J411" i="14"/>
  <c r="H411" i="14"/>
  <c r="L410" i="14"/>
  <c r="K410" i="14"/>
  <c r="J410" i="14"/>
  <c r="H410" i="14"/>
  <c r="L409" i="14"/>
  <c r="K409" i="14"/>
  <c r="J409" i="14"/>
  <c r="H409" i="14"/>
  <c r="L408" i="14"/>
  <c r="K408" i="14"/>
  <c r="J408" i="14"/>
  <c r="H408" i="14"/>
  <c r="L407" i="14"/>
  <c r="K407" i="14"/>
  <c r="J407" i="14"/>
  <c r="H407" i="14"/>
  <c r="L406" i="14"/>
  <c r="K406" i="14"/>
  <c r="J406" i="14"/>
  <c r="H406" i="14"/>
  <c r="L405" i="14"/>
  <c r="K405" i="14"/>
  <c r="J405" i="14"/>
  <c r="H405" i="14"/>
  <c r="L404" i="14"/>
  <c r="K404" i="14"/>
  <c r="J404" i="14"/>
  <c r="H404" i="14"/>
  <c r="L403" i="14"/>
  <c r="K403" i="14"/>
  <c r="J403" i="14"/>
  <c r="H403" i="14"/>
  <c r="L402" i="14"/>
  <c r="K402" i="14"/>
  <c r="J402" i="14"/>
  <c r="H402" i="14"/>
  <c r="L401" i="14"/>
  <c r="K401" i="14"/>
  <c r="J401" i="14"/>
  <c r="H401" i="14"/>
  <c r="L400" i="14"/>
  <c r="K400" i="14"/>
  <c r="J400" i="14"/>
  <c r="H400" i="14"/>
  <c r="L399" i="14"/>
  <c r="K399" i="14"/>
  <c r="J399" i="14"/>
  <c r="H399" i="14"/>
  <c r="L398" i="14"/>
  <c r="K398" i="14"/>
  <c r="J398" i="14"/>
  <c r="H398" i="14"/>
  <c r="L397" i="14"/>
  <c r="K397" i="14"/>
  <c r="J397" i="14"/>
  <c r="H397" i="14"/>
  <c r="L396" i="14"/>
  <c r="K396" i="14"/>
  <c r="J396" i="14"/>
  <c r="H396" i="14"/>
  <c r="L395" i="14"/>
  <c r="K395" i="14"/>
  <c r="J395" i="14"/>
  <c r="H395" i="14"/>
  <c r="L394" i="14"/>
  <c r="K394" i="14"/>
  <c r="J394" i="14"/>
  <c r="H394" i="14"/>
  <c r="L393" i="14"/>
  <c r="K393" i="14"/>
  <c r="J393" i="14"/>
  <c r="H393" i="14"/>
  <c r="L392" i="14"/>
  <c r="K392" i="14"/>
  <c r="J392" i="14"/>
  <c r="H392" i="14"/>
  <c r="L391" i="14"/>
  <c r="K391" i="14"/>
  <c r="J391" i="14"/>
  <c r="H391" i="14"/>
  <c r="L390" i="14"/>
  <c r="K390" i="14"/>
  <c r="J390" i="14"/>
  <c r="H390" i="14"/>
  <c r="L389" i="14"/>
  <c r="K389" i="14"/>
  <c r="J389" i="14"/>
  <c r="H389" i="14"/>
  <c r="L388" i="14"/>
  <c r="K388" i="14"/>
  <c r="J388" i="14"/>
  <c r="H388" i="14"/>
  <c r="L387" i="14"/>
  <c r="K387" i="14"/>
  <c r="J387" i="14"/>
  <c r="H387" i="14"/>
  <c r="L386" i="14"/>
  <c r="K386" i="14"/>
  <c r="J386" i="14"/>
  <c r="H386" i="14"/>
  <c r="L385" i="14"/>
  <c r="K385" i="14"/>
  <c r="J385" i="14"/>
  <c r="H385" i="14"/>
  <c r="L384" i="14"/>
  <c r="K384" i="14"/>
  <c r="J384" i="14"/>
  <c r="H384" i="14"/>
  <c r="L383" i="14"/>
  <c r="K383" i="14"/>
  <c r="J383" i="14"/>
  <c r="H383" i="14"/>
  <c r="L382" i="14"/>
  <c r="K382" i="14"/>
  <c r="J382" i="14"/>
  <c r="H382" i="14"/>
  <c r="L381" i="14"/>
  <c r="K381" i="14"/>
  <c r="J381" i="14"/>
  <c r="H381" i="14"/>
  <c r="L380" i="14"/>
  <c r="K380" i="14"/>
  <c r="J380" i="14"/>
  <c r="H380" i="14"/>
  <c r="L379" i="14"/>
  <c r="K379" i="14"/>
  <c r="J379" i="14"/>
  <c r="H379" i="14"/>
  <c r="L378" i="14"/>
  <c r="K378" i="14"/>
  <c r="J378" i="14"/>
  <c r="H378" i="14"/>
  <c r="L377" i="14"/>
  <c r="K377" i="14"/>
  <c r="J377" i="14"/>
  <c r="H377" i="14"/>
  <c r="L376" i="14"/>
  <c r="K376" i="14"/>
  <c r="J376" i="14"/>
  <c r="H376" i="14"/>
  <c r="L375" i="14"/>
  <c r="K375" i="14"/>
  <c r="J375" i="14"/>
  <c r="H375" i="14"/>
  <c r="L374" i="14"/>
  <c r="K374" i="14"/>
  <c r="J374" i="14"/>
  <c r="H374" i="14"/>
  <c r="L373" i="14"/>
  <c r="K373" i="14"/>
  <c r="J373" i="14"/>
  <c r="H373" i="14"/>
  <c r="L372" i="14"/>
  <c r="K372" i="14"/>
  <c r="J372" i="14"/>
  <c r="H372" i="14"/>
  <c r="L371" i="14"/>
  <c r="K371" i="14"/>
  <c r="J371" i="14"/>
  <c r="H371" i="14"/>
  <c r="L370" i="14"/>
  <c r="K370" i="14"/>
  <c r="J370" i="14"/>
  <c r="H370" i="14"/>
  <c r="L369" i="14"/>
  <c r="K369" i="14"/>
  <c r="J369" i="14"/>
  <c r="H369" i="14"/>
  <c r="L368" i="14"/>
  <c r="K368" i="14"/>
  <c r="J368" i="14"/>
  <c r="H368" i="14"/>
  <c r="L367" i="14"/>
  <c r="K367" i="14"/>
  <c r="J367" i="14"/>
  <c r="H367" i="14"/>
  <c r="L366" i="14"/>
  <c r="K366" i="14"/>
  <c r="J366" i="14"/>
  <c r="H366" i="14"/>
  <c r="L365" i="14"/>
  <c r="K365" i="14"/>
  <c r="J365" i="14"/>
  <c r="H365" i="14"/>
  <c r="L364" i="14"/>
  <c r="K364" i="14"/>
  <c r="J364" i="14"/>
  <c r="H364" i="14"/>
  <c r="L363" i="14"/>
  <c r="K363" i="14"/>
  <c r="J363" i="14"/>
  <c r="H363" i="14"/>
  <c r="L362" i="14"/>
  <c r="K362" i="14"/>
  <c r="J362" i="14"/>
  <c r="H362" i="14"/>
  <c r="L361" i="14"/>
  <c r="K361" i="14"/>
  <c r="J361" i="14"/>
  <c r="H361" i="14"/>
  <c r="L360" i="14"/>
  <c r="K360" i="14"/>
  <c r="J360" i="14"/>
  <c r="H360" i="14"/>
  <c r="L359" i="14"/>
  <c r="K359" i="14"/>
  <c r="J359" i="14"/>
  <c r="H359" i="14"/>
  <c r="L358" i="14"/>
  <c r="K358" i="14"/>
  <c r="J358" i="14"/>
  <c r="H358" i="14"/>
  <c r="L357" i="14"/>
  <c r="K357" i="14"/>
  <c r="J357" i="14"/>
  <c r="H357" i="14"/>
  <c r="L356" i="14"/>
  <c r="K356" i="14"/>
  <c r="J356" i="14"/>
  <c r="H356" i="14"/>
  <c r="L355" i="14"/>
  <c r="K355" i="14"/>
  <c r="J355" i="14"/>
  <c r="H355" i="14"/>
  <c r="L354" i="14"/>
  <c r="K354" i="14"/>
  <c r="J354" i="14"/>
  <c r="H354" i="14"/>
  <c r="L353" i="14"/>
  <c r="K353" i="14"/>
  <c r="J353" i="14"/>
  <c r="H353" i="14"/>
  <c r="L352" i="14"/>
  <c r="K352" i="14"/>
  <c r="J352" i="14"/>
  <c r="H352" i="14"/>
  <c r="L351" i="14"/>
  <c r="K351" i="14"/>
  <c r="J351" i="14"/>
  <c r="H351" i="14"/>
  <c r="L350" i="14"/>
  <c r="K350" i="14"/>
  <c r="J350" i="14"/>
  <c r="H350" i="14"/>
  <c r="L349" i="14"/>
  <c r="K349" i="14"/>
  <c r="J349" i="14"/>
  <c r="H349" i="14"/>
  <c r="L348" i="14"/>
  <c r="K348" i="14"/>
  <c r="J348" i="14"/>
  <c r="H348" i="14"/>
  <c r="L347" i="14"/>
  <c r="K347" i="14"/>
  <c r="J347" i="14"/>
  <c r="H347" i="14"/>
  <c r="L346" i="14"/>
  <c r="K346" i="14"/>
  <c r="J346" i="14"/>
  <c r="H346" i="14"/>
  <c r="L345" i="14"/>
  <c r="K345" i="14"/>
  <c r="J345" i="14"/>
  <c r="H345" i="14"/>
  <c r="L344" i="14"/>
  <c r="K344" i="14"/>
  <c r="J344" i="14"/>
  <c r="H344" i="14"/>
  <c r="L343" i="14"/>
  <c r="K343" i="14"/>
  <c r="J343" i="14"/>
  <c r="H343" i="14"/>
  <c r="L342" i="14"/>
  <c r="K342" i="14"/>
  <c r="J342" i="14"/>
  <c r="H342" i="14"/>
  <c r="L341" i="14"/>
  <c r="K341" i="14"/>
  <c r="J341" i="14"/>
  <c r="H341" i="14"/>
  <c r="L340" i="14"/>
  <c r="K340" i="14"/>
  <c r="J340" i="14"/>
  <c r="H340" i="14"/>
  <c r="L339" i="14"/>
  <c r="K339" i="14"/>
  <c r="J339" i="14"/>
  <c r="H339" i="14"/>
  <c r="L338" i="14"/>
  <c r="K338" i="14"/>
  <c r="J338" i="14"/>
  <c r="H338" i="14"/>
  <c r="L337" i="14"/>
  <c r="K337" i="14"/>
  <c r="J337" i="14"/>
  <c r="H337" i="14"/>
  <c r="L336" i="14"/>
  <c r="K336" i="14"/>
  <c r="J336" i="14"/>
  <c r="H336" i="14"/>
  <c r="L335" i="14"/>
  <c r="K335" i="14"/>
  <c r="J335" i="14"/>
  <c r="H335" i="14"/>
  <c r="L334" i="14"/>
  <c r="K334" i="14"/>
  <c r="J334" i="14"/>
  <c r="H334" i="14"/>
  <c r="L333" i="14"/>
  <c r="K333" i="14"/>
  <c r="J333" i="14"/>
  <c r="H333" i="14"/>
  <c r="L332" i="14"/>
  <c r="K332" i="14"/>
  <c r="J332" i="14"/>
  <c r="H332" i="14"/>
  <c r="L331" i="14"/>
  <c r="K331" i="14"/>
  <c r="J331" i="14"/>
  <c r="H331" i="14"/>
  <c r="L330" i="14"/>
  <c r="K330" i="14"/>
  <c r="J330" i="14"/>
  <c r="H330" i="14"/>
  <c r="L329" i="14"/>
  <c r="K329" i="14"/>
  <c r="J329" i="14"/>
  <c r="H329" i="14"/>
  <c r="L328" i="14"/>
  <c r="K328" i="14"/>
  <c r="J328" i="14"/>
  <c r="H328" i="14"/>
  <c r="L327" i="14"/>
  <c r="K327" i="14"/>
  <c r="J327" i="14"/>
  <c r="H327" i="14"/>
  <c r="L326" i="14"/>
  <c r="K326" i="14"/>
  <c r="J326" i="14"/>
  <c r="H326" i="14"/>
  <c r="L325" i="14"/>
  <c r="K325" i="14"/>
  <c r="J325" i="14"/>
  <c r="H325" i="14"/>
  <c r="L324" i="14"/>
  <c r="K324" i="14"/>
  <c r="J324" i="14"/>
  <c r="H324" i="14"/>
  <c r="L323" i="14"/>
  <c r="K323" i="14"/>
  <c r="J323" i="14"/>
  <c r="H323" i="14"/>
  <c r="L322" i="14"/>
  <c r="K322" i="14"/>
  <c r="J322" i="14"/>
  <c r="H322" i="14"/>
  <c r="L321" i="14"/>
  <c r="K321" i="14"/>
  <c r="J321" i="14"/>
  <c r="H321" i="14"/>
  <c r="L320" i="14"/>
  <c r="K320" i="14"/>
  <c r="J320" i="14"/>
  <c r="H320" i="14"/>
  <c r="L319" i="14"/>
  <c r="K319" i="14"/>
  <c r="J319" i="14"/>
  <c r="H319" i="14"/>
  <c r="L318" i="14"/>
  <c r="K318" i="14"/>
  <c r="J318" i="14"/>
  <c r="H318" i="14"/>
  <c r="L317" i="14"/>
  <c r="K317" i="14"/>
  <c r="J317" i="14"/>
  <c r="H317" i="14"/>
  <c r="L316" i="14"/>
  <c r="K316" i="14"/>
  <c r="J316" i="14"/>
  <c r="H316" i="14"/>
  <c r="L315" i="14"/>
  <c r="K315" i="14"/>
  <c r="J315" i="14"/>
  <c r="H315" i="14"/>
  <c r="L314" i="14"/>
  <c r="K314" i="14"/>
  <c r="J314" i="14"/>
  <c r="H314" i="14"/>
  <c r="L313" i="14"/>
  <c r="K313" i="14"/>
  <c r="J313" i="14"/>
  <c r="H313" i="14"/>
  <c r="L312" i="14"/>
  <c r="K312" i="14"/>
  <c r="J312" i="14"/>
  <c r="H312" i="14"/>
  <c r="L311" i="14"/>
  <c r="K311" i="14"/>
  <c r="J311" i="14"/>
  <c r="H311" i="14"/>
  <c r="L310" i="14"/>
  <c r="K310" i="14"/>
  <c r="J310" i="14"/>
  <c r="H310" i="14"/>
  <c r="L309" i="14"/>
  <c r="K309" i="14"/>
  <c r="J309" i="14"/>
  <c r="H309" i="14"/>
  <c r="L308" i="14"/>
  <c r="K308" i="14"/>
  <c r="J308" i="14"/>
  <c r="H308" i="14"/>
  <c r="L307" i="14"/>
  <c r="K307" i="14"/>
  <c r="J307" i="14"/>
  <c r="H307" i="14"/>
  <c r="L306" i="14"/>
  <c r="K306" i="14"/>
  <c r="J306" i="14"/>
  <c r="H306" i="14"/>
  <c r="L305" i="14"/>
  <c r="K305" i="14"/>
  <c r="J305" i="14"/>
  <c r="H305" i="14"/>
  <c r="L304" i="14"/>
  <c r="K304" i="14"/>
  <c r="J304" i="14"/>
  <c r="H304" i="14"/>
  <c r="L303" i="14"/>
  <c r="K303" i="14"/>
  <c r="J303" i="14"/>
  <c r="H303" i="14"/>
  <c r="L302" i="14"/>
  <c r="K302" i="14"/>
  <c r="J302" i="14"/>
  <c r="H302" i="14"/>
  <c r="L301" i="14"/>
  <c r="K301" i="14"/>
  <c r="J301" i="14"/>
  <c r="H301" i="14"/>
  <c r="L300" i="14"/>
  <c r="K300" i="14"/>
  <c r="J300" i="14"/>
  <c r="H300" i="14"/>
  <c r="L299" i="14"/>
  <c r="K299" i="14"/>
  <c r="J299" i="14"/>
  <c r="H299" i="14"/>
  <c r="L298" i="14"/>
  <c r="K298" i="14"/>
  <c r="J298" i="14"/>
  <c r="H298" i="14"/>
  <c r="L297" i="14"/>
  <c r="K297" i="14"/>
  <c r="J297" i="14"/>
  <c r="H297" i="14"/>
  <c r="L296" i="14"/>
  <c r="K296" i="14"/>
  <c r="J296" i="14"/>
  <c r="H296" i="14"/>
  <c r="L295" i="14"/>
  <c r="K295" i="14"/>
  <c r="J295" i="14"/>
  <c r="H295" i="14"/>
  <c r="L294" i="14"/>
  <c r="K294" i="14"/>
  <c r="J294" i="14"/>
  <c r="H294" i="14"/>
  <c r="L293" i="14"/>
  <c r="K293" i="14"/>
  <c r="J293" i="14"/>
  <c r="H293" i="14"/>
  <c r="L292" i="14"/>
  <c r="K292" i="14"/>
  <c r="J292" i="14"/>
  <c r="H292" i="14"/>
  <c r="L291" i="14"/>
  <c r="K291" i="14"/>
  <c r="J291" i="14"/>
  <c r="H291" i="14"/>
  <c r="L290" i="14"/>
  <c r="K290" i="14"/>
  <c r="J290" i="14"/>
  <c r="H290" i="14"/>
  <c r="L289" i="14"/>
  <c r="K289" i="14"/>
  <c r="J289" i="14"/>
  <c r="H289" i="14"/>
  <c r="L288" i="14"/>
  <c r="K288" i="14"/>
  <c r="J288" i="14"/>
  <c r="H288" i="14"/>
  <c r="L287" i="14"/>
  <c r="K287" i="14"/>
  <c r="J287" i="14"/>
  <c r="H287" i="14"/>
  <c r="L286" i="14"/>
  <c r="K286" i="14"/>
  <c r="J286" i="14"/>
  <c r="H286" i="14"/>
  <c r="L285" i="14"/>
  <c r="K285" i="14"/>
  <c r="J285" i="14"/>
  <c r="H285" i="14"/>
  <c r="L284" i="14"/>
  <c r="K284" i="14"/>
  <c r="J284" i="14"/>
  <c r="H284" i="14"/>
  <c r="L283" i="14"/>
  <c r="K283" i="14"/>
  <c r="J283" i="14"/>
  <c r="H283" i="14"/>
  <c r="L282" i="14"/>
  <c r="K282" i="14"/>
  <c r="J282" i="14"/>
  <c r="H282" i="14"/>
  <c r="L281" i="14"/>
  <c r="K281" i="14"/>
  <c r="J281" i="14"/>
  <c r="H281" i="14"/>
  <c r="L280" i="14"/>
  <c r="K280" i="14"/>
  <c r="J280" i="14"/>
  <c r="H280" i="14"/>
  <c r="L279" i="14"/>
  <c r="K279" i="14"/>
  <c r="J279" i="14"/>
  <c r="H279" i="14"/>
  <c r="L278" i="14"/>
  <c r="K278" i="14"/>
  <c r="J278" i="14"/>
  <c r="H278" i="14"/>
  <c r="L277" i="14"/>
  <c r="K277" i="14"/>
  <c r="J277" i="14"/>
  <c r="H277" i="14"/>
  <c r="L276" i="14"/>
  <c r="K276" i="14"/>
  <c r="J276" i="14"/>
  <c r="H276" i="14"/>
  <c r="L275" i="14"/>
  <c r="K275" i="14"/>
  <c r="J275" i="14"/>
  <c r="H275" i="14"/>
  <c r="L274" i="14"/>
  <c r="K274" i="14"/>
  <c r="J274" i="14"/>
  <c r="H274" i="14"/>
  <c r="L273" i="14"/>
  <c r="K273" i="14"/>
  <c r="J273" i="14"/>
  <c r="H273" i="14"/>
  <c r="L272" i="14"/>
  <c r="K272" i="14"/>
  <c r="J272" i="14"/>
  <c r="H272" i="14"/>
  <c r="L271" i="14"/>
  <c r="K271" i="14"/>
  <c r="J271" i="14"/>
  <c r="H271" i="14"/>
  <c r="L270" i="14"/>
  <c r="K270" i="14"/>
  <c r="J270" i="14"/>
  <c r="H270" i="14"/>
  <c r="L269" i="14"/>
  <c r="K269" i="14"/>
  <c r="J269" i="14"/>
  <c r="H269" i="14"/>
  <c r="L268" i="14"/>
  <c r="K268" i="14"/>
  <c r="J268" i="14"/>
  <c r="H268" i="14"/>
  <c r="L267" i="14"/>
  <c r="K267" i="14"/>
  <c r="J267" i="14"/>
  <c r="H267" i="14"/>
  <c r="L266" i="14"/>
  <c r="K266" i="14"/>
  <c r="J266" i="14"/>
  <c r="H266" i="14"/>
  <c r="L265" i="14"/>
  <c r="K265" i="14"/>
  <c r="J265" i="14"/>
  <c r="H265" i="14"/>
  <c r="L264" i="14"/>
  <c r="K264" i="14"/>
  <c r="J264" i="14"/>
  <c r="H264" i="14"/>
  <c r="L263" i="14"/>
  <c r="K263" i="14"/>
  <c r="J263" i="14"/>
  <c r="H263" i="14"/>
  <c r="L262" i="14"/>
  <c r="K262" i="14"/>
  <c r="J262" i="14"/>
  <c r="H262" i="14"/>
  <c r="L261" i="14"/>
  <c r="K261" i="14"/>
  <c r="J261" i="14"/>
  <c r="H261" i="14"/>
  <c r="L260" i="14"/>
  <c r="K260" i="14"/>
  <c r="J260" i="14"/>
  <c r="H260" i="14"/>
  <c r="L259" i="14"/>
  <c r="K259" i="14"/>
  <c r="J259" i="14"/>
  <c r="H259" i="14"/>
  <c r="L258" i="14"/>
  <c r="K258" i="14"/>
  <c r="J258" i="14"/>
  <c r="H258" i="14"/>
  <c r="L257" i="14"/>
  <c r="K257" i="14"/>
  <c r="J257" i="14"/>
  <c r="H257" i="14"/>
  <c r="L256" i="14"/>
  <c r="K256" i="14"/>
  <c r="J256" i="14"/>
  <c r="H256" i="14"/>
  <c r="L255" i="14"/>
  <c r="K255" i="14"/>
  <c r="J255" i="14"/>
  <c r="H255" i="14"/>
  <c r="L254" i="14"/>
  <c r="K254" i="14"/>
  <c r="J254" i="14"/>
  <c r="H254" i="14"/>
  <c r="L253" i="14"/>
  <c r="K253" i="14"/>
  <c r="J253" i="14"/>
  <c r="H253" i="14"/>
  <c r="L252" i="14"/>
  <c r="K252" i="14"/>
  <c r="J252" i="14"/>
  <c r="H252" i="14"/>
  <c r="L251" i="14"/>
  <c r="K251" i="14"/>
  <c r="J251" i="14"/>
  <c r="H251" i="14"/>
  <c r="L250" i="14"/>
  <c r="K250" i="14"/>
  <c r="J250" i="14"/>
  <c r="H250" i="14"/>
  <c r="L249" i="14"/>
  <c r="K249" i="14"/>
  <c r="J249" i="14"/>
  <c r="H249" i="14"/>
  <c r="L248" i="14"/>
  <c r="K248" i="14"/>
  <c r="J248" i="14"/>
  <c r="H248" i="14"/>
  <c r="L247" i="14"/>
  <c r="K247" i="14"/>
  <c r="J247" i="14"/>
  <c r="H247" i="14"/>
  <c r="L246" i="14"/>
  <c r="K246" i="14"/>
  <c r="J246" i="14"/>
  <c r="H246" i="14"/>
  <c r="L245" i="14"/>
  <c r="K245" i="14"/>
  <c r="J245" i="14"/>
  <c r="H245" i="14"/>
  <c r="L244" i="14"/>
  <c r="K244" i="14"/>
  <c r="J244" i="14"/>
  <c r="H244" i="14"/>
  <c r="L243" i="14"/>
  <c r="K243" i="14"/>
  <c r="J243" i="14"/>
  <c r="H243" i="14"/>
  <c r="L242" i="14"/>
  <c r="K242" i="14"/>
  <c r="J242" i="14"/>
  <c r="H242" i="14"/>
  <c r="L241" i="14"/>
  <c r="K241" i="14"/>
  <c r="J241" i="14"/>
  <c r="H241" i="14"/>
  <c r="L240" i="14"/>
  <c r="K240" i="14"/>
  <c r="J240" i="14"/>
  <c r="H240" i="14"/>
  <c r="L239" i="14"/>
  <c r="K239" i="14"/>
  <c r="J239" i="14"/>
  <c r="H239" i="14"/>
  <c r="L238" i="14"/>
  <c r="K238" i="14"/>
  <c r="J238" i="14"/>
  <c r="H238" i="14"/>
  <c r="L237" i="14"/>
  <c r="K237" i="14"/>
  <c r="J237" i="14"/>
  <c r="H237" i="14"/>
  <c r="L236" i="14"/>
  <c r="K236" i="14"/>
  <c r="J236" i="14"/>
  <c r="H236" i="14"/>
  <c r="L235" i="14"/>
  <c r="K235" i="14"/>
  <c r="J235" i="14"/>
  <c r="H235" i="14"/>
  <c r="L234" i="14"/>
  <c r="K234" i="14"/>
  <c r="J234" i="14"/>
  <c r="H234" i="14"/>
  <c r="L233" i="14"/>
  <c r="K233" i="14"/>
  <c r="J233" i="14"/>
  <c r="H233" i="14"/>
  <c r="L232" i="14"/>
  <c r="K232" i="14"/>
  <c r="J232" i="14"/>
  <c r="H232" i="14"/>
  <c r="L231" i="14"/>
  <c r="K231" i="14"/>
  <c r="J231" i="14"/>
  <c r="H231" i="14"/>
  <c r="L230" i="14"/>
  <c r="K230" i="14"/>
  <c r="J230" i="14"/>
  <c r="H230" i="14"/>
  <c r="L229" i="14"/>
  <c r="K229" i="14"/>
  <c r="J229" i="14"/>
  <c r="H229" i="14"/>
  <c r="L228" i="14"/>
  <c r="K228" i="14"/>
  <c r="J228" i="14"/>
  <c r="H228" i="14"/>
  <c r="L227" i="14"/>
  <c r="K227" i="14"/>
  <c r="J227" i="14"/>
  <c r="H227" i="14"/>
  <c r="L226" i="14"/>
  <c r="K226" i="14"/>
  <c r="J226" i="14"/>
  <c r="H226" i="14"/>
  <c r="L225" i="14"/>
  <c r="K225" i="14"/>
  <c r="J225" i="14"/>
  <c r="H225" i="14"/>
  <c r="L224" i="14"/>
  <c r="K224" i="14"/>
  <c r="J224" i="14"/>
  <c r="H224" i="14"/>
  <c r="L223" i="14"/>
  <c r="K223" i="14"/>
  <c r="J223" i="14"/>
  <c r="H223" i="14"/>
  <c r="L222" i="14"/>
  <c r="K222" i="14"/>
  <c r="J222" i="14"/>
  <c r="H222" i="14"/>
  <c r="L221" i="14"/>
  <c r="K221" i="14"/>
  <c r="J221" i="14"/>
  <c r="H221" i="14"/>
  <c r="L220" i="14"/>
  <c r="K220" i="14"/>
  <c r="J220" i="14"/>
  <c r="H220" i="14"/>
  <c r="L219" i="14"/>
  <c r="K219" i="14"/>
  <c r="J219" i="14"/>
  <c r="H219" i="14"/>
  <c r="L218" i="14"/>
  <c r="K218" i="14"/>
  <c r="J218" i="14"/>
  <c r="H218" i="14"/>
  <c r="L217" i="14"/>
  <c r="K217" i="14"/>
  <c r="J217" i="14"/>
  <c r="H217" i="14"/>
  <c r="L216" i="14"/>
  <c r="K216" i="14"/>
  <c r="J216" i="14"/>
  <c r="H216" i="14"/>
  <c r="L215" i="14"/>
  <c r="K215" i="14"/>
  <c r="J215" i="14"/>
  <c r="H215" i="14"/>
  <c r="L214" i="14"/>
  <c r="K214" i="14"/>
  <c r="J214" i="14"/>
  <c r="H214" i="14"/>
  <c r="L213" i="14"/>
  <c r="K213" i="14"/>
  <c r="J213" i="14"/>
  <c r="H213" i="14"/>
  <c r="L212" i="14"/>
  <c r="K212" i="14"/>
  <c r="J212" i="14"/>
  <c r="H212" i="14"/>
  <c r="L211" i="14"/>
  <c r="K211" i="14"/>
  <c r="J211" i="14"/>
  <c r="H211" i="14"/>
  <c r="L210" i="14"/>
  <c r="K210" i="14"/>
  <c r="J210" i="14"/>
  <c r="H210" i="14"/>
  <c r="L209" i="14"/>
  <c r="K209" i="14"/>
  <c r="J209" i="14"/>
  <c r="H209" i="14"/>
  <c r="L208" i="14"/>
  <c r="K208" i="14"/>
  <c r="J208" i="14"/>
  <c r="H208" i="14"/>
  <c r="L207" i="14"/>
  <c r="K207" i="14"/>
  <c r="J207" i="14"/>
  <c r="H207" i="14"/>
  <c r="L206" i="14"/>
  <c r="K206" i="14"/>
  <c r="J206" i="14"/>
  <c r="H206" i="14"/>
  <c r="L205" i="14"/>
  <c r="K205" i="14"/>
  <c r="J205" i="14"/>
  <c r="H205" i="14"/>
  <c r="L204" i="14"/>
  <c r="K204" i="14"/>
  <c r="J204" i="14"/>
  <c r="H204" i="14"/>
  <c r="L203" i="14"/>
  <c r="K203" i="14"/>
  <c r="J203" i="14"/>
  <c r="H203" i="14"/>
  <c r="L202" i="14"/>
  <c r="K202" i="14"/>
  <c r="J202" i="14"/>
  <c r="H202" i="14"/>
  <c r="L201" i="14"/>
  <c r="K201" i="14"/>
  <c r="J201" i="14"/>
  <c r="H201" i="14"/>
  <c r="L200" i="14"/>
  <c r="K200" i="14"/>
  <c r="J200" i="14"/>
  <c r="H200" i="14"/>
  <c r="L199" i="14"/>
  <c r="K199" i="14"/>
  <c r="J199" i="14"/>
  <c r="H199" i="14"/>
  <c r="L198" i="14"/>
  <c r="K198" i="14"/>
  <c r="J198" i="14"/>
  <c r="H198" i="14"/>
  <c r="L197" i="14"/>
  <c r="K197" i="14"/>
  <c r="J197" i="14"/>
  <c r="H197" i="14"/>
  <c r="L196" i="14"/>
  <c r="K196" i="14"/>
  <c r="J196" i="14"/>
  <c r="H196" i="14"/>
  <c r="L195" i="14"/>
  <c r="K195" i="14"/>
  <c r="J195" i="14"/>
  <c r="H195" i="14"/>
  <c r="L194" i="14"/>
  <c r="K194" i="14"/>
  <c r="J194" i="14"/>
  <c r="H194" i="14"/>
  <c r="L193" i="14"/>
  <c r="K193" i="14"/>
  <c r="J193" i="14"/>
  <c r="H193" i="14"/>
  <c r="L192" i="14"/>
  <c r="K192" i="14"/>
  <c r="J192" i="14"/>
  <c r="H192" i="14"/>
  <c r="L191" i="14"/>
  <c r="K191" i="14"/>
  <c r="J191" i="14"/>
  <c r="H191" i="14"/>
  <c r="L190" i="14"/>
  <c r="K190" i="14"/>
  <c r="J190" i="14"/>
  <c r="H190" i="14"/>
  <c r="L189" i="14"/>
  <c r="K189" i="14"/>
  <c r="J189" i="14"/>
  <c r="H189" i="14"/>
  <c r="L188" i="14"/>
  <c r="K188" i="14"/>
  <c r="J188" i="14"/>
  <c r="H188" i="14"/>
  <c r="L187" i="14"/>
  <c r="K187" i="14"/>
  <c r="J187" i="14"/>
  <c r="H187" i="14"/>
  <c r="L186" i="14"/>
  <c r="K186" i="14"/>
  <c r="J186" i="14"/>
  <c r="H186" i="14"/>
  <c r="L185" i="14"/>
  <c r="K185" i="14"/>
  <c r="J185" i="14"/>
  <c r="H185" i="14"/>
  <c r="L184" i="14"/>
  <c r="K184" i="14"/>
  <c r="J184" i="14"/>
  <c r="H184" i="14"/>
  <c r="L183" i="14"/>
  <c r="K183" i="14"/>
  <c r="J183" i="14"/>
  <c r="H183" i="14"/>
  <c r="L182" i="14"/>
  <c r="K182" i="14"/>
  <c r="J182" i="14"/>
  <c r="H182" i="14"/>
  <c r="L181" i="14"/>
  <c r="K181" i="14"/>
  <c r="J181" i="14"/>
  <c r="H181" i="14"/>
  <c r="L180" i="14"/>
  <c r="K180" i="14"/>
  <c r="J180" i="14"/>
  <c r="H180" i="14"/>
  <c r="L179" i="14"/>
  <c r="K179" i="14"/>
  <c r="J179" i="14"/>
  <c r="H179" i="14"/>
  <c r="L178" i="14"/>
  <c r="K178" i="14"/>
  <c r="J178" i="14"/>
  <c r="H178" i="14"/>
  <c r="L177" i="14"/>
  <c r="K177" i="14"/>
  <c r="J177" i="14"/>
  <c r="H177" i="14"/>
  <c r="L176" i="14"/>
  <c r="K176" i="14"/>
  <c r="J176" i="14"/>
  <c r="H176" i="14"/>
  <c r="L175" i="14"/>
  <c r="K175" i="14"/>
  <c r="J175" i="14"/>
  <c r="H175" i="14"/>
  <c r="L174" i="14"/>
  <c r="K174" i="14"/>
  <c r="J174" i="14"/>
  <c r="H174" i="14"/>
  <c r="L173" i="14"/>
  <c r="K173" i="14"/>
  <c r="J173" i="14"/>
  <c r="H173" i="14"/>
  <c r="L172" i="14"/>
  <c r="K172" i="14"/>
  <c r="J172" i="14"/>
  <c r="H172" i="14"/>
  <c r="L171" i="14"/>
  <c r="K171" i="14"/>
  <c r="J171" i="14"/>
  <c r="H171" i="14"/>
  <c r="L170" i="14"/>
  <c r="K170" i="14"/>
  <c r="J170" i="14"/>
  <c r="H170" i="14"/>
  <c r="L169" i="14"/>
  <c r="K169" i="14"/>
  <c r="J169" i="14"/>
  <c r="H169" i="14"/>
  <c r="L168" i="14"/>
  <c r="K168" i="14"/>
  <c r="J168" i="14"/>
  <c r="H168" i="14"/>
  <c r="L167" i="14"/>
  <c r="K167" i="14"/>
  <c r="J167" i="14"/>
  <c r="H167" i="14"/>
  <c r="L166" i="14"/>
  <c r="K166" i="14"/>
  <c r="J166" i="14"/>
  <c r="H166" i="14"/>
  <c r="L165" i="14"/>
  <c r="K165" i="14"/>
  <c r="J165" i="14"/>
  <c r="H165" i="14"/>
  <c r="L164" i="14"/>
  <c r="K164" i="14"/>
  <c r="J164" i="14"/>
  <c r="H164" i="14"/>
  <c r="L163" i="14"/>
  <c r="K163" i="14"/>
  <c r="J163" i="14"/>
  <c r="H163" i="14"/>
  <c r="L162" i="14"/>
  <c r="K162" i="14"/>
  <c r="J162" i="14"/>
  <c r="H162" i="14"/>
  <c r="L161" i="14"/>
  <c r="K161" i="14"/>
  <c r="J161" i="14"/>
  <c r="H161" i="14"/>
  <c r="L160" i="14"/>
  <c r="K160" i="14"/>
  <c r="J160" i="14"/>
  <c r="H160" i="14"/>
  <c r="L159" i="14"/>
  <c r="K159" i="14"/>
  <c r="J159" i="14"/>
  <c r="H159" i="14"/>
  <c r="L158" i="14"/>
  <c r="K158" i="14"/>
  <c r="J158" i="14"/>
  <c r="H158" i="14"/>
  <c r="L157" i="14"/>
  <c r="K157" i="14"/>
  <c r="J157" i="14"/>
  <c r="H157" i="14"/>
  <c r="L156" i="14"/>
  <c r="K156" i="14"/>
  <c r="J156" i="14"/>
  <c r="H156" i="14"/>
  <c r="L155" i="14"/>
  <c r="K155" i="14"/>
  <c r="J155" i="14"/>
  <c r="H155" i="14"/>
  <c r="L154" i="14"/>
  <c r="K154" i="14"/>
  <c r="J154" i="14"/>
  <c r="H154" i="14"/>
  <c r="L153" i="14"/>
  <c r="K153" i="14"/>
  <c r="J153" i="14"/>
  <c r="H153" i="14"/>
  <c r="L152" i="14"/>
  <c r="K152" i="14"/>
  <c r="J152" i="14"/>
  <c r="H152" i="14"/>
  <c r="L151" i="14"/>
  <c r="K151" i="14"/>
  <c r="J151" i="14"/>
  <c r="H151" i="14"/>
  <c r="L150" i="14"/>
  <c r="K150" i="14"/>
  <c r="J150" i="14"/>
  <c r="H150" i="14"/>
  <c r="L149" i="14"/>
  <c r="K149" i="14"/>
  <c r="J149" i="14"/>
  <c r="H149" i="14"/>
  <c r="L148" i="14"/>
  <c r="K148" i="14"/>
  <c r="J148" i="14"/>
  <c r="H148" i="14"/>
  <c r="L147" i="14"/>
  <c r="K147" i="14"/>
  <c r="J147" i="14"/>
  <c r="H147" i="14"/>
  <c r="L146" i="14"/>
  <c r="K146" i="14"/>
  <c r="J146" i="14"/>
  <c r="H146" i="14"/>
  <c r="L145" i="14"/>
  <c r="K145" i="14"/>
  <c r="J145" i="14"/>
  <c r="H145" i="14"/>
  <c r="L144" i="14"/>
  <c r="K144" i="14"/>
  <c r="J144" i="14"/>
  <c r="H144" i="14"/>
  <c r="L143" i="14"/>
  <c r="K143" i="14"/>
  <c r="J143" i="14"/>
  <c r="H143" i="14"/>
  <c r="L142" i="14"/>
  <c r="K142" i="14"/>
  <c r="J142" i="14"/>
  <c r="H142" i="14"/>
  <c r="L141" i="14"/>
  <c r="K141" i="14"/>
  <c r="J141" i="14"/>
  <c r="H141" i="14"/>
  <c r="L140" i="14"/>
  <c r="K140" i="14"/>
  <c r="J140" i="14"/>
  <c r="H140" i="14"/>
  <c r="L139" i="14"/>
  <c r="K139" i="14"/>
  <c r="J139" i="14"/>
  <c r="H139" i="14"/>
  <c r="L138" i="14"/>
  <c r="K138" i="14"/>
  <c r="J138" i="14"/>
  <c r="H138" i="14"/>
  <c r="L137" i="14"/>
  <c r="K137" i="14"/>
  <c r="J137" i="14"/>
  <c r="H137" i="14"/>
  <c r="L136" i="14"/>
  <c r="K136" i="14"/>
  <c r="J136" i="14"/>
  <c r="H136" i="14"/>
  <c r="L135" i="14"/>
  <c r="K135" i="14"/>
  <c r="J135" i="14"/>
  <c r="H135" i="14"/>
  <c r="L134" i="14"/>
  <c r="K134" i="14"/>
  <c r="J134" i="14"/>
  <c r="H134" i="14"/>
  <c r="L133" i="14"/>
  <c r="K133" i="14"/>
  <c r="J133" i="14"/>
  <c r="H133" i="14"/>
  <c r="L132" i="14"/>
  <c r="K132" i="14"/>
  <c r="J132" i="14"/>
  <c r="H132" i="14"/>
  <c r="L131" i="14"/>
  <c r="K131" i="14"/>
  <c r="J131" i="14"/>
  <c r="H131" i="14"/>
  <c r="L130" i="14"/>
  <c r="K130" i="14"/>
  <c r="J130" i="14"/>
  <c r="H130" i="14"/>
  <c r="L129" i="14"/>
  <c r="K129" i="14"/>
  <c r="J129" i="14"/>
  <c r="H129" i="14"/>
  <c r="L128" i="14"/>
  <c r="K128" i="14"/>
  <c r="J128" i="14"/>
  <c r="H128" i="14"/>
  <c r="L127" i="14"/>
  <c r="K127" i="14"/>
  <c r="J127" i="14"/>
  <c r="H127" i="14"/>
  <c r="L126" i="14"/>
  <c r="K126" i="14"/>
  <c r="J126" i="14"/>
  <c r="H126" i="14"/>
  <c r="L125" i="14"/>
  <c r="K125" i="14"/>
  <c r="J125" i="14"/>
  <c r="H125" i="14"/>
  <c r="L124" i="14"/>
  <c r="K124" i="14"/>
  <c r="J124" i="14"/>
  <c r="H124" i="14"/>
  <c r="L123" i="14"/>
  <c r="K123" i="14"/>
  <c r="J123" i="14"/>
  <c r="H123" i="14"/>
  <c r="L122" i="14"/>
  <c r="K122" i="14"/>
  <c r="J122" i="14"/>
  <c r="H122" i="14"/>
  <c r="L121" i="14"/>
  <c r="K121" i="14"/>
  <c r="J121" i="14"/>
  <c r="H121" i="14"/>
  <c r="L120" i="14"/>
  <c r="K120" i="14"/>
  <c r="J120" i="14"/>
  <c r="H120" i="14"/>
  <c r="L119" i="14"/>
  <c r="K119" i="14"/>
  <c r="J119" i="14"/>
  <c r="H119" i="14"/>
  <c r="L118" i="14"/>
  <c r="K118" i="14"/>
  <c r="J118" i="14"/>
  <c r="H118" i="14"/>
  <c r="L117" i="14"/>
  <c r="K117" i="14"/>
  <c r="J117" i="14"/>
  <c r="H117" i="14"/>
  <c r="L116" i="14"/>
  <c r="K116" i="14"/>
  <c r="J116" i="14"/>
  <c r="H116" i="14"/>
  <c r="L115" i="14"/>
  <c r="K115" i="14"/>
  <c r="J115" i="14"/>
  <c r="H115" i="14"/>
  <c r="L114" i="14"/>
  <c r="K114" i="14"/>
  <c r="J114" i="14"/>
  <c r="H114" i="14"/>
  <c r="L113" i="14"/>
  <c r="K113" i="14"/>
  <c r="J113" i="14"/>
  <c r="H113" i="14"/>
  <c r="L112" i="14"/>
  <c r="K112" i="14"/>
  <c r="J112" i="14"/>
  <c r="H112" i="14"/>
  <c r="L111" i="14"/>
  <c r="K111" i="14"/>
  <c r="J111" i="14"/>
  <c r="H111" i="14"/>
  <c r="L110" i="14"/>
  <c r="K110" i="14"/>
  <c r="J110" i="14"/>
  <c r="H110" i="14"/>
  <c r="L109" i="14"/>
  <c r="K109" i="14"/>
  <c r="J109" i="14"/>
  <c r="H109" i="14"/>
  <c r="L108" i="14"/>
  <c r="K108" i="14"/>
  <c r="J108" i="14"/>
  <c r="H108" i="14"/>
  <c r="L107" i="14"/>
  <c r="K107" i="14"/>
  <c r="J107" i="14"/>
  <c r="H107" i="14"/>
  <c r="L106" i="14"/>
  <c r="K106" i="14"/>
  <c r="J106" i="14"/>
  <c r="H106" i="14"/>
  <c r="L105" i="14"/>
  <c r="K105" i="14"/>
  <c r="J105" i="14"/>
  <c r="H105" i="14"/>
  <c r="L104" i="14"/>
  <c r="K104" i="14"/>
  <c r="J104" i="14"/>
  <c r="H104" i="14"/>
  <c r="L103" i="14"/>
  <c r="K103" i="14"/>
  <c r="J103" i="14"/>
  <c r="H103" i="14"/>
  <c r="L102" i="14"/>
  <c r="K102" i="14"/>
  <c r="J102" i="14"/>
  <c r="H102" i="14"/>
  <c r="L101" i="14"/>
  <c r="K101" i="14"/>
  <c r="J101" i="14"/>
  <c r="H101" i="14"/>
  <c r="L100" i="14"/>
  <c r="K100" i="14"/>
  <c r="J100" i="14"/>
  <c r="H100" i="14"/>
  <c r="L99" i="14"/>
  <c r="K99" i="14"/>
  <c r="J99" i="14"/>
  <c r="H99" i="14"/>
  <c r="L98" i="14"/>
  <c r="K98" i="14"/>
  <c r="J98" i="14"/>
  <c r="H98" i="14"/>
  <c r="L97" i="14"/>
  <c r="K97" i="14"/>
  <c r="J97" i="14"/>
  <c r="H97" i="14"/>
  <c r="L96" i="14"/>
  <c r="K96" i="14"/>
  <c r="J96" i="14"/>
  <c r="H96" i="14"/>
  <c r="L95" i="14"/>
  <c r="K95" i="14"/>
  <c r="J95" i="14"/>
  <c r="H95" i="14"/>
  <c r="L94" i="14"/>
  <c r="K94" i="14"/>
  <c r="J94" i="14"/>
  <c r="H94" i="14"/>
  <c r="L93" i="14"/>
  <c r="K93" i="14"/>
  <c r="J93" i="14"/>
  <c r="H93" i="14"/>
  <c r="L92" i="14"/>
  <c r="K92" i="14"/>
  <c r="J92" i="14"/>
  <c r="H92" i="14"/>
  <c r="L91" i="14"/>
  <c r="K91" i="14"/>
  <c r="J91" i="14"/>
  <c r="H91" i="14"/>
  <c r="L90" i="14"/>
  <c r="K90" i="14"/>
  <c r="J90" i="14"/>
  <c r="H90" i="14"/>
  <c r="L89" i="14"/>
  <c r="K89" i="14"/>
  <c r="J89" i="14"/>
  <c r="H89" i="14"/>
  <c r="L88" i="14"/>
  <c r="K88" i="14"/>
  <c r="J88" i="14"/>
  <c r="H88" i="14"/>
  <c r="L87" i="14"/>
  <c r="K87" i="14"/>
  <c r="J87" i="14"/>
  <c r="H87" i="14"/>
  <c r="L86" i="14"/>
  <c r="K86" i="14"/>
  <c r="J86" i="14"/>
  <c r="H86" i="14"/>
  <c r="L85" i="14"/>
  <c r="K85" i="14"/>
  <c r="J85" i="14"/>
  <c r="H85" i="14"/>
  <c r="L84" i="14"/>
  <c r="K84" i="14"/>
  <c r="J84" i="14"/>
  <c r="H84" i="14"/>
  <c r="L83" i="14"/>
  <c r="K83" i="14"/>
  <c r="J83" i="14"/>
  <c r="H83" i="14"/>
  <c r="L82" i="14"/>
  <c r="K82" i="14"/>
  <c r="J82" i="14"/>
  <c r="H82" i="14"/>
  <c r="L81" i="14"/>
  <c r="K81" i="14"/>
  <c r="J81" i="14"/>
  <c r="H81" i="14"/>
  <c r="L80" i="14"/>
  <c r="K80" i="14"/>
  <c r="J80" i="14"/>
  <c r="H80" i="14"/>
  <c r="L79" i="14"/>
  <c r="K79" i="14"/>
  <c r="J79" i="14"/>
  <c r="H79" i="14"/>
  <c r="L78" i="14"/>
  <c r="K78" i="14"/>
  <c r="J78" i="14"/>
  <c r="H78" i="14"/>
  <c r="L77" i="14"/>
  <c r="K77" i="14"/>
  <c r="J77" i="14"/>
  <c r="H77" i="14"/>
  <c r="L76" i="14"/>
  <c r="K76" i="14"/>
  <c r="J76" i="14"/>
  <c r="H76" i="14"/>
  <c r="L75" i="14"/>
  <c r="K75" i="14"/>
  <c r="J75" i="14"/>
  <c r="H75" i="14"/>
  <c r="L74" i="14"/>
  <c r="K74" i="14"/>
  <c r="J74" i="14"/>
  <c r="H74" i="14"/>
  <c r="L73" i="14"/>
  <c r="K73" i="14"/>
  <c r="J73" i="14"/>
  <c r="H73" i="14"/>
  <c r="L72" i="14"/>
  <c r="K72" i="14"/>
  <c r="J72" i="14"/>
  <c r="H72" i="14"/>
  <c r="L71" i="14"/>
  <c r="K71" i="14"/>
  <c r="J71" i="14"/>
  <c r="H71" i="14"/>
  <c r="L70" i="14"/>
  <c r="K70" i="14"/>
  <c r="J70" i="14"/>
  <c r="H70" i="14"/>
  <c r="L69" i="14"/>
  <c r="K69" i="14"/>
  <c r="J69" i="14"/>
  <c r="H69" i="14"/>
  <c r="L68" i="14"/>
  <c r="K68" i="14"/>
  <c r="J68" i="14"/>
  <c r="H68" i="14"/>
  <c r="L67" i="14"/>
  <c r="K67" i="14"/>
  <c r="J67" i="14"/>
  <c r="H67" i="14"/>
  <c r="L66" i="14"/>
  <c r="K66" i="14"/>
  <c r="J66" i="14"/>
  <c r="H66" i="14"/>
  <c r="L65" i="14"/>
  <c r="K65" i="14"/>
  <c r="J65" i="14"/>
  <c r="H65" i="14"/>
  <c r="L64" i="14"/>
  <c r="K64" i="14"/>
  <c r="J64" i="14"/>
  <c r="H64" i="14"/>
  <c r="L63" i="14"/>
  <c r="K63" i="14"/>
  <c r="J63" i="14"/>
  <c r="H63" i="14"/>
  <c r="L62" i="14"/>
  <c r="K62" i="14"/>
  <c r="J62" i="14"/>
  <c r="H62" i="14"/>
  <c r="L61" i="14"/>
  <c r="K61" i="14"/>
  <c r="J61" i="14"/>
  <c r="H61" i="14"/>
  <c r="L60" i="14"/>
  <c r="K60" i="14"/>
  <c r="J60" i="14"/>
  <c r="H60" i="14"/>
  <c r="L59" i="14"/>
  <c r="K59" i="14"/>
  <c r="J59" i="14"/>
  <c r="H59" i="14"/>
  <c r="L58" i="14"/>
  <c r="K58" i="14"/>
  <c r="J58" i="14"/>
  <c r="H58" i="14"/>
  <c r="L57" i="14"/>
  <c r="K57" i="14"/>
  <c r="J57" i="14"/>
  <c r="H57" i="14"/>
  <c r="L56" i="14"/>
  <c r="K56" i="14"/>
  <c r="J56" i="14"/>
  <c r="H56" i="14"/>
  <c r="L55" i="14"/>
  <c r="K55" i="14"/>
  <c r="J55" i="14"/>
  <c r="H55" i="14"/>
  <c r="L54" i="14"/>
  <c r="K54" i="14"/>
  <c r="J54" i="14"/>
  <c r="H54" i="14"/>
  <c r="L53" i="14"/>
  <c r="K53" i="14"/>
  <c r="J53" i="14"/>
  <c r="H53" i="14"/>
  <c r="L52" i="14"/>
  <c r="K52" i="14"/>
  <c r="J52" i="14"/>
  <c r="H52" i="14"/>
  <c r="L51" i="14"/>
  <c r="K51" i="14"/>
  <c r="J51" i="14"/>
  <c r="H51" i="14"/>
  <c r="L50" i="14"/>
  <c r="K50" i="14"/>
  <c r="J50" i="14"/>
  <c r="H50" i="14"/>
  <c r="L49" i="14"/>
  <c r="K49" i="14"/>
  <c r="J49" i="14"/>
  <c r="H49" i="14"/>
  <c r="L48" i="14"/>
  <c r="K48" i="14"/>
  <c r="J48" i="14"/>
  <c r="H48" i="14"/>
  <c r="L47" i="14"/>
  <c r="K47" i="14"/>
  <c r="J47" i="14"/>
  <c r="H47" i="14"/>
  <c r="L46" i="14"/>
  <c r="K46" i="14"/>
  <c r="J46" i="14"/>
  <c r="H46" i="14"/>
  <c r="L45" i="14"/>
  <c r="K45" i="14"/>
  <c r="J45" i="14"/>
  <c r="H45" i="14"/>
  <c r="L44" i="14"/>
  <c r="K44" i="14"/>
  <c r="J44" i="14"/>
  <c r="H44" i="14"/>
  <c r="L43" i="14"/>
  <c r="K43" i="14"/>
  <c r="J43" i="14"/>
  <c r="H43" i="14"/>
  <c r="L42" i="14"/>
  <c r="K42" i="14"/>
  <c r="J42" i="14"/>
  <c r="H42" i="14"/>
  <c r="L41" i="14"/>
  <c r="K41" i="14"/>
  <c r="J41" i="14"/>
  <c r="H41" i="14"/>
  <c r="L40" i="14"/>
  <c r="K40" i="14"/>
  <c r="J40" i="14"/>
  <c r="H40" i="14"/>
  <c r="L39" i="14"/>
  <c r="K39" i="14"/>
  <c r="J39" i="14"/>
  <c r="H39" i="14"/>
  <c r="L38" i="14"/>
  <c r="K38" i="14"/>
  <c r="J38" i="14"/>
  <c r="H38" i="14"/>
  <c r="L37" i="14"/>
  <c r="K37" i="14"/>
  <c r="J37" i="14"/>
  <c r="H37" i="14"/>
  <c r="L36" i="14"/>
  <c r="K36" i="14"/>
  <c r="J36" i="14"/>
  <c r="H36" i="14"/>
  <c r="L35" i="14"/>
  <c r="K35" i="14"/>
  <c r="J35" i="14"/>
  <c r="H35" i="14"/>
  <c r="L34" i="14"/>
  <c r="K34" i="14"/>
  <c r="J34" i="14"/>
  <c r="H34" i="14"/>
  <c r="L33" i="14"/>
  <c r="K33" i="14"/>
  <c r="J33" i="14"/>
  <c r="H33" i="14"/>
  <c r="L32" i="14"/>
  <c r="K32" i="14"/>
  <c r="J32" i="14"/>
  <c r="H32" i="14"/>
  <c r="L31" i="14"/>
  <c r="K31" i="14"/>
  <c r="J31" i="14"/>
  <c r="H31" i="14"/>
  <c r="L30" i="14"/>
  <c r="K30" i="14"/>
  <c r="J30" i="14"/>
  <c r="H30" i="14"/>
  <c r="L29" i="14"/>
  <c r="K29" i="14"/>
  <c r="J29" i="14"/>
  <c r="H29" i="14"/>
  <c r="L28" i="14"/>
  <c r="K28" i="14"/>
  <c r="J28" i="14"/>
  <c r="H28" i="14"/>
  <c r="L27" i="14"/>
  <c r="K27" i="14"/>
  <c r="J27" i="14"/>
  <c r="H27" i="14"/>
  <c r="L26" i="14"/>
  <c r="K26" i="14"/>
  <c r="J26" i="14"/>
  <c r="H26" i="14"/>
  <c r="L25" i="14"/>
  <c r="K25" i="14"/>
  <c r="J25" i="14"/>
  <c r="H25" i="14"/>
  <c r="L24" i="14"/>
  <c r="K24" i="14"/>
  <c r="J24" i="14"/>
  <c r="H24" i="14"/>
  <c r="L23" i="14"/>
  <c r="K23" i="14"/>
  <c r="J23" i="14"/>
  <c r="H23" i="14"/>
  <c r="L22" i="14"/>
  <c r="K22" i="14"/>
  <c r="J22" i="14"/>
  <c r="H22" i="14"/>
  <c r="L21" i="14"/>
  <c r="K21" i="14"/>
  <c r="J21" i="14"/>
  <c r="H21" i="14"/>
  <c r="L20" i="14"/>
  <c r="K20" i="14"/>
  <c r="J20" i="14"/>
  <c r="H20" i="14"/>
  <c r="L19" i="14"/>
  <c r="K19" i="14"/>
  <c r="J19" i="14"/>
  <c r="H19" i="14"/>
  <c r="L18" i="14"/>
  <c r="K18" i="14"/>
  <c r="J18" i="14"/>
  <c r="H18" i="14"/>
  <c r="L17" i="14"/>
  <c r="K17" i="14"/>
  <c r="J17" i="14"/>
  <c r="H17" i="14"/>
  <c r="L16" i="14"/>
  <c r="K16" i="14"/>
  <c r="J16" i="14"/>
  <c r="H16" i="14"/>
  <c r="L15" i="14"/>
  <c r="K15" i="14"/>
  <c r="J15" i="14"/>
  <c r="H15" i="14"/>
  <c r="L14" i="14"/>
  <c r="K14" i="14"/>
  <c r="J14" i="14"/>
  <c r="H14" i="14"/>
  <c r="L13" i="14"/>
  <c r="K13" i="14"/>
  <c r="J13" i="14"/>
  <c r="H13" i="14"/>
  <c r="L12" i="14"/>
  <c r="K12" i="14"/>
  <c r="J12" i="14"/>
  <c r="H12" i="14"/>
  <c r="L11" i="14"/>
  <c r="K11" i="14"/>
  <c r="J11" i="14"/>
  <c r="H11" i="14"/>
  <c r="L10" i="14"/>
  <c r="K10" i="14"/>
  <c r="J10" i="14"/>
  <c r="H10" i="14"/>
  <c r="L9" i="14"/>
  <c r="K9" i="14"/>
  <c r="J9" i="14"/>
  <c r="H9" i="14"/>
  <c r="L8" i="14"/>
  <c r="K8" i="14"/>
  <c r="J8" i="14"/>
  <c r="H8" i="14"/>
  <c r="L7" i="14"/>
  <c r="K7" i="14"/>
  <c r="J7" i="14"/>
  <c r="H7" i="14"/>
  <c r="L6" i="14"/>
  <c r="K6" i="14"/>
  <c r="J6" i="14"/>
  <c r="H6" i="14"/>
  <c r="L5" i="14"/>
  <c r="K5" i="14"/>
  <c r="J5" i="14"/>
  <c r="H5" i="14"/>
  <c r="K4" i="14"/>
  <c r="J4" i="14"/>
  <c r="H4" i="14"/>
  <c r="L3" i="14"/>
  <c r="K3" i="14"/>
  <c r="J3" i="14"/>
  <c r="H3" i="14"/>
  <c r="L2" i="14"/>
  <c r="K2" i="14"/>
  <c r="J2" i="14"/>
  <c r="H2" i="14"/>
  <c r="W7" i="16"/>
  <c r="S7" i="16"/>
  <c r="O7" i="16"/>
  <c r="J7" i="16"/>
  <c r="J6" i="16"/>
  <c r="F6" i="16"/>
  <c r="B6" i="16"/>
  <c r="C174" i="15"/>
  <c r="B174" i="15"/>
  <c r="C173" i="15"/>
  <c r="B173" i="15"/>
  <c r="C172" i="15"/>
  <c r="B172" i="15"/>
  <c r="C171" i="15"/>
  <c r="B171" i="15"/>
  <c r="C170" i="15"/>
  <c r="B170" i="15"/>
  <c r="C169" i="15"/>
  <c r="B169" i="15"/>
  <c r="C168" i="15"/>
  <c r="B168" i="15"/>
  <c r="C167" i="15"/>
  <c r="B167" i="15"/>
  <c r="C166" i="15"/>
  <c r="B166" i="15"/>
  <c r="C165" i="15"/>
  <c r="B165" i="15"/>
  <c r="C164" i="15"/>
  <c r="B164" i="15"/>
  <c r="C163" i="15"/>
  <c r="B163" i="15"/>
  <c r="C162" i="15"/>
  <c r="B162" i="15"/>
  <c r="C161" i="15"/>
  <c r="B161" i="15"/>
  <c r="C160" i="15"/>
  <c r="B160" i="15"/>
  <c r="C159" i="15"/>
  <c r="B159" i="15"/>
  <c r="C158" i="15"/>
  <c r="B158" i="15"/>
  <c r="C157" i="15"/>
  <c r="B157" i="15"/>
  <c r="C156" i="15"/>
  <c r="B156" i="15"/>
  <c r="C155" i="15"/>
  <c r="B155" i="15"/>
  <c r="C154" i="15"/>
  <c r="B154" i="15"/>
  <c r="C153" i="15"/>
  <c r="B153" i="15"/>
  <c r="C152" i="15"/>
  <c r="B152" i="15"/>
  <c r="C151" i="15"/>
  <c r="B151" i="15"/>
  <c r="C150" i="15"/>
  <c r="B150" i="15"/>
  <c r="C149" i="15"/>
  <c r="B149" i="15"/>
  <c r="C148" i="15"/>
  <c r="B148" i="15"/>
  <c r="C147" i="15"/>
  <c r="B147" i="15"/>
  <c r="C146" i="15"/>
  <c r="B146" i="15"/>
  <c r="C145" i="15"/>
  <c r="B145" i="15"/>
  <c r="C144" i="15"/>
  <c r="B144" i="15"/>
  <c r="C143" i="15"/>
  <c r="B143" i="15"/>
  <c r="C142" i="15"/>
  <c r="B142" i="15"/>
  <c r="C141" i="15"/>
  <c r="B141" i="15"/>
  <c r="C140" i="15"/>
  <c r="B140" i="15"/>
  <c r="C139" i="15"/>
  <c r="B139" i="15"/>
  <c r="C138" i="15"/>
  <c r="B138" i="15"/>
  <c r="C137" i="15"/>
  <c r="B137" i="15"/>
  <c r="C136" i="15"/>
  <c r="B136" i="15"/>
  <c r="C135" i="15"/>
  <c r="B135" i="15"/>
  <c r="C134" i="15"/>
  <c r="B134" i="15"/>
  <c r="C133" i="15"/>
  <c r="B133" i="15"/>
  <c r="C132" i="15"/>
  <c r="B132" i="15"/>
  <c r="C131" i="15"/>
  <c r="B131" i="15"/>
  <c r="C130" i="15"/>
  <c r="B130" i="15"/>
  <c r="C129" i="15"/>
  <c r="B129" i="15"/>
  <c r="C128" i="15"/>
  <c r="B128" i="15"/>
  <c r="C127" i="15"/>
  <c r="B127" i="15"/>
  <c r="C126" i="15"/>
  <c r="B126" i="15"/>
  <c r="C125" i="15"/>
  <c r="B125" i="15"/>
  <c r="C124" i="15"/>
  <c r="B124" i="15"/>
  <c r="C123" i="15"/>
  <c r="B123" i="15"/>
  <c r="C122" i="15"/>
  <c r="B122" i="15"/>
  <c r="C121" i="15"/>
  <c r="B121" i="15"/>
  <c r="C120" i="15"/>
  <c r="B120" i="15"/>
  <c r="C119" i="15"/>
  <c r="B119" i="15"/>
  <c r="C118" i="15"/>
  <c r="B118" i="15"/>
  <c r="C117" i="15"/>
  <c r="B117" i="15"/>
  <c r="C116" i="15"/>
  <c r="B116" i="15"/>
  <c r="C115" i="15"/>
  <c r="B115" i="15"/>
  <c r="C114" i="15"/>
  <c r="B114" i="15"/>
  <c r="C113" i="15"/>
  <c r="B113" i="15"/>
  <c r="C112" i="15"/>
  <c r="B112" i="15"/>
  <c r="C111" i="15"/>
  <c r="B111" i="15"/>
  <c r="C110" i="15"/>
  <c r="B110" i="15"/>
  <c r="C109" i="15"/>
  <c r="B109" i="15"/>
  <c r="C108" i="15"/>
  <c r="B108" i="15"/>
  <c r="C107" i="15"/>
  <c r="B107" i="15"/>
  <c r="C106" i="15"/>
  <c r="B106" i="15"/>
  <c r="C105" i="15"/>
  <c r="B105" i="15"/>
  <c r="C104" i="15"/>
  <c r="B104" i="15"/>
  <c r="C103" i="15"/>
  <c r="B103" i="15"/>
  <c r="C102" i="15"/>
  <c r="B102" i="15"/>
  <c r="C101" i="15"/>
  <c r="B101" i="15"/>
  <c r="C100" i="15"/>
  <c r="B100" i="15"/>
  <c r="C99" i="15"/>
  <c r="B99" i="15"/>
  <c r="C98" i="15"/>
  <c r="B98" i="15"/>
  <c r="C97" i="15"/>
  <c r="B97" i="15"/>
  <c r="C96" i="15"/>
  <c r="B96" i="15"/>
  <c r="C95" i="15"/>
  <c r="B95" i="15"/>
  <c r="C94" i="15"/>
  <c r="B94" i="15"/>
  <c r="C93" i="15"/>
  <c r="B93" i="15"/>
  <c r="C92" i="15"/>
  <c r="B92" i="15"/>
  <c r="C91" i="15"/>
  <c r="B91" i="15"/>
  <c r="C90" i="15"/>
  <c r="B90" i="15"/>
  <c r="C89" i="15"/>
  <c r="B89" i="15"/>
  <c r="C88" i="15"/>
  <c r="B88" i="15"/>
  <c r="C87" i="15"/>
  <c r="B87" i="15"/>
  <c r="C86" i="15"/>
  <c r="B86" i="15"/>
  <c r="C85" i="15"/>
  <c r="B85" i="15"/>
  <c r="C84" i="15"/>
  <c r="B84" i="15"/>
  <c r="C83" i="15"/>
  <c r="B83" i="15"/>
  <c r="C82" i="15"/>
  <c r="B82" i="15"/>
  <c r="C81" i="15"/>
  <c r="B81" i="15"/>
  <c r="C80" i="15"/>
  <c r="B80" i="15"/>
  <c r="C79" i="15"/>
  <c r="B79" i="15"/>
  <c r="C78" i="15"/>
  <c r="B78" i="15"/>
  <c r="C77" i="15"/>
  <c r="B77" i="15"/>
  <c r="C76" i="15"/>
  <c r="B76" i="15"/>
  <c r="C75" i="15"/>
  <c r="B75" i="15"/>
  <c r="C74" i="15"/>
  <c r="B74" i="15"/>
  <c r="C73" i="15"/>
  <c r="B73" i="15"/>
  <c r="C72" i="15"/>
  <c r="B72" i="15"/>
  <c r="C71" i="15"/>
  <c r="B71" i="15"/>
  <c r="C70" i="15"/>
  <c r="B70" i="15"/>
  <c r="C69" i="15"/>
  <c r="B69" i="15"/>
  <c r="C68" i="15"/>
  <c r="B68" i="15"/>
  <c r="C67" i="15"/>
  <c r="B67" i="15"/>
  <c r="C66" i="15"/>
  <c r="B66" i="15"/>
  <c r="C65" i="15"/>
  <c r="B65" i="15"/>
  <c r="C64" i="15"/>
  <c r="B64" i="15"/>
  <c r="C63" i="15"/>
  <c r="B63" i="15"/>
  <c r="C62" i="15"/>
  <c r="B62" i="15"/>
  <c r="C61" i="15"/>
  <c r="B61" i="15"/>
  <c r="C60" i="15"/>
  <c r="B60" i="15"/>
  <c r="C59" i="15"/>
  <c r="B59" i="15"/>
  <c r="C58" i="15"/>
  <c r="B58" i="15"/>
  <c r="C57" i="15"/>
  <c r="B57" i="15"/>
  <c r="C56" i="15"/>
  <c r="B56" i="15"/>
  <c r="C55" i="15"/>
  <c r="B55" i="15"/>
  <c r="C54" i="15"/>
  <c r="B54" i="15"/>
  <c r="C53" i="15"/>
  <c r="B53" i="15"/>
  <c r="C52" i="15"/>
  <c r="B52" i="15"/>
  <c r="C51" i="15"/>
  <c r="B51" i="15"/>
  <c r="C50" i="15"/>
  <c r="B50" i="15"/>
  <c r="C49" i="15"/>
  <c r="B49" i="15"/>
  <c r="C48" i="15"/>
  <c r="B48" i="15"/>
  <c r="C47" i="15"/>
  <c r="B47" i="15"/>
  <c r="C46" i="15"/>
  <c r="B46" i="15"/>
  <c r="C45" i="15"/>
  <c r="B45" i="15"/>
  <c r="C44" i="15"/>
  <c r="B44" i="15"/>
  <c r="C43" i="15"/>
  <c r="B43" i="15"/>
  <c r="C42" i="15"/>
  <c r="B42" i="15"/>
  <c r="C41" i="15"/>
  <c r="B41" i="15"/>
  <c r="C40" i="15"/>
  <c r="B40" i="15"/>
  <c r="C39" i="15"/>
  <c r="B39" i="15"/>
  <c r="C38" i="15"/>
  <c r="B38" i="15"/>
  <c r="C37" i="15"/>
  <c r="B37" i="15"/>
  <c r="C36" i="15"/>
  <c r="B36" i="15"/>
  <c r="C35" i="15"/>
  <c r="B35" i="15"/>
  <c r="C34" i="15"/>
  <c r="B34" i="15"/>
  <c r="C33" i="15"/>
  <c r="B33" i="15"/>
  <c r="C32" i="15"/>
  <c r="B32" i="15"/>
  <c r="C31" i="15"/>
  <c r="B31" i="15"/>
  <c r="C30" i="15"/>
  <c r="B30" i="15"/>
  <c r="C29" i="15"/>
  <c r="B29" i="15"/>
  <c r="C28" i="15"/>
  <c r="B28" i="15"/>
  <c r="C27" i="15"/>
  <c r="B27" i="15"/>
  <c r="C26" i="15"/>
  <c r="B26" i="15"/>
  <c r="O25" i="15"/>
  <c r="C25" i="15"/>
  <c r="B25" i="15"/>
  <c r="O24" i="15"/>
  <c r="C24" i="15"/>
  <c r="B24" i="15"/>
  <c r="O23" i="15"/>
  <c r="C23" i="15"/>
  <c r="B23" i="15"/>
  <c r="O22" i="15"/>
  <c r="C22" i="15"/>
  <c r="B22" i="15"/>
  <c r="O21" i="15"/>
  <c r="C21" i="15"/>
  <c r="B21" i="15"/>
  <c r="O20" i="15"/>
  <c r="C20" i="15"/>
  <c r="B20" i="15"/>
  <c r="O19" i="15"/>
  <c r="C19" i="15"/>
  <c r="B19" i="15"/>
  <c r="O18" i="15"/>
  <c r="C18" i="15"/>
  <c r="B18" i="15"/>
  <c r="O17" i="15"/>
  <c r="C17" i="15"/>
  <c r="B17" i="15"/>
  <c r="O16" i="15"/>
  <c r="C16" i="15"/>
  <c r="B16" i="15"/>
  <c r="O15" i="15"/>
  <c r="C15" i="15"/>
  <c r="B15" i="15"/>
  <c r="O14" i="15"/>
  <c r="C14" i="15"/>
  <c r="B14" i="15"/>
  <c r="O13" i="15"/>
  <c r="C13" i="15"/>
  <c r="B13" i="15"/>
  <c r="O12" i="15"/>
  <c r="C12" i="15"/>
  <c r="B12" i="15"/>
  <c r="O11" i="15"/>
  <c r="C11" i="15"/>
  <c r="B11" i="15"/>
  <c r="O10" i="15"/>
  <c r="C10" i="15"/>
  <c r="B10" i="15"/>
  <c r="O9" i="15"/>
  <c r="C9" i="15"/>
  <c r="B9" i="15"/>
  <c r="O8" i="15"/>
  <c r="C8" i="15"/>
  <c r="B8" i="15"/>
  <c r="O7" i="15"/>
  <c r="C7" i="15"/>
  <c r="B7" i="15"/>
  <c r="O6" i="15"/>
  <c r="C6" i="15"/>
  <c r="B6" i="15"/>
  <c r="O5" i="15"/>
  <c r="C5" i="15"/>
  <c r="B5" i="15"/>
  <c r="O4" i="15"/>
  <c r="C4" i="15"/>
  <c r="B4" i="15"/>
  <c r="O3" i="15"/>
  <c r="C3" i="15"/>
  <c r="B3" i="15"/>
  <c r="O2" i="15"/>
  <c r="C2" i="15"/>
  <c r="B2" i="15"/>
  <c r="K23" i="10"/>
  <c r="L23" i="10" s="1"/>
  <c r="B23" i="10"/>
  <c r="M22" i="10"/>
  <c r="N22" i="10" s="1"/>
  <c r="B22" i="10"/>
  <c r="M21" i="10"/>
  <c r="N21" i="10" s="1"/>
  <c r="T21" i="10" s="1"/>
  <c r="B21" i="10"/>
  <c r="M20" i="10"/>
  <c r="N20" i="10" s="1"/>
  <c r="T20" i="10" s="1"/>
  <c r="B20" i="10"/>
  <c r="M19" i="10"/>
  <c r="N19" i="10" s="1"/>
  <c r="T19" i="10" s="1"/>
  <c r="B19" i="10"/>
  <c r="M18" i="10"/>
  <c r="N18" i="10" s="1"/>
  <c r="T18" i="10" s="1"/>
  <c r="B18" i="10"/>
  <c r="P17" i="10"/>
  <c r="T17" i="10" s="1"/>
  <c r="M17" i="10"/>
  <c r="B17" i="10"/>
  <c r="M16" i="10"/>
  <c r="N16" i="10" s="1"/>
  <c r="B16" i="10"/>
  <c r="M15" i="10"/>
  <c r="N15" i="10" s="1"/>
  <c r="T15" i="10" s="1"/>
  <c r="B15" i="10"/>
  <c r="M14" i="10"/>
  <c r="N14" i="10" s="1"/>
  <c r="B14" i="10"/>
  <c r="M13" i="10"/>
  <c r="N13" i="10" s="1"/>
  <c r="T13" i="10" s="1"/>
  <c r="B13" i="10"/>
  <c r="M12" i="10"/>
  <c r="N12" i="10" s="1"/>
  <c r="T12" i="10" s="1"/>
  <c r="B12" i="10"/>
  <c r="M11" i="10"/>
  <c r="N11" i="10" s="1"/>
  <c r="B11" i="10"/>
  <c r="L10" i="10"/>
  <c r="M10" i="10" s="1"/>
  <c r="N10" i="10" s="1"/>
  <c r="B10" i="10"/>
  <c r="M9" i="10"/>
  <c r="N9" i="10" s="1"/>
  <c r="B9" i="10"/>
  <c r="Q8" i="10"/>
  <c r="M8" i="10"/>
  <c r="N8" i="10" s="1"/>
  <c r="B8" i="10"/>
  <c r="A8" i="10"/>
  <c r="Q7" i="10"/>
  <c r="M7" i="10"/>
  <c r="N7" i="10" s="1"/>
  <c r="T7" i="10" s="1"/>
  <c r="B7" i="10"/>
  <c r="A7" i="10"/>
  <c r="T6" i="10"/>
  <c r="Q6" i="10"/>
  <c r="B6" i="10"/>
  <c r="A6" i="10"/>
  <c r="R5" i="10"/>
  <c r="Q5" i="10"/>
  <c r="M5" i="10"/>
  <c r="N5" i="10" s="1"/>
  <c r="T5" i="10" s="1"/>
  <c r="B5" i="10"/>
  <c r="A5" i="10"/>
  <c r="R4" i="10"/>
  <c r="Q4" i="10"/>
  <c r="M4" i="10"/>
  <c r="N4" i="10" s="1"/>
  <c r="T4" i="10" s="1"/>
  <c r="B4" i="10"/>
  <c r="A4" i="10"/>
  <c r="R3" i="10"/>
  <c r="Q3" i="10"/>
  <c r="M3" i="10"/>
  <c r="N3" i="10" s="1"/>
  <c r="B3" i="10"/>
  <c r="A3" i="10"/>
  <c r="T2" i="10"/>
  <c r="R2" i="10"/>
  <c r="Q2" i="10"/>
  <c r="M2" i="10"/>
  <c r="B2" i="10"/>
  <c r="A2" i="10"/>
  <c r="E74" i="11"/>
  <c r="L50" i="11"/>
  <c r="N50" i="11" s="1"/>
  <c r="N49" i="11"/>
  <c r="L48" i="11"/>
  <c r="N48" i="11" s="1"/>
  <c r="O47" i="11"/>
  <c r="P47" i="11" s="1"/>
  <c r="U47" i="11" s="1"/>
  <c r="O46" i="11"/>
  <c r="P46" i="11" s="1"/>
  <c r="O45" i="11"/>
  <c r="P45" i="11" s="1"/>
  <c r="O44" i="11"/>
  <c r="P44" i="11" s="1"/>
  <c r="O43" i="11"/>
  <c r="P43" i="11" s="1"/>
  <c r="U43" i="11" s="1"/>
  <c r="N42" i="11"/>
  <c r="K42" i="11"/>
  <c r="N41" i="11"/>
  <c r="N40" i="11"/>
  <c r="O40" i="11" s="1"/>
  <c r="P40" i="11" s="1"/>
  <c r="U40" i="11" s="1"/>
  <c r="K40" i="11"/>
  <c r="N39" i="11"/>
  <c r="O39" i="11" s="1"/>
  <c r="P39" i="11" s="1"/>
  <c r="U39" i="11" s="1"/>
  <c r="O38" i="11"/>
  <c r="P38" i="11" s="1"/>
  <c r="U38" i="11" s="1"/>
  <c r="K38" i="11"/>
  <c r="O37" i="11"/>
  <c r="P37" i="11" s="1"/>
  <c r="N36" i="11"/>
  <c r="O36" i="11" s="1"/>
  <c r="P36" i="11" s="1"/>
  <c r="U36" i="11" s="1"/>
  <c r="K36" i="11"/>
  <c r="U35" i="11"/>
  <c r="N35" i="11"/>
  <c r="O35" i="11" s="1"/>
  <c r="O34" i="11"/>
  <c r="P34" i="11" s="1"/>
  <c r="U34" i="11" s="1"/>
  <c r="K34" i="11"/>
  <c r="O33" i="11"/>
  <c r="P33" i="11" s="1"/>
  <c r="U33" i="11" s="1"/>
  <c r="O32" i="11"/>
  <c r="P32" i="11" s="1"/>
  <c r="K32" i="11"/>
  <c r="O31" i="11"/>
  <c r="P31" i="11" s="1"/>
  <c r="O30" i="11"/>
  <c r="P30" i="11" s="1"/>
  <c r="Q30" i="11" s="1"/>
  <c r="K30" i="11"/>
  <c r="N29" i="11"/>
  <c r="O29" i="11" s="1"/>
  <c r="K29" i="11"/>
  <c r="N28" i="11"/>
  <c r="O28" i="11" s="1"/>
  <c r="K28" i="11"/>
  <c r="U27" i="11"/>
  <c r="N26" i="11"/>
  <c r="K26" i="11"/>
  <c r="N25" i="11"/>
  <c r="K25" i="11"/>
  <c r="N24" i="11"/>
  <c r="K24" i="11"/>
  <c r="N23" i="11"/>
  <c r="O23" i="11" s="1"/>
  <c r="P23" i="11" s="1"/>
  <c r="L22" i="11"/>
  <c r="N22" i="11" s="1"/>
  <c r="L21" i="11"/>
  <c r="N21" i="11" s="1"/>
  <c r="N20" i="11"/>
  <c r="O20" i="11" s="1"/>
  <c r="P20" i="11" s="1"/>
  <c r="N19" i="11"/>
  <c r="O19" i="11" s="1"/>
  <c r="A19" i="11"/>
  <c r="N18" i="11"/>
  <c r="O18" i="11" s="1"/>
  <c r="P18" i="11" s="1"/>
  <c r="A18" i="11"/>
  <c r="L17" i="11"/>
  <c r="N17" i="11" s="1"/>
  <c r="O17" i="11" s="1"/>
  <c r="P17" i="11" s="1"/>
  <c r="A17" i="11"/>
  <c r="R16" i="11"/>
  <c r="N16" i="11"/>
  <c r="J16" i="11"/>
  <c r="A16" i="11"/>
  <c r="R15" i="11"/>
  <c r="N15" i="11"/>
  <c r="I15" i="11"/>
  <c r="A15" i="11"/>
  <c r="U14" i="11"/>
  <c r="R14" i="11"/>
  <c r="I14" i="11"/>
  <c r="A14" i="11"/>
  <c r="N13" i="11"/>
  <c r="O13" i="11" s="1"/>
  <c r="J13" i="11"/>
  <c r="A13" i="11"/>
  <c r="R12" i="11"/>
  <c r="N12" i="11"/>
  <c r="I12" i="11"/>
  <c r="A12" i="11"/>
  <c r="R11" i="11"/>
  <c r="N11" i="11"/>
  <c r="O11" i="11" s="1"/>
  <c r="J11" i="11"/>
  <c r="A11" i="11"/>
  <c r="R10" i="11"/>
  <c r="N10" i="11"/>
  <c r="I10" i="11"/>
  <c r="R9" i="11"/>
  <c r="N9" i="11"/>
  <c r="I9" i="11"/>
  <c r="A9" i="11"/>
  <c r="R8" i="11"/>
  <c r="N8" i="11"/>
  <c r="J8" i="11"/>
  <c r="R7" i="11"/>
  <c r="N7" i="11"/>
  <c r="O7" i="11" s="1"/>
  <c r="I7" i="11"/>
  <c r="A7" i="11"/>
  <c r="R6" i="11"/>
  <c r="N6" i="11"/>
  <c r="J6" i="11"/>
  <c r="A6" i="11"/>
  <c r="N5" i="11"/>
  <c r="J5" i="11"/>
  <c r="A5" i="11"/>
  <c r="N4" i="11"/>
  <c r="J4" i="11"/>
  <c r="A4" i="11"/>
  <c r="M161" i="7"/>
  <c r="N161" i="7" s="1"/>
  <c r="C161" i="7"/>
  <c r="M158" i="7"/>
  <c r="N158" i="7" s="1"/>
  <c r="C158" i="7"/>
  <c r="M157" i="7"/>
  <c r="N157" i="7" s="1"/>
  <c r="C157" i="7"/>
  <c r="M156" i="7"/>
  <c r="N156" i="7" s="1"/>
  <c r="C156" i="7"/>
  <c r="M155" i="7"/>
  <c r="N155" i="7" s="1"/>
  <c r="C155" i="7"/>
  <c r="N154" i="7"/>
  <c r="O154" i="7" s="1"/>
  <c r="C154" i="7"/>
  <c r="N151" i="7"/>
  <c r="O151" i="7" s="1"/>
  <c r="P151" i="7" s="1"/>
  <c r="U151" i="7" s="1"/>
  <c r="C151" i="7"/>
  <c r="N150" i="7"/>
  <c r="O150" i="7" s="1"/>
  <c r="C150" i="7"/>
  <c r="N149" i="7"/>
  <c r="O149" i="7" s="1"/>
  <c r="C149" i="7"/>
  <c r="N148" i="7"/>
  <c r="C148" i="7"/>
  <c r="N147" i="7"/>
  <c r="O147" i="7" s="1"/>
  <c r="C147" i="7"/>
  <c r="N146" i="7"/>
  <c r="C146" i="7"/>
  <c r="N145" i="7"/>
  <c r="O145" i="7" s="1"/>
  <c r="P145" i="7" s="1"/>
  <c r="U145" i="7" s="1"/>
  <c r="C145" i="7"/>
  <c r="N144" i="7"/>
  <c r="O144" i="7" s="1"/>
  <c r="C144" i="7"/>
  <c r="N143" i="7"/>
  <c r="O143" i="7" s="1"/>
  <c r="C143" i="7"/>
  <c r="N142" i="7"/>
  <c r="C142" i="7"/>
  <c r="N141" i="7"/>
  <c r="C141" i="7"/>
  <c r="N140" i="7"/>
  <c r="O140" i="7" s="1"/>
  <c r="P140" i="7" s="1"/>
  <c r="U140" i="7" s="1"/>
  <c r="C140" i="7"/>
  <c r="N139" i="7"/>
  <c r="O139" i="7" s="1"/>
  <c r="P139" i="7" s="1"/>
  <c r="R261" i="7" s="1"/>
  <c r="C139" i="7"/>
  <c r="N138" i="7"/>
  <c r="C138" i="7"/>
  <c r="N137" i="7"/>
  <c r="O137" i="7" s="1"/>
  <c r="P137" i="7" s="1"/>
  <c r="U137" i="7" s="1"/>
  <c r="C137" i="7"/>
  <c r="N136" i="7"/>
  <c r="C136" i="7"/>
  <c r="N135" i="7"/>
  <c r="C135" i="7"/>
  <c r="N134" i="7"/>
  <c r="C134" i="7"/>
  <c r="N133" i="7"/>
  <c r="C133" i="7"/>
  <c r="N132" i="7"/>
  <c r="O132" i="7" s="1"/>
  <c r="P132" i="7" s="1"/>
  <c r="U132" i="7" s="1"/>
  <c r="C132" i="7"/>
  <c r="N131" i="7"/>
  <c r="O131" i="7" s="1"/>
  <c r="C131" i="7"/>
  <c r="N130" i="7"/>
  <c r="O130" i="7" s="1"/>
  <c r="C130" i="7"/>
  <c r="N129" i="7"/>
  <c r="O129" i="7" s="1"/>
  <c r="C129" i="7"/>
  <c r="N128" i="7"/>
  <c r="O128" i="7" s="1"/>
  <c r="P128" i="7" s="1"/>
  <c r="U128" i="7" s="1"/>
  <c r="C128" i="7"/>
  <c r="N127" i="7"/>
  <c r="O127" i="7" s="1"/>
  <c r="P127" i="7" s="1"/>
  <c r="U127" i="7" s="1"/>
  <c r="C127" i="7"/>
  <c r="N126" i="7"/>
  <c r="C126" i="7"/>
  <c r="N125" i="7"/>
  <c r="C125" i="7"/>
  <c r="N124" i="7"/>
  <c r="C124" i="7"/>
  <c r="N123" i="7"/>
  <c r="C123" i="7"/>
  <c r="N122" i="7"/>
  <c r="C122" i="7"/>
  <c r="N121" i="7"/>
  <c r="O121" i="7" s="1"/>
  <c r="C121" i="7"/>
  <c r="N120" i="7"/>
  <c r="O120" i="7" s="1"/>
  <c r="P120" i="7" s="1"/>
  <c r="U120" i="7" s="1"/>
  <c r="C120" i="7"/>
  <c r="N119" i="7"/>
  <c r="C119" i="7"/>
  <c r="N118" i="7"/>
  <c r="C118" i="7"/>
  <c r="N117" i="7"/>
  <c r="C117" i="7"/>
  <c r="N116" i="7"/>
  <c r="C116" i="7"/>
  <c r="N115" i="7"/>
  <c r="C115" i="7"/>
  <c r="N114" i="7"/>
  <c r="C114" i="7"/>
  <c r="N113" i="7"/>
  <c r="O113" i="7" s="1"/>
  <c r="P113" i="7" s="1"/>
  <c r="U113" i="7" s="1"/>
  <c r="C113" i="7"/>
  <c r="N112" i="7"/>
  <c r="C112" i="7"/>
  <c r="N111" i="7"/>
  <c r="C111" i="7"/>
  <c r="N110" i="7"/>
  <c r="C110" i="7"/>
  <c r="N109" i="7"/>
  <c r="C109" i="7"/>
  <c r="N108" i="7"/>
  <c r="O108" i="7" s="1"/>
  <c r="P108" i="7" s="1"/>
  <c r="U108" i="7" s="1"/>
  <c r="C108" i="7"/>
  <c r="N107" i="7"/>
  <c r="O107" i="7" s="1"/>
  <c r="C107" i="7"/>
  <c r="N106" i="7"/>
  <c r="O106" i="7" s="1"/>
  <c r="C106" i="7"/>
  <c r="N105" i="7"/>
  <c r="O105" i="7" s="1"/>
  <c r="C105" i="7"/>
  <c r="N104" i="7"/>
  <c r="O104" i="7" s="1"/>
  <c r="P104" i="7" s="1"/>
  <c r="U104" i="7" s="1"/>
  <c r="C104" i="7"/>
  <c r="N103" i="7"/>
  <c r="O103" i="7" s="1"/>
  <c r="C103" i="7"/>
  <c r="N102" i="7"/>
  <c r="C102" i="7"/>
  <c r="N101" i="7"/>
  <c r="O101" i="7" s="1"/>
  <c r="P101" i="7" s="1"/>
  <c r="Q101" i="7" s="1"/>
  <c r="C101" i="7"/>
  <c r="N100" i="7"/>
  <c r="C100" i="7"/>
  <c r="N99" i="7"/>
  <c r="O99" i="7" s="1"/>
  <c r="C99" i="7"/>
  <c r="N98" i="7"/>
  <c r="O98" i="7" s="1"/>
  <c r="C98" i="7"/>
  <c r="N97" i="7"/>
  <c r="C97" i="7"/>
  <c r="N96" i="7"/>
  <c r="O96" i="7" s="1"/>
  <c r="C96" i="7"/>
  <c r="N95" i="7"/>
  <c r="O95" i="7" s="1"/>
  <c r="P95" i="7" s="1"/>
  <c r="C95" i="7"/>
  <c r="N94" i="7"/>
  <c r="O94" i="7" s="1"/>
  <c r="P94" i="7" s="1"/>
  <c r="C94" i="7"/>
  <c r="N93" i="7"/>
  <c r="C93" i="7"/>
  <c r="N92" i="7"/>
  <c r="C92" i="7"/>
  <c r="N91" i="7"/>
  <c r="C91" i="7"/>
  <c r="N90" i="7"/>
  <c r="O90" i="7" s="1"/>
  <c r="C90" i="7"/>
  <c r="N89" i="7"/>
  <c r="C89" i="7"/>
  <c r="N88" i="7"/>
  <c r="O88" i="7" s="1"/>
  <c r="P88" i="7" s="1"/>
  <c r="U88" i="7" s="1"/>
  <c r="C88" i="7"/>
  <c r="N87" i="7"/>
  <c r="C87" i="7"/>
  <c r="N86" i="7"/>
  <c r="O86" i="7" s="1"/>
  <c r="P86" i="7" s="1"/>
  <c r="U86" i="7" s="1"/>
  <c r="C86" i="7"/>
  <c r="N85" i="7"/>
  <c r="C85" i="7"/>
  <c r="N84" i="7"/>
  <c r="C84" i="7"/>
  <c r="N83" i="7"/>
  <c r="C83" i="7"/>
  <c r="N82" i="7"/>
  <c r="O82" i="7" s="1"/>
  <c r="P82" i="7" s="1"/>
  <c r="U82" i="7" s="1"/>
  <c r="C82" i="7"/>
  <c r="N81" i="7"/>
  <c r="O81" i="7" s="1"/>
  <c r="P81" i="7" s="1"/>
  <c r="U81" i="7" s="1"/>
  <c r="C81" i="7"/>
  <c r="N80" i="7"/>
  <c r="C80" i="7"/>
  <c r="N79" i="7"/>
  <c r="C79" i="7"/>
  <c r="N78" i="7"/>
  <c r="C78" i="7"/>
  <c r="N77" i="7"/>
  <c r="C77" i="7"/>
  <c r="N76" i="7"/>
  <c r="O76" i="7" s="1"/>
  <c r="P76" i="7" s="1"/>
  <c r="U76" i="7" s="1"/>
  <c r="C76" i="7"/>
  <c r="N75" i="7"/>
  <c r="C75" i="7"/>
  <c r="N74" i="7"/>
  <c r="O74" i="7" s="1"/>
  <c r="P74" i="7" s="1"/>
  <c r="U74" i="7" s="1"/>
  <c r="C74" i="7"/>
  <c r="N73" i="7"/>
  <c r="C73" i="7"/>
  <c r="O72" i="7"/>
  <c r="P72" i="7" s="1"/>
  <c r="U72" i="7" s="1"/>
  <c r="C72" i="7"/>
  <c r="N71" i="7"/>
  <c r="O71" i="7" s="1"/>
  <c r="P71" i="7" s="1"/>
  <c r="U71" i="7" s="1"/>
  <c r="C71" i="7"/>
  <c r="N70" i="7"/>
  <c r="O70" i="7" s="1"/>
  <c r="C70" i="7"/>
  <c r="N69" i="7"/>
  <c r="C69" i="7"/>
  <c r="N68" i="7"/>
  <c r="C68" i="7"/>
  <c r="R67" i="7"/>
  <c r="N67" i="7"/>
  <c r="O67" i="7" s="1"/>
  <c r="P67" i="7" s="1"/>
  <c r="U67" i="7" s="1"/>
  <c r="C67" i="7"/>
  <c r="R66" i="7"/>
  <c r="N66" i="7"/>
  <c r="C66" i="7"/>
  <c r="R65" i="7"/>
  <c r="N65" i="7"/>
  <c r="C65" i="7"/>
  <c r="N64" i="7"/>
  <c r="C64" i="7"/>
  <c r="B64" i="7"/>
  <c r="R63" i="7"/>
  <c r="N63" i="7"/>
  <c r="C63" i="7"/>
  <c r="B63" i="7"/>
  <c r="N62" i="7"/>
  <c r="C62" i="7"/>
  <c r="B62" i="7"/>
  <c r="N61" i="7"/>
  <c r="C61" i="7"/>
  <c r="B61" i="7"/>
  <c r="N60" i="7"/>
  <c r="C60" i="7"/>
  <c r="B60" i="7"/>
  <c r="N59" i="7"/>
  <c r="O59" i="7" s="1"/>
  <c r="P59" i="7" s="1"/>
  <c r="U59" i="7" s="1"/>
  <c r="C59" i="7"/>
  <c r="B59" i="7"/>
  <c r="N58" i="7"/>
  <c r="C58" i="7"/>
  <c r="B58" i="7"/>
  <c r="N57" i="7"/>
  <c r="O57" i="7" s="1"/>
  <c r="P57" i="7" s="1"/>
  <c r="U57" i="7" s="1"/>
  <c r="C57" i="7"/>
  <c r="B57" i="7"/>
  <c r="O56" i="7"/>
  <c r="P56" i="7" s="1"/>
  <c r="U56" i="7" s="1"/>
  <c r="C56" i="7"/>
  <c r="O55" i="7"/>
  <c r="P55" i="7" s="1"/>
  <c r="U55" i="7" s="1"/>
  <c r="C55" i="7"/>
  <c r="B55" i="7"/>
  <c r="O54" i="7"/>
  <c r="P54" i="7" s="1"/>
  <c r="U54" i="7" s="1"/>
  <c r="C54" i="7"/>
  <c r="O53" i="7"/>
  <c r="P53" i="7" s="1"/>
  <c r="U53" i="7" s="1"/>
  <c r="C53" i="7"/>
  <c r="B53" i="7"/>
  <c r="O52" i="7"/>
  <c r="P52" i="7" s="1"/>
  <c r="U52" i="7" s="1"/>
  <c r="C52" i="7"/>
  <c r="O51" i="7"/>
  <c r="P51" i="7" s="1"/>
  <c r="U51" i="7" s="1"/>
  <c r="C51" i="7"/>
  <c r="B51" i="7"/>
  <c r="O50" i="7"/>
  <c r="P50" i="7" s="1"/>
  <c r="U50" i="7" s="1"/>
  <c r="C50" i="7"/>
  <c r="N49" i="7"/>
  <c r="C49" i="7"/>
  <c r="B49" i="7"/>
  <c r="O48" i="7"/>
  <c r="P48" i="7" s="1"/>
  <c r="U48" i="7" s="1"/>
  <c r="C48" i="7"/>
  <c r="N47" i="7"/>
  <c r="C47" i="7"/>
  <c r="B47" i="7"/>
  <c r="N46" i="7"/>
  <c r="C46" i="7"/>
  <c r="B46" i="7"/>
  <c r="U45" i="7"/>
  <c r="R45" i="7"/>
  <c r="C45" i="7"/>
  <c r="B45" i="7"/>
  <c r="S44" i="7"/>
  <c r="R44" i="7"/>
  <c r="N44" i="7"/>
  <c r="C44" i="7"/>
  <c r="B44" i="7"/>
  <c r="O43" i="7"/>
  <c r="P43" i="7" s="1"/>
  <c r="U43" i="7" s="1"/>
  <c r="C43" i="7"/>
  <c r="O42" i="7"/>
  <c r="P42" i="7" s="1"/>
  <c r="U42" i="7" s="1"/>
  <c r="C42" i="7"/>
  <c r="O41" i="7"/>
  <c r="P41" i="7" s="1"/>
  <c r="U41" i="7" s="1"/>
  <c r="C41" i="7"/>
  <c r="S40" i="7"/>
  <c r="R40" i="7"/>
  <c r="O40" i="7"/>
  <c r="P40" i="7" s="1"/>
  <c r="U40" i="7" s="1"/>
  <c r="C40" i="7"/>
  <c r="N39" i="7"/>
  <c r="C39" i="7"/>
  <c r="B39" i="7"/>
  <c r="N38" i="7"/>
  <c r="C38" i="7"/>
  <c r="B38" i="7"/>
  <c r="N37" i="7"/>
  <c r="C37" i="7"/>
  <c r="B37" i="7"/>
  <c r="N36" i="7"/>
  <c r="O36" i="7" s="1"/>
  <c r="C36" i="7"/>
  <c r="B36" i="7"/>
  <c r="S35" i="7"/>
  <c r="R35" i="7"/>
  <c r="N35" i="7"/>
  <c r="C35" i="7"/>
  <c r="B35" i="7"/>
  <c r="O34" i="7"/>
  <c r="P34" i="7" s="1"/>
  <c r="U34" i="7" s="1"/>
  <c r="C34" i="7"/>
  <c r="S33" i="7"/>
  <c r="R33" i="7"/>
  <c r="O33" i="7"/>
  <c r="P33" i="7" s="1"/>
  <c r="U33" i="7" s="1"/>
  <c r="C33" i="7"/>
  <c r="O32" i="7"/>
  <c r="P32" i="7" s="1"/>
  <c r="U32" i="7" s="1"/>
  <c r="C32" i="7"/>
  <c r="O31" i="7"/>
  <c r="P31" i="7" s="1"/>
  <c r="U31" i="7" s="1"/>
  <c r="C31" i="7"/>
  <c r="O30" i="7"/>
  <c r="P30" i="7" s="1"/>
  <c r="U30" i="7" s="1"/>
  <c r="C30" i="7"/>
  <c r="N29" i="7"/>
  <c r="O29" i="7" s="1"/>
  <c r="P29" i="7" s="1"/>
  <c r="U29" i="7" s="1"/>
  <c r="C29" i="7"/>
  <c r="B29" i="7"/>
  <c r="N28" i="7"/>
  <c r="C28" i="7"/>
  <c r="B28" i="7"/>
  <c r="N27" i="7"/>
  <c r="C27" i="7"/>
  <c r="B27" i="7"/>
  <c r="O26" i="7"/>
  <c r="P26" i="7" s="1"/>
  <c r="U26" i="7" s="1"/>
  <c r="B26" i="7"/>
  <c r="N25" i="7"/>
  <c r="C25" i="7"/>
  <c r="B25" i="7"/>
  <c r="S24" i="7"/>
  <c r="R24" i="7"/>
  <c r="N24" i="7"/>
  <c r="C24" i="7"/>
  <c r="B24" i="7"/>
  <c r="U23" i="7"/>
  <c r="C23" i="7"/>
  <c r="B23" i="7"/>
  <c r="N22" i="7"/>
  <c r="O22" i="7" s="1"/>
  <c r="P22" i="7" s="1"/>
  <c r="U22" i="7" s="1"/>
  <c r="C22" i="7"/>
  <c r="B22" i="7"/>
  <c r="N21" i="7"/>
  <c r="C21" i="7"/>
  <c r="B21" i="7"/>
  <c r="N20" i="7"/>
  <c r="O20" i="7" s="1"/>
  <c r="P20" i="7" s="1"/>
  <c r="U20" i="7" s="1"/>
  <c r="C20" i="7"/>
  <c r="B20" i="7"/>
  <c r="N19" i="7"/>
  <c r="C19" i="7"/>
  <c r="B19" i="7"/>
  <c r="N18" i="7"/>
  <c r="O18" i="7" s="1"/>
  <c r="P18" i="7" s="1"/>
  <c r="U18" i="7" s="1"/>
  <c r="C18" i="7"/>
  <c r="B18" i="7"/>
  <c r="N17" i="7"/>
  <c r="O17" i="7" s="1"/>
  <c r="P17" i="7" s="1"/>
  <c r="U17" i="7" s="1"/>
  <c r="C17" i="7"/>
  <c r="B17" i="7"/>
  <c r="U16" i="7"/>
  <c r="C16" i="7"/>
  <c r="B16" i="7"/>
  <c r="N15" i="7"/>
  <c r="C15" i="7"/>
  <c r="B15" i="7"/>
  <c r="S14" i="7"/>
  <c r="R14" i="7"/>
  <c r="N14" i="7"/>
  <c r="O14" i="7" s="1"/>
  <c r="P14" i="7" s="1"/>
  <c r="U14" i="7" s="1"/>
  <c r="C14" i="7"/>
  <c r="B14" i="7"/>
  <c r="N13" i="7"/>
  <c r="C13" i="7"/>
  <c r="B13" i="7"/>
  <c r="N12" i="7"/>
  <c r="O12" i="7" s="1"/>
  <c r="P12" i="7" s="1"/>
  <c r="U12" i="7" s="1"/>
  <c r="C12" i="7"/>
  <c r="B12" i="7"/>
  <c r="N11" i="7"/>
  <c r="C11" i="7"/>
  <c r="B11" i="7"/>
  <c r="N10" i="7"/>
  <c r="O10" i="7" s="1"/>
  <c r="P10" i="7" s="1"/>
  <c r="C10" i="7"/>
  <c r="B10" i="7"/>
  <c r="S9" i="7"/>
  <c r="R9" i="7"/>
  <c r="N9" i="7"/>
  <c r="O9" i="7" s="1"/>
  <c r="P9" i="7" s="1"/>
  <c r="U9" i="7" s="1"/>
  <c r="C9" i="7"/>
  <c r="B9" i="7"/>
  <c r="S8" i="7"/>
  <c r="R8" i="7"/>
  <c r="N8" i="7"/>
  <c r="C8" i="7"/>
  <c r="B8" i="7"/>
  <c r="S7" i="7"/>
  <c r="R7" i="7"/>
  <c r="N7" i="7"/>
  <c r="O7" i="7" s="1"/>
  <c r="P7" i="7" s="1"/>
  <c r="U7" i="7" s="1"/>
  <c r="C7" i="7"/>
  <c r="B7" i="7"/>
  <c r="S6" i="7"/>
  <c r="R6" i="7"/>
  <c r="N6" i="7"/>
  <c r="C6" i="7"/>
  <c r="B6" i="7"/>
  <c r="S5" i="7"/>
  <c r="R5" i="7"/>
  <c r="N5" i="7"/>
  <c r="C5" i="7"/>
  <c r="B5" i="7"/>
  <c r="P260" i="7" l="1"/>
  <c r="Q260" i="7" s="1"/>
  <c r="U180" i="7"/>
  <c r="P262" i="7"/>
  <c r="U196" i="7"/>
  <c r="P263" i="7"/>
  <c r="Q263" i="7" s="1"/>
  <c r="T3" i="10"/>
  <c r="N32" i="10"/>
  <c r="U10" i="7"/>
  <c r="U51" i="11"/>
  <c r="Q52" i="11"/>
  <c r="U44" i="11"/>
  <c r="U45" i="11"/>
  <c r="U139" i="7"/>
  <c r="P22" i="10"/>
  <c r="T22" i="10" s="1"/>
  <c r="Q46" i="11"/>
  <c r="U174" i="7"/>
  <c r="O171" i="7"/>
  <c r="P171" i="7" s="1"/>
  <c r="O173" i="7"/>
  <c r="P173" i="7" s="1"/>
  <c r="O169" i="7"/>
  <c r="P169" i="7" s="1"/>
  <c r="O170" i="7"/>
  <c r="P170" i="7" s="1"/>
  <c r="Q170" i="7" s="1"/>
  <c r="O172" i="7"/>
  <c r="P172" i="7" s="1"/>
  <c r="P144" i="7"/>
  <c r="M24" i="10"/>
  <c r="N24" i="10" s="1"/>
  <c r="O24" i="10" s="1"/>
  <c r="P24" i="10" s="1"/>
  <c r="O165" i="7"/>
  <c r="P165" i="7" s="1"/>
  <c r="Q165" i="7" s="1"/>
  <c r="O166" i="7"/>
  <c r="O168" i="7"/>
  <c r="P168" i="7" s="1"/>
  <c r="O167" i="7"/>
  <c r="P167" i="7" s="1"/>
  <c r="P164" i="7"/>
  <c r="Q164" i="7" s="1"/>
  <c r="Q262" i="7" s="1"/>
  <c r="P103" i="7"/>
  <c r="U103" i="7" s="1"/>
  <c r="O115" i="7"/>
  <c r="P115" i="7" s="1"/>
  <c r="U115" i="7" s="1"/>
  <c r="P99" i="7"/>
  <c r="Q99" i="7" s="1"/>
  <c r="U99" i="7" s="1"/>
  <c r="O97" i="7"/>
  <c r="P97" i="7" s="1"/>
  <c r="P70" i="7"/>
  <c r="U70" i="7" s="1"/>
  <c r="O125" i="7"/>
  <c r="P125" i="7" s="1"/>
  <c r="U125" i="7" s="1"/>
  <c r="O8" i="11"/>
  <c r="P8" i="11" s="1"/>
  <c r="U8" i="11" s="1"/>
  <c r="P19" i="11"/>
  <c r="Q19" i="11" s="1"/>
  <c r="U19" i="11" s="1"/>
  <c r="O12" i="11"/>
  <c r="P12" i="11" s="1"/>
  <c r="U12" i="11" s="1"/>
  <c r="P7" i="11"/>
  <c r="U7" i="11" s="1"/>
  <c r="P11" i="11"/>
  <c r="U11" i="11" s="1"/>
  <c r="P29" i="11"/>
  <c r="U29" i="11" s="1"/>
  <c r="Q23" i="11"/>
  <c r="U23" i="11" s="1"/>
  <c r="Q18" i="11"/>
  <c r="U18" i="11" s="1"/>
  <c r="O48" i="11"/>
  <c r="P48" i="11" s="1"/>
  <c r="Q31" i="11"/>
  <c r="U31" i="11" s="1"/>
  <c r="Q32" i="11"/>
  <c r="U32" i="11" s="1"/>
  <c r="Q17" i="11"/>
  <c r="U17" i="11" s="1"/>
  <c r="Q37" i="11"/>
  <c r="U37" i="11" s="1"/>
  <c r="Q20" i="11"/>
  <c r="U20" i="11" s="1"/>
  <c r="O22" i="11"/>
  <c r="P22" i="11" s="1"/>
  <c r="O4" i="11"/>
  <c r="P4" i="11" s="1"/>
  <c r="O21" i="11"/>
  <c r="P21" i="11" s="1"/>
  <c r="U21" i="11" s="1"/>
  <c r="O26" i="11"/>
  <c r="P26" i="11" s="1"/>
  <c r="U26" i="11" s="1"/>
  <c r="O50" i="11"/>
  <c r="P50" i="11" s="1"/>
  <c r="Q50" i="11" s="1"/>
  <c r="O16" i="11"/>
  <c r="P16" i="11" s="1"/>
  <c r="U16" i="11" s="1"/>
  <c r="O41" i="11"/>
  <c r="P41" i="11" s="1"/>
  <c r="U41" i="11" s="1"/>
  <c r="O6" i="11"/>
  <c r="P6" i="11" s="1"/>
  <c r="U6" i="11" s="1"/>
  <c r="O10" i="11"/>
  <c r="P10" i="11" s="1"/>
  <c r="U10" i="11" s="1"/>
  <c r="O24" i="11"/>
  <c r="P24" i="11" s="1"/>
  <c r="U24" i="11" s="1"/>
  <c r="O9" i="11"/>
  <c r="P9" i="11" s="1"/>
  <c r="U9" i="11" s="1"/>
  <c r="O5" i="11"/>
  <c r="P5" i="11" s="1"/>
  <c r="U5" i="11" s="1"/>
  <c r="P13" i="11"/>
  <c r="U13" i="11" s="1"/>
  <c r="U30" i="11"/>
  <c r="O42" i="11"/>
  <c r="P42" i="11" s="1"/>
  <c r="U42" i="11" s="1"/>
  <c r="O25" i="11"/>
  <c r="P25" i="11" s="1"/>
  <c r="U25" i="11" s="1"/>
  <c r="P28" i="11"/>
  <c r="U28" i="11" s="1"/>
  <c r="O49" i="11"/>
  <c r="P49" i="11" s="1"/>
  <c r="Q49" i="11" s="1"/>
  <c r="O15" i="11"/>
  <c r="P15" i="11" s="1"/>
  <c r="U15" i="11" s="1"/>
  <c r="O11" i="10"/>
  <c r="P11" i="10" s="1"/>
  <c r="T11" i="10" s="1"/>
  <c r="P16" i="10"/>
  <c r="T16" i="10" s="1"/>
  <c r="O10" i="10"/>
  <c r="P10" i="10" s="1"/>
  <c r="T10" i="10" s="1"/>
  <c r="O8" i="10"/>
  <c r="P8" i="10" s="1"/>
  <c r="O9" i="10"/>
  <c r="P9" i="10" s="1"/>
  <c r="T9" i="10" s="1"/>
  <c r="O14" i="10"/>
  <c r="P14" i="10" s="1"/>
  <c r="T14" i="10" s="1"/>
  <c r="M23" i="10"/>
  <c r="N23" i="10" s="1"/>
  <c r="O23" i="10" s="1"/>
  <c r="P23" i="10" s="1"/>
  <c r="Q94" i="7"/>
  <c r="U94" i="7" s="1"/>
  <c r="Q95" i="7"/>
  <c r="U95" i="7" s="1"/>
  <c r="O114" i="7"/>
  <c r="P114" i="7" s="1"/>
  <c r="U114" i="7" s="1"/>
  <c r="O111" i="7"/>
  <c r="P111" i="7" s="1"/>
  <c r="U111" i="7" s="1"/>
  <c r="P154" i="7"/>
  <c r="O35" i="7"/>
  <c r="P35" i="7" s="1"/>
  <c r="U35" i="7" s="1"/>
  <c r="O126" i="7"/>
  <c r="P126" i="7" s="1"/>
  <c r="U126" i="7" s="1"/>
  <c r="O138" i="7"/>
  <c r="P138" i="7" s="1"/>
  <c r="U138" i="7" s="1"/>
  <c r="P149" i="7"/>
  <c r="O65" i="7"/>
  <c r="P65" i="7" s="1"/>
  <c r="U65" i="7" s="1"/>
  <c r="O62" i="7"/>
  <c r="P62" i="7" s="1"/>
  <c r="U62" i="7" s="1"/>
  <c r="O80" i="7"/>
  <c r="P80" i="7" s="1"/>
  <c r="U80" i="7" s="1"/>
  <c r="O27" i="7"/>
  <c r="P27" i="7" s="1"/>
  <c r="U27" i="7" s="1"/>
  <c r="O92" i="7"/>
  <c r="P92" i="7" s="1"/>
  <c r="O102" i="7"/>
  <c r="P102" i="7" s="1"/>
  <c r="U102" i="7" s="1"/>
  <c r="O46" i="7"/>
  <c r="P46" i="7" s="1"/>
  <c r="U46" i="7" s="1"/>
  <c r="O60" i="7"/>
  <c r="P60" i="7" s="1"/>
  <c r="U60" i="7" s="1"/>
  <c r="O157" i="7"/>
  <c r="P157" i="7" s="1"/>
  <c r="Q157" i="7" s="1"/>
  <c r="O8" i="7"/>
  <c r="P8" i="7" s="1"/>
  <c r="U8" i="7" s="1"/>
  <c r="O25" i="7"/>
  <c r="P25" i="7" s="1"/>
  <c r="U25" i="7" s="1"/>
  <c r="O37" i="7"/>
  <c r="P37" i="7" s="1"/>
  <c r="U37" i="7" s="1"/>
  <c r="O100" i="7"/>
  <c r="P100" i="7" s="1"/>
  <c r="O158" i="7"/>
  <c r="P158" i="7" s="1"/>
  <c r="U158" i="7" s="1"/>
  <c r="O5" i="7"/>
  <c r="P5" i="7" s="1"/>
  <c r="O13" i="7"/>
  <c r="P13" i="7" s="1"/>
  <c r="U13" i="7" s="1"/>
  <c r="O38" i="7"/>
  <c r="P38" i="7" s="1"/>
  <c r="U38" i="7" s="1"/>
  <c r="U101" i="7"/>
  <c r="O161" i="7"/>
  <c r="P161" i="7" s="1"/>
  <c r="O15" i="7"/>
  <c r="P15" i="7" s="1"/>
  <c r="U15" i="7" s="1"/>
  <c r="O68" i="7"/>
  <c r="P68" i="7" s="1"/>
  <c r="U68" i="7" s="1"/>
  <c r="O119" i="7"/>
  <c r="P119" i="7" s="1"/>
  <c r="U119" i="7" s="1"/>
  <c r="O123" i="7"/>
  <c r="P123" i="7" s="1"/>
  <c r="U123" i="7" s="1"/>
  <c r="O11" i="7"/>
  <c r="P11" i="7" s="1"/>
  <c r="U11" i="7" s="1"/>
  <c r="P131" i="7"/>
  <c r="U131" i="7" s="1"/>
  <c r="O135" i="7"/>
  <c r="P135" i="7" s="1"/>
  <c r="U135" i="7" s="1"/>
  <c r="O156" i="7"/>
  <c r="P156" i="7" s="1"/>
  <c r="O77" i="7"/>
  <c r="P77" i="7" s="1"/>
  <c r="U77" i="7" s="1"/>
  <c r="O116" i="7"/>
  <c r="P116" i="7" s="1"/>
  <c r="U116" i="7" s="1"/>
  <c r="P143" i="7"/>
  <c r="U143" i="7" s="1"/>
  <c r="O6" i="7"/>
  <c r="P6" i="7" s="1"/>
  <c r="U6" i="7" s="1"/>
  <c r="O49" i="7"/>
  <c r="P49" i="7" s="1"/>
  <c r="U49" i="7" s="1"/>
  <c r="O63" i="7"/>
  <c r="P63" i="7" s="1"/>
  <c r="U63" i="7" s="1"/>
  <c r="O89" i="7"/>
  <c r="P89" i="7" s="1"/>
  <c r="U89" i="7" s="1"/>
  <c r="O93" i="7"/>
  <c r="P93" i="7" s="1"/>
  <c r="U93" i="7" s="1"/>
  <c r="O58" i="7"/>
  <c r="P58" i="7" s="1"/>
  <c r="U58" i="7" s="1"/>
  <c r="O66" i="7"/>
  <c r="P66" i="7" s="1"/>
  <c r="U66" i="7" s="1"/>
  <c r="O75" i="7"/>
  <c r="P75" i="7" s="1"/>
  <c r="U75" i="7" s="1"/>
  <c r="O84" i="7"/>
  <c r="P84" i="7" s="1"/>
  <c r="U84" i="7" s="1"/>
  <c r="O87" i="7"/>
  <c r="P87" i="7" s="1"/>
  <c r="U87" i="7" s="1"/>
  <c r="O61" i="7"/>
  <c r="P61" i="7" s="1"/>
  <c r="U61" i="7" s="1"/>
  <c r="P98" i="7"/>
  <c r="P106" i="7"/>
  <c r="U106" i="7" s="1"/>
  <c r="O109" i="7"/>
  <c r="P109" i="7" s="1"/>
  <c r="U109" i="7" s="1"/>
  <c r="O112" i="7"/>
  <c r="P112" i="7" s="1"/>
  <c r="U112" i="7" s="1"/>
  <c r="O118" i="7"/>
  <c r="P118" i="7" s="1"/>
  <c r="U118" i="7" s="1"/>
  <c r="P147" i="7"/>
  <c r="P150" i="7"/>
  <c r="U150" i="7" s="1"/>
  <c r="P36" i="7"/>
  <c r="U36" i="7" s="1"/>
  <c r="O79" i="7"/>
  <c r="P79" i="7" s="1"/>
  <c r="U79" i="7" s="1"/>
  <c r="O91" i="7"/>
  <c r="P91" i="7" s="1"/>
  <c r="U91" i="7" s="1"/>
  <c r="P96" i="7"/>
  <c r="P121" i="7"/>
  <c r="U121" i="7" s="1"/>
  <c r="P130" i="7"/>
  <c r="U130" i="7" s="1"/>
  <c r="O133" i="7"/>
  <c r="P133" i="7" s="1"/>
  <c r="U133" i="7" s="1"/>
  <c r="O136" i="7"/>
  <c r="P136" i="7" s="1"/>
  <c r="U136" i="7" s="1"/>
  <c r="O142" i="7"/>
  <c r="P142" i="7" s="1"/>
  <c r="U142" i="7" s="1"/>
  <c r="O44" i="7"/>
  <c r="P44" i="7" s="1"/>
  <c r="U44" i="7" s="1"/>
  <c r="O69" i="7"/>
  <c r="P69" i="7" s="1"/>
  <c r="U69" i="7" s="1"/>
  <c r="O155" i="7"/>
  <c r="P155" i="7" s="1"/>
  <c r="O28" i="7"/>
  <c r="P28" i="7" s="1"/>
  <c r="U28" i="7" s="1"/>
  <c r="O21" i="7"/>
  <c r="P21" i="7" s="1"/>
  <c r="U21" i="7" s="1"/>
  <c r="O47" i="7"/>
  <c r="P47" i="7" s="1"/>
  <c r="U47" i="7" s="1"/>
  <c r="O124" i="7"/>
  <c r="P124" i="7" s="1"/>
  <c r="U124" i="7" s="1"/>
  <c r="O19" i="7"/>
  <c r="P19" i="7" s="1"/>
  <c r="U19" i="7" s="1"/>
  <c r="O24" i="7"/>
  <c r="P24" i="7" s="1"/>
  <c r="U24" i="7" s="1"/>
  <c r="O39" i="7"/>
  <c r="P39" i="7" s="1"/>
  <c r="U39" i="7" s="1"/>
  <c r="O73" i="7"/>
  <c r="P73" i="7" s="1"/>
  <c r="U73" i="7" s="1"/>
  <c r="O85" i="7"/>
  <c r="P85" i="7" s="1"/>
  <c r="U85" i="7" s="1"/>
  <c r="P107" i="7"/>
  <c r="U107" i="7" s="1"/>
  <c r="O148" i="7"/>
  <c r="P148" i="7" s="1"/>
  <c r="Q148" i="7" s="1"/>
  <c r="O64" i="7"/>
  <c r="P64" i="7" s="1"/>
  <c r="U64" i="7" s="1"/>
  <c r="O78" i="7"/>
  <c r="P78" i="7" s="1"/>
  <c r="U78" i="7" s="1"/>
  <c r="O117" i="7"/>
  <c r="P117" i="7" s="1"/>
  <c r="U117" i="7" s="1"/>
  <c r="O141" i="7"/>
  <c r="P141" i="7" s="1"/>
  <c r="U141" i="7" s="1"/>
  <c r="O83" i="7"/>
  <c r="P83" i="7" s="1"/>
  <c r="U83" i="7" s="1"/>
  <c r="P90" i="7"/>
  <c r="U90" i="7" s="1"/>
  <c r="P105" i="7"/>
  <c r="U105" i="7" s="1"/>
  <c r="O110" i="7"/>
  <c r="P110" i="7" s="1"/>
  <c r="U110" i="7" s="1"/>
  <c r="O122" i="7"/>
  <c r="P122" i="7" s="1"/>
  <c r="U122" i="7" s="1"/>
  <c r="P129" i="7"/>
  <c r="U129" i="7" s="1"/>
  <c r="O134" i="7"/>
  <c r="P134" i="7" s="1"/>
  <c r="U134" i="7" s="1"/>
  <c r="O146" i="7"/>
  <c r="P146" i="7" s="1"/>
  <c r="U146" i="7" s="1"/>
  <c r="U4" i="11" l="1"/>
  <c r="P71" i="11"/>
  <c r="U52" i="11"/>
  <c r="Q36" i="10"/>
  <c r="Q256" i="7" s="1"/>
  <c r="P36" i="10"/>
  <c r="P256" i="7" s="1"/>
  <c r="I77" i="11"/>
  <c r="H77" i="11"/>
  <c r="G77" i="11"/>
  <c r="P255" i="7" s="1"/>
  <c r="Q168" i="7"/>
  <c r="U168" i="7" s="1"/>
  <c r="Q167" i="7"/>
  <c r="U167" i="7" s="1"/>
  <c r="Q172" i="7"/>
  <c r="U172" i="7" s="1"/>
  <c r="Q171" i="7"/>
  <c r="U171" i="7" s="1"/>
  <c r="Q156" i="7"/>
  <c r="Q155" i="7"/>
  <c r="U161" i="7"/>
  <c r="P32" i="10"/>
  <c r="U5" i="7"/>
  <c r="Q48" i="11"/>
  <c r="U46" i="11"/>
  <c r="U170" i="7"/>
  <c r="U173" i="7"/>
  <c r="U169" i="7"/>
  <c r="T8" i="10"/>
  <c r="U164" i="7"/>
  <c r="U165" i="7"/>
  <c r="P166" i="7"/>
  <c r="P251" i="7" s="1"/>
  <c r="T24" i="10"/>
  <c r="R36" i="10" s="1"/>
  <c r="U154" i="7"/>
  <c r="Q97" i="7"/>
  <c r="U97" i="7" s="1"/>
  <c r="U157" i="7"/>
  <c r="Q22" i="11"/>
  <c r="U22" i="11" s="1"/>
  <c r="U50" i="11"/>
  <c r="U49" i="11"/>
  <c r="T23" i="10"/>
  <c r="O36" i="10"/>
  <c r="O256" i="7" s="1"/>
  <c r="Q100" i="7"/>
  <c r="U100" i="7" s="1"/>
  <c r="Q92" i="7"/>
  <c r="U148" i="7"/>
  <c r="Q98" i="7"/>
  <c r="U98" i="7" s="1"/>
  <c r="U149" i="7"/>
  <c r="Q96" i="7"/>
  <c r="U96" i="7" s="1"/>
  <c r="U147" i="7"/>
  <c r="R264" i="7" l="1"/>
  <c r="R254" i="7" s="1"/>
  <c r="Q166" i="7"/>
  <c r="Q261" i="7" s="1"/>
  <c r="U156" i="7"/>
  <c r="U155" i="7"/>
  <c r="Q71" i="11"/>
  <c r="U48" i="11"/>
  <c r="U71" i="11" s="1"/>
  <c r="Q255" i="7"/>
  <c r="R255" i="7"/>
  <c r="R256" i="7"/>
  <c r="U92" i="7"/>
  <c r="O255" i="7"/>
  <c r="Q251" i="7" l="1"/>
  <c r="U166" i="7"/>
  <c r="R257" i="7"/>
  <c r="O254" i="7"/>
  <c r="O257" i="7" s="1"/>
  <c r="U144" i="7"/>
  <c r="Q264" i="7" l="1"/>
  <c r="P264" i="7"/>
  <c r="P254" i="7" s="1"/>
  <c r="P257" i="7" s="1"/>
  <c r="U203" i="7"/>
  <c r="U251" i="7" s="1"/>
  <c r="Q254" i="7" l="1"/>
  <c r="Q257"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mery</author>
  </authors>
  <commentList>
    <comment ref="O4" authorId="0" shapeId="0" xr:uid="{00000000-0006-0000-0000-000001000000}">
      <text>
        <r>
          <rPr>
            <sz val="9"/>
            <rFont val="Tahoma"/>
            <family val="2"/>
          </rPr>
          <t>Apéndice técnico Numeral 3.2.1 Otros Gastos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mery</author>
  </authors>
  <commentList>
    <comment ref="O3" authorId="0" shapeId="0" xr:uid="{00000000-0006-0000-0100-000001000000}">
      <text>
        <r>
          <rPr>
            <sz val="9"/>
            <rFont val="Tahoma"/>
            <family val="2"/>
          </rPr>
          <t>Apendice tecnico Numeral 3.2.1 Otros Gastos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mery</author>
  </authors>
  <commentList>
    <comment ref="M1" authorId="0" shapeId="0" xr:uid="{00000000-0006-0000-0200-000001000000}">
      <text>
        <r>
          <rPr>
            <sz val="9"/>
            <rFont val="Tahoma"/>
            <family val="2"/>
          </rPr>
          <t xml:space="preserve">Apéndice técnico Numeral 3.2.1 Otros Gastos
</t>
        </r>
      </text>
    </comment>
  </commentList>
</comments>
</file>

<file path=xl/sharedStrings.xml><?xml version="1.0" encoding="utf-8"?>
<sst xmlns="http://schemas.openxmlformats.org/spreadsheetml/2006/main" count="10344" uniqueCount="987">
  <si>
    <t>CONTRATO DE OBRA No PAF-ANI-O-118-2022-01 CON CONSORCIO CTSA - INGERAL - ARRENDAMIENTO DE INMUEBLES</t>
  </si>
  <si>
    <t>FACTURACIÓN</t>
  </si>
  <si>
    <t>PAGO</t>
  </si>
  <si>
    <t>Año</t>
  </si>
  <si>
    <t>Mes</t>
  </si>
  <si>
    <t>Fecha</t>
  </si>
  <si>
    <t># Factura
CTSA - INGERAL</t>
  </si>
  <si>
    <t>NC</t>
  </si>
  <si>
    <t>Fact</t>
  </si>
  <si>
    <t>Corredor</t>
  </si>
  <si>
    <t>Tercero</t>
  </si>
  <si>
    <t>Periodo</t>
  </si>
  <si>
    <t>Inmueble - concepto</t>
  </si>
  <si>
    <t>Valor Facturado</t>
  </si>
  <si>
    <t>IVA</t>
  </si>
  <si>
    <t>Valor bruto</t>
  </si>
  <si>
    <t>4 X 1000</t>
  </si>
  <si>
    <t>Valor a Consignar a la ANI</t>
  </si>
  <si>
    <t>Valor Pagado</t>
  </si>
  <si>
    <t>Valor Por Cobrar</t>
  </si>
  <si>
    <t xml:space="preserve">Observaciones </t>
  </si>
  <si>
    <t>NA</t>
  </si>
  <si>
    <t>Bogotá - Belencito</t>
  </si>
  <si>
    <t>MAQUISERVICOS</t>
  </si>
  <si>
    <t>1/02/2023 - 15/04/2023</t>
  </si>
  <si>
    <t>ARRIENDO DE BODEGA Y OFICINAS DE 99,11 m2, UBICADO EN EL KM5</t>
  </si>
  <si>
    <t>CIRO</t>
  </si>
  <si>
    <t>1/02/2023 - 13/03/2023</t>
  </si>
  <si>
    <t>ARRIENDO DE BODEGA DE 72 M2, UBICADO EN KM 5</t>
  </si>
  <si>
    <t>14/03/2023 - 30/03/2023</t>
  </si>
  <si>
    <t>01/04/2023 - 30/04/2023</t>
  </si>
  <si>
    <t>01/05/2023 - 31/05/2023</t>
  </si>
  <si>
    <t>CEMENTOS ARGOS</t>
  </si>
  <si>
    <t>ARRIENDO BODEGA  CON UNA AREA DE 2.234 M2 UBICADA EN KM5</t>
  </si>
  <si>
    <t>01/06/2023 - 30/06/2023</t>
  </si>
  <si>
    <t>Fideicomiso Sociedad  Fiduciaria de occidente</t>
  </si>
  <si>
    <t xml:space="preserve"> ARRIENDO DE BODEGA DE 128,2 M2, UBICADO EN KM 5 </t>
  </si>
  <si>
    <t>Como la factura 25 se anulo, se reemplaza por la factura 41</t>
  </si>
  <si>
    <t>ARRIENDO DE BODEGA DE 128,2 M2, UBICADO EN KM 5</t>
  </si>
  <si>
    <t>Como la factura 26 se anulo, se reemplaza por la factura 42</t>
  </si>
  <si>
    <t>Como la factura 27 se anulo, se reemplaza por la factura 43</t>
  </si>
  <si>
    <t>01/05/2023 - 30/05/2023</t>
  </si>
  <si>
    <t>Como la factura 28 se anulo, se reemplaza por la factura 44</t>
  </si>
  <si>
    <t>Como la factura 29 se anulo, se reemplaza por la factura 45</t>
  </si>
  <si>
    <t>Nota de Crédito No.9 para anular factura No. 26 ARRIENDO DE BODEGA DE 128,2 M2, UBICADO EN KM 5 porque la legalización del contrato de arrendamiento se realizo en el periodo del 14 al 30 marzo de 2023.</t>
  </si>
  <si>
    <t>Nota Crédito No. 10 para analuar  Factura 27. ARRIENDO DE BODEGA DE 128,2 M2, UBICADO EN KM 5 porque la legalización del contrato de arrendamiento se realizo en el mes de abril de 2023</t>
  </si>
  <si>
    <t>Nota credito No.2-11 del 28 de junio de 2023</t>
  </si>
  <si>
    <t>Nota Crédito No, 11 para anular factura 28 ARRIENDO DE BODEGA DE 128,2 M2, UBICADO EN KM 5 porque la legalización del contrato de arrendamiento se realizo en el mes de mayo de 2023</t>
  </si>
  <si>
    <t>Nota credito No.2-12 del 28 de junio de 2023</t>
  </si>
  <si>
    <t>Nota Crédito No.12 para anular factura 29 ARRIENDO DE BODEGA DE 128,2 M2, UBICADO EN KM 5 porque la legalización del contrato de arrendamiento se realizo en el mes de junio de 2023</t>
  </si>
  <si>
    <t>La factura 19 y 25 son reemplazadas porla factura 41. Como se anularon las facturas  19 y 25, por lo cual se carga la consigancion a la factura 41</t>
  </si>
  <si>
    <t>La factura 20 y 26 son reemplazadas porla factura 42. Como se anularon las facturas  20 y 26, por lo cual se carga la consigancion a la factura 42</t>
  </si>
  <si>
    <t>La factura 21 y 27 son reemplazadas porla factura 43. Como se anularon las facturas  21 y 27, por lo cual se carga la consigancion a la factura 43</t>
  </si>
  <si>
    <t>La factura 22 y 28 son reemplazadas porla factura 44. Como se anularon las facturas  22 y 28, por lo cual se carga la consigancion a la factura 44</t>
  </si>
  <si>
    <t>La factura 18 y 29 son reemplazadas porla factura 45. Como se anularon las facturas  18 y 29, por lo cual se carga la consigancion a la factura 45</t>
  </si>
  <si>
    <t>1/07/2023 - 30/07/2023</t>
  </si>
  <si>
    <t xml:space="preserve">Nota credito No.2-19 </t>
  </si>
  <si>
    <t>Nota Crédito No. 19 para anular factura 9 ARRIENDO BODEGA  CON UNA AREA DE 2.234 M2 UBICADA EN KM5, porque la legalización del contrati de arrendamiento se realizo en el periodo 1/02/2023 al 13/03/2023</t>
  </si>
  <si>
    <t>Nota credito No.2-20</t>
  </si>
  <si>
    <t>Nota Crédicto No.20 para anular factura 10 ARRIENDO BODEGA  CON UNA AREA DE 2.234 M2 UBICADA EN KM5, porque la legalización del contrati de arrendamiento se realizo en el mes de marzo de 2023</t>
  </si>
  <si>
    <t xml:space="preserve">Nota credito No.2-21 </t>
  </si>
  <si>
    <t>Nota Crédito No.21 para anular factura 11 ARRIENDO BODEGA  CON UNA AREA DE 2.234 M2 UBICADA EN KM5, porque la legalización del contrati de arrendamiento se realizo en el mes de abril de 2023</t>
  </si>
  <si>
    <t xml:space="preserve">Nota credito No.2-22 </t>
  </si>
  <si>
    <t>Nota de Crédito No.22 para anular factura 12 ARRIENDO BODEGA  CON UNA AREA DE 2.234 M2 UBICADA EN KM5, porque la legalización del contrati de arrendamiento se realizo en el mes de mayo de 2023</t>
  </si>
  <si>
    <t>Como se anulo la factura  9, por lo cual se carga la consigancion a la factura 48</t>
  </si>
  <si>
    <t>Como se anulo la factura  10, por lo cual se carga la consigancion a la factura 49</t>
  </si>
  <si>
    <t>Como se anulo la factura  11, por lo cual se carga la consigancion a la factura 50</t>
  </si>
  <si>
    <t>Como se anulo la factura  12, por lo cual se carga la consigancion a la factura 51</t>
  </si>
  <si>
    <t>01/08/2023 - 31/08/2023</t>
  </si>
  <si>
    <t>ARRIENDO DE BODEGA DE 72 M2, UBICADO EN KM 6</t>
  </si>
  <si>
    <t>Nota credito No.2-3 del 16 de junio de 2023</t>
  </si>
  <si>
    <t>Nota de Credito No. 3 para anular factura 18 ARRIENDO DE BODEGA DE 128,2 M2, UBICADO EN KM 5 porque la legalización del contrato de arrendamiento se realizo en el mes de junio de 2023</t>
  </si>
  <si>
    <t>Por trazabillidad se incluye nota credito y factura anulada</t>
  </si>
  <si>
    <t xml:space="preserve">Como la factura 18 se anulo, se reemplaza por la factura 29 </t>
  </si>
  <si>
    <t>Nota credito No.2-4 del 16 de junio de 2023</t>
  </si>
  <si>
    <t>Nota de Crédito No.4 para anular factura No. 19 ARRIENDO DE BODEGA DE 128,2 M2, UBICADO EN KM 5 porque la legalización del contrato de arrendamiento se realizo en el periodo 1/02/2023 al 13/03/2023</t>
  </si>
  <si>
    <t>Como la factura 19 se anulo, se reemplaza por la factura 25</t>
  </si>
  <si>
    <t>Nota credito No.2-5 del 16 de junio de 2023</t>
  </si>
  <si>
    <t>Nota Crédito No. 5 para analuar  Factura 20. ARRIENDO DE BODEGA DE 128,2 M2, UBICADO EN KM 5 porque la legalización del contrato de arrendamiento se realizo en el periodo del 14 al 30 marzo de 2023.</t>
  </si>
  <si>
    <t>Como la factura 20 se anulo, se reemplaza por la factura 26</t>
  </si>
  <si>
    <t>Nota credito No.2-6 del 16 de junio de 2023</t>
  </si>
  <si>
    <t>Nota Crédito No, 6 para anular factura 21 ARRIENDO DE BODEGA DE 128,2 M2, UBICADO EN KM 5 porque la legalización del contrato de arrendamiento se realizo en el mes de abril de 2023</t>
  </si>
  <si>
    <t>Como la factura 21 se anulo, se reemplaza por la factura 27</t>
  </si>
  <si>
    <t>Nota credito No.2-7 del 16 de junio de 2023</t>
  </si>
  <si>
    <t>Nota Crédito No.7 para anular factura 22 ARRIENDO DE BODEGA DE 128,2 M2, UBICADO EN KM 5 porque la legalización del contrato de arrendamiento se realizo en el mes de mayo de 2023</t>
  </si>
  <si>
    <t>Como la factura 22 se anulo, se reemplaza por la factura 28</t>
  </si>
  <si>
    <t>01/09/2023 - 30/09/2023</t>
  </si>
  <si>
    <t xml:space="preserve">Nota credito No.2-29 </t>
  </si>
  <si>
    <t>1/08/2023-30/08/2023</t>
  </si>
  <si>
    <t>Nota de credito 29 para anular la factura 58 para el ARRIENDO BODEGA  CON UNA AREA DE 2.234 M2 UBICADA EN KM5 porque Argos no la recibio en el sistema.</t>
  </si>
  <si>
    <t>Como la factura 58 se anulo, se reemplaza por la factura 88</t>
  </si>
  <si>
    <t>Nota credito No.2-30</t>
  </si>
  <si>
    <t>1/09/2023-30/09/2023</t>
  </si>
  <si>
    <t>Nota de credito 30 para anular la factura 64 para el ARRIENDO BODEGA  CON UNA AREA DE 2.234 M2 UBICADA EN KM6 porque Argos la rechazo en el sistema.</t>
  </si>
  <si>
    <t>Como la factura 64 se anulo, se reemplaza por la factura 89</t>
  </si>
  <si>
    <t>01/10/2023 - 30/10/2023</t>
  </si>
  <si>
    <t>01/11/2023 - 30/11/2023</t>
  </si>
  <si>
    <t>ARRIENDO BODEGA  CON UNA AREA DE 1,117 M2 UBICADA EN KM5</t>
  </si>
  <si>
    <t>Nota credito No 2-34</t>
  </si>
  <si>
    <t>Como la factura 93 se anulo, se reemplaza por la factura 115</t>
  </si>
  <si>
    <t>Nota credito No 2-35</t>
  </si>
  <si>
    <t>Como la factura 94 se anulo, se reemplaza por la factura 114</t>
  </si>
  <si>
    <t>01/12/2023 - 31/12/2023</t>
  </si>
  <si>
    <t>ARRIENDDO AREA 500 M2 UNBICADA EN EL KM5</t>
  </si>
  <si>
    <t>Nota credito No 2-39</t>
  </si>
  <si>
    <t>Como la factura 95 se anulo, se reemplaza por la factura 123</t>
  </si>
  <si>
    <t>01/1/2024- 31/1/2024</t>
  </si>
  <si>
    <t xml:space="preserve">NA </t>
  </si>
  <si>
    <t>ARRIENDO DE AREA DE 500 M2, UBICADA EN EL KM5</t>
  </si>
  <si>
    <t>ARRIENDO DE ESPACIO DE 241.42 M2, UBICADA EN EL KM5</t>
  </si>
  <si>
    <t xml:space="preserve">Turistren </t>
  </si>
  <si>
    <t>ARRIENDO ESPACIO CUBIERTO AL INTERIOR DEL NUEVO TALLER ANI, UBICADO EN LAS INSTALACIONES DEL KILÓMETRO 5, CON UN AREA DE 1.986.8 METROS CUADRADOS</t>
  </si>
  <si>
    <t>Conceptos</t>
  </si>
  <si>
    <t>Facturado por CTSA</t>
  </si>
  <si>
    <t>Recaudado por CTSA</t>
  </si>
  <si>
    <t xml:space="preserve">observación </t>
  </si>
  <si>
    <t xml:space="preserve">Total, inmuebles </t>
  </si>
  <si>
    <t>Total, uso de vía</t>
  </si>
  <si>
    <t>Total, material rodante.</t>
  </si>
  <si>
    <t>Total</t>
  </si>
  <si>
    <t xml:space="preserve">Arrendatario </t>
  </si>
  <si>
    <t>Facturado por CTSA-INGERAL</t>
  </si>
  <si>
    <t>Recaudado por CTSA INGERAL</t>
  </si>
  <si>
    <t>Argos</t>
  </si>
  <si>
    <t xml:space="preserve">CONTRATO DE OBRA No PAF-ANI-O-118-2022-01 CON CONSORCIO CTSA - INGERAL  - USO DE VIA </t>
  </si>
  <si>
    <t># Factura</t>
  </si>
  <si>
    <t>Concepto</t>
  </si>
  <si>
    <t># Toneladas -kilometro</t>
  </si>
  <si>
    <t># coche-kilómetros</t>
  </si>
  <si>
    <t>Tarifas  $/ton-km y/o  tarifa $/coche-km</t>
  </si>
  <si>
    <t>4X1000</t>
  </si>
  <si>
    <t>TURISTREN</t>
  </si>
  <si>
    <t>17/03/2023 - 31/03/2023</t>
  </si>
  <si>
    <t>USO DE VÍA PASAJEROS</t>
  </si>
  <si>
    <t>OC001</t>
  </si>
  <si>
    <t>CTSA-INGERAL</t>
  </si>
  <si>
    <t>USO DE VÍA CARGA</t>
  </si>
  <si>
    <t>OC002</t>
  </si>
  <si>
    <t>01/07/2023 - 30/07/2023</t>
  </si>
  <si>
    <t>OC003</t>
  </si>
  <si>
    <t>01/08/2023 - 30/08/2023</t>
  </si>
  <si>
    <t>OC004</t>
  </si>
  <si>
    <t>01/10/2023 - 31/10/2023</t>
  </si>
  <si>
    <t>OC005</t>
  </si>
  <si>
    <t>OC006</t>
  </si>
  <si>
    <t>USO VIA PASAJEROS</t>
  </si>
  <si>
    <t xml:space="preserve">ACERIAS PAZ DEL RIO </t>
  </si>
  <si>
    <t xml:space="preserve">TREN ESPECIAL </t>
  </si>
  <si>
    <t>01/12/2023 - 30/12/2023</t>
  </si>
  <si>
    <t>OC007</t>
  </si>
  <si>
    <t>0C008</t>
  </si>
  <si>
    <t>01/1/2024 - 31/1/2024</t>
  </si>
  <si>
    <t>De acuerdo al Apéndice Técnico numeral 3.2.1 Otros Gastos "(..) En caso de incurrir en costos financieros, tasas y tributos a que haya lugar por el recaudo de los ingresos provenientes de bienes inmuebles o bienes muebles (equipos), estos costos se decantarán de los arriendos a consignar a la ANI, previa revisión de la Interventoría. (..)"</t>
  </si>
  <si>
    <t>Usuario de vía</t>
  </si>
  <si>
    <t>Facturado  por CTSA INGERAL</t>
  </si>
  <si>
    <t>Recaudado por CTSA-INGERAL</t>
  </si>
  <si>
    <t xml:space="preserve">Observación </t>
  </si>
  <si>
    <t>CTSA</t>
  </si>
  <si>
    <t># Toneladas</t>
  </si>
  <si>
    <t>Valor consignado</t>
  </si>
  <si>
    <t>Arriendo material rodante informe OC001</t>
  </si>
  <si>
    <t>Arriendo material rodante informe OC002</t>
  </si>
  <si>
    <t>Arriendo material rodante informe OC003</t>
  </si>
  <si>
    <t>01/092023 - 30/09/2023</t>
  </si>
  <si>
    <t>Arriendo material rodante informe OC004</t>
  </si>
  <si>
    <t>Arriendo material rodante informe OC005</t>
  </si>
  <si>
    <t>Arriendo material rodante informe OC006</t>
  </si>
  <si>
    <t>Arriendo material rodante informe OC007</t>
  </si>
  <si>
    <t>OC008</t>
  </si>
  <si>
    <t>01/1/2024 - 30/1/2024</t>
  </si>
  <si>
    <t>Arriendo material rodante informe OC008</t>
  </si>
  <si>
    <t>Pendiente por cobro</t>
  </si>
  <si>
    <t>01/2/2024- 29/2/2024</t>
  </si>
  <si>
    <t>OC009</t>
  </si>
  <si>
    <t>01/2/2024 - 29/2/2024</t>
  </si>
  <si>
    <t>Arriendo material rodante informe OC009</t>
  </si>
  <si>
    <t>01/02/2024 - 29/02/2024</t>
  </si>
  <si>
    <t>N° Servicio</t>
  </si>
  <si>
    <t xml:space="preserve">Configuración Tren </t>
  </si>
  <si>
    <t>Fecha Salida</t>
  </si>
  <si>
    <t>Fecha llegada</t>
  </si>
  <si>
    <t xml:space="preserve">Días </t>
  </si>
  <si>
    <t>Cantidad Locomotoras</t>
  </si>
  <si>
    <t>V/r Alquiler locomotoras</t>
  </si>
  <si>
    <t>Cantidad plataformas</t>
  </si>
  <si>
    <t>V/r Alquiler plataformas</t>
  </si>
  <si>
    <t>V/r Alquiler Mat. Rodante</t>
  </si>
  <si>
    <t>Toneladas Transportad.</t>
  </si>
  <si>
    <t>Km recorridos</t>
  </si>
  <si>
    <t>Ton-km</t>
  </si>
  <si>
    <t>V/r Importe Uso de Vía</t>
  </si>
  <si>
    <t>Remisión No.</t>
  </si>
  <si>
    <t>Recorrido Locomotras Trabajando</t>
  </si>
  <si>
    <t>Cantidad Combustible Consumido</t>
  </si>
  <si>
    <t xml:space="preserve">V/r Combustible </t>
  </si>
  <si>
    <t>REMISION ARGOS RPSM-00299788</t>
  </si>
  <si>
    <t>REMISION ARGOS RPSM-00299890</t>
  </si>
  <si>
    <t>REMISION ARGOS RPSM-00300031</t>
  </si>
  <si>
    <t>REMISION ARGOS RPSM-00300173</t>
  </si>
  <si>
    <t>REMISION ARGOS RPSM-00300352</t>
  </si>
  <si>
    <t>T1 01</t>
  </si>
  <si>
    <t>REMISION ARGOS RPSM-00300803</t>
  </si>
  <si>
    <t>REMISION ARGOS RPSM-00300992</t>
  </si>
  <si>
    <t>REMISION ARGOS RPSM-00301142</t>
  </si>
  <si>
    <t xml:space="preserve">
Loc. 1034-1012
Plat. 4003,4100,4079,4087,4068,405,4031,4007,  4002,4072,4061,4060,4069,4010</t>
  </si>
  <si>
    <t xml:space="preserve">
Loc. 1034-1012
Plat. 4072,4061,4060,4048,4083,4071,4095,4073, 4010,4007,4002,4018,4102,4001</t>
  </si>
  <si>
    <t xml:space="preserve">
Loc. 1034-1012
Plat. 4071,4095,4003,4100,4079,4087,4001,4002, 4018,4102,4083,408,4053,4069</t>
  </si>
  <si>
    <t xml:space="preserve">
Loc. 1034-1012
Plat. 4071,4095,4087,,4001,4072,4061,4060,4048, 4073,4010,4007,4003,4079,4100</t>
  </si>
  <si>
    <t xml:space="preserve">
Loc. 1044-1012
Plat. 
4061,4060,40002,4018,4102,4083,4068,4053,4001,4003,4079,4103,4072,4069
</t>
  </si>
  <si>
    <t xml:space="preserve">
Loc. 1044-1001
Plat. 4072,4102,4083,4068,4087,4048,4073,4010, 4007,4053,4071,4095,4061,4060</t>
  </si>
  <si>
    <t xml:space="preserve">
Loc. 1044-1001
Plat. 4053,4071,4095,4061,4002,4018,4003,4079, 4060,4072,4102,4083,4068,4103</t>
  </si>
  <si>
    <t>Loc. 1034-1001
Plat. 4083,4071,4095,4069,4061,4003,4060,4146, 4124,4120,4151,4104,4162,4159</t>
  </si>
  <si>
    <t>Loc. 1001
Plat. 4173,4159,4162,4104,4151,4146,4120,4124</t>
  </si>
  <si>
    <t>Factura</t>
  </si>
  <si>
    <t>REMISION ARGOS RPSM-00301406</t>
  </si>
  <si>
    <t>T1-67</t>
  </si>
  <si>
    <t>REMISION ARGOS RPSM-00302182</t>
  </si>
  <si>
    <t>REMISION ARGOS RPSM-00302340</t>
  </si>
  <si>
    <t>T1-69</t>
  </si>
  <si>
    <t>REMISION ARGOS RPSM-00302515</t>
  </si>
  <si>
    <t>T1-70</t>
  </si>
  <si>
    <t>REMISION ARGOS RPSM-00302684</t>
  </si>
  <si>
    <t>T1-71</t>
  </si>
  <si>
    <t>REMISION ARGOS RPSM-00302883</t>
  </si>
  <si>
    <t>T1-72</t>
  </si>
  <si>
    <t>REMISION ARGOS RPSM-00303052</t>
  </si>
  <si>
    <t>T1-73</t>
  </si>
  <si>
    <t>REMISION ARGOS RPSM-00303204</t>
  </si>
  <si>
    <t>T1-74</t>
  </si>
  <si>
    <t>Loc. 1001-1044
Plat.4060,4102,4083,4068,4087,4048,4073,4010,4007,4103,4053,4071,4095,4061</t>
  </si>
  <si>
    <t xml:space="preserve">
Loc. 1001-1044
Plat. 4159,4162,4104,4151,4146,4120,4124</t>
  </si>
  <si>
    <t xml:space="preserve">
Loc. 1001-1044
Plat. 4060,4063,4068,4002,4018,4003,4049,4124,4120,4146, 4151,4104,4162,4159</t>
  </si>
  <si>
    <t xml:space="preserve">
Loc. 1034-1044
Plat. 4072,4056,4060,4083,4073,4010,4007,4095,4068,4002, 4018,4003,4049,4100</t>
  </si>
  <si>
    <t xml:space="preserve">
Loc. 1044-1034
Plat. 4159,4162,4104,4151,4146,4120,4124</t>
  </si>
  <si>
    <t xml:space="preserve">
Loc. 1034-1001
Plat. 4095,4068,4002,4018,4003,4049,4100,4151,4104,4162,  4159,4124,4120,4146</t>
  </si>
  <si>
    <t xml:space="preserve">
Loc. 1012-1044
Plat. 4159,4162,4104,4151,4146,4120,4124</t>
  </si>
  <si>
    <t xml:space="preserve">
Loc. 1012-1034
Plat. 4010,4007,4056,4060,4083,4159,4124,4120,4146,4071,  4048,415134104,4162</t>
  </si>
  <si>
    <t xml:space="preserve">
Loc. 1012-1044
Plat. 414,4151,4048,4071,4146,4120,4124,4159</t>
  </si>
  <si>
    <t xml:space="preserve">
Loc. 1012-1044
Plat. 4159,4124,4120,4146,4071,4048,4151,4104,4056,4060,4083,4060,4083,4049,4100,4073</t>
  </si>
  <si>
    <t xml:space="preserve">
Loc. 1012-1044
Plat. 4104,4151,4048,4162,4146,4120,4124,4159</t>
  </si>
  <si>
    <t xml:space="preserve">
Loc. 1012-1044
Plat. 4049,4100,4073,4003,4010,4007,4048,4151,4104,4159, 4124,4120,4146,4162</t>
  </si>
  <si>
    <t xml:space="preserve">
Loc. 1012-1044
Plat. 4159,4162,4104,4151,4048,4071,4120,4124</t>
  </si>
  <si>
    <t xml:space="preserve">
Loc. 1012-1044
Plat. 4100,4073,4003,4056,4060,4083,4071,4104,4159,4151, 4124,4120,4162,4048</t>
  </si>
  <si>
    <t xml:space="preserve">
Loc. 1044
Plat. 4159,4162,4104,4151,4146,4120,4124,4048,4071,4001,4018</t>
  </si>
  <si>
    <t>FECHA</t>
  </si>
  <si>
    <t>IDA</t>
  </si>
  <si>
    <t>REGRESO</t>
  </si>
  <si>
    <t>TRAYECTO</t>
  </si>
  <si>
    <t>KM- REC</t>
  </si>
  <si>
    <t>N° COCHES</t>
  </si>
  <si>
    <t>VL CH KM</t>
  </si>
  <si>
    <t>VALOR TOTAL</t>
  </si>
  <si>
    <t>PASAJEROS</t>
  </si>
  <si>
    <t>21301 LOC 723</t>
  </si>
  <si>
    <t>22300  LOC 723</t>
  </si>
  <si>
    <t>KM-5 - ZIPAQUIRA - KM - 5</t>
  </si>
  <si>
    <t>21301 LOC 752</t>
  </si>
  <si>
    <t>22300 LOC 752</t>
  </si>
  <si>
    <t>22300 LOC 723</t>
  </si>
  <si>
    <t>21300 LOC 752</t>
  </si>
  <si>
    <t>KM - 5 - LA CARO - KM - 5</t>
  </si>
  <si>
    <t>21301 AUT 1676</t>
  </si>
  <si>
    <t>21300 AUT 1676</t>
  </si>
  <si>
    <t>21303 LOC 711</t>
  </si>
  <si>
    <t>22300 LOC 711</t>
  </si>
  <si>
    <t>KM - 5- PK-43 U MIL - KM - 5</t>
  </si>
  <si>
    <t>21302 AUT 1676</t>
  </si>
  <si>
    <t>21305 LOC 723</t>
  </si>
  <si>
    <t>21300 LOC 723</t>
  </si>
  <si>
    <t>21301 AUT 1723</t>
  </si>
  <si>
    <t>21302 AUT 1723</t>
  </si>
  <si>
    <t>21303 LOC 752</t>
  </si>
  <si>
    <t>21301 AUT 1696</t>
  </si>
  <si>
    <t>21300 AUT 1696</t>
  </si>
  <si>
    <t>21303 AUT -- 1676</t>
  </si>
  <si>
    <t>22300 AUT 1676</t>
  </si>
  <si>
    <t>22302 LOC 723</t>
  </si>
  <si>
    <t>21301 LOC 711</t>
  </si>
  <si>
    <t>21302 AUT 1696</t>
  </si>
  <si>
    <t>Ch-Km</t>
  </si>
  <si>
    <t>21300 AUT 1723</t>
  </si>
  <si>
    <t>21303 LOS 752</t>
  </si>
  <si>
    <t>22300 AUT 1696</t>
  </si>
  <si>
    <t>22302 LOC 711</t>
  </si>
  <si>
    <t>21305 LOC 711</t>
  </si>
  <si>
    <t>21300 LOC 711</t>
  </si>
  <si>
    <t>21303 LOS 723</t>
  </si>
  <si>
    <t>21303 LOC 350</t>
  </si>
  <si>
    <t>22302 LOC 350</t>
  </si>
  <si>
    <t>21301 LOC 350</t>
  </si>
  <si>
    <t>22300 LOC 350</t>
  </si>
  <si>
    <t>21305 AUT 1723</t>
  </si>
  <si>
    <t>22302 LOC 752</t>
  </si>
  <si>
    <t>21305 AUT 1696</t>
  </si>
  <si>
    <t>21305 LOC  723</t>
  </si>
  <si>
    <t>21303 LOC 723</t>
  </si>
  <si>
    <t>Etiquetas de fila</t>
  </si>
  <si>
    <t>Total general</t>
  </si>
  <si>
    <t>Suma de V/r Alquiler locomotoras</t>
  </si>
  <si>
    <t>Suma de V/r Alquiler Mat. Rodante</t>
  </si>
  <si>
    <t>Suma de Toneladas Transportad.</t>
  </si>
  <si>
    <t>Suma de V/r Alquiler plataformas</t>
  </si>
  <si>
    <t>Suma de Km recorridos</t>
  </si>
  <si>
    <t>Suma de Ton-km</t>
  </si>
  <si>
    <t xml:space="preserve">Operación Comercial </t>
  </si>
  <si>
    <t>Suma de V/r Importe Uso de Vía</t>
  </si>
  <si>
    <t>ENE</t>
  </si>
  <si>
    <t>FEB</t>
  </si>
  <si>
    <t>MES</t>
  </si>
  <si>
    <t>Suma de VALOR TOTAL</t>
  </si>
  <si>
    <t>Suma de N° COCHES</t>
  </si>
  <si>
    <t>Suma de PASAJEROS</t>
  </si>
  <si>
    <t>Suma de Ch-Km</t>
  </si>
  <si>
    <t>MAR</t>
  </si>
  <si>
    <t>Suma de Valor a Consignar a la ANI</t>
  </si>
  <si>
    <t>Suma de Valor Pagado</t>
  </si>
  <si>
    <t>Año.</t>
  </si>
  <si>
    <t>Mes.</t>
  </si>
  <si>
    <t>Fecha.</t>
  </si>
  <si>
    <t>Arriendo material rodante informe OC010</t>
  </si>
  <si>
    <t>OC010</t>
  </si>
  <si>
    <t>01/03/2024 - 31/03/2024</t>
  </si>
  <si>
    <t>01/3/2024 - 31/3/2024</t>
  </si>
  <si>
    <t>Pendiente por pagar Terceros</t>
  </si>
  <si>
    <t xml:space="preserve">Pendiente por pagar por terceros </t>
  </si>
  <si>
    <t>Pendiente por pagar por terceros</t>
  </si>
  <si>
    <t>REMISION ARGOS RPSM-00303538</t>
  </si>
  <si>
    <t>T1-75</t>
  </si>
  <si>
    <t>REMISION ARGOS RPSM-00303703</t>
  </si>
  <si>
    <t>T1-76</t>
  </si>
  <si>
    <t>REMISION ARGOS RPSM-00303881</t>
  </si>
  <si>
    <t>T1-77</t>
  </si>
  <si>
    <t>REMISION ARGOS RPSM-00304084</t>
  </si>
  <si>
    <t>REMISION ARGOS RPSM-00304140</t>
  </si>
  <si>
    <t>T1-78</t>
  </si>
  <si>
    <t>REMISION ARGOS RPSM-00304238</t>
  </si>
  <si>
    <t>T1-79</t>
  </si>
  <si>
    <t>T1-80</t>
  </si>
  <si>
    <t>REMISION ARGOS RPSM-00304658</t>
  </si>
  <si>
    <t>REMISION ARGOS RPSM-00304628</t>
  </si>
  <si>
    <t>T1-81</t>
  </si>
  <si>
    <t>Loc. 1012-1034
Plat.
4071.4048.4162.4120.4124.4151.4018.4146.4001.4159. 4104,4100,4003,4073</t>
  </si>
  <si>
    <t xml:space="preserve">
Loc. 1012-1034
Plat. 4071.4048.4162.4120.4124.4151.4018.4146.4001.4159.4104</t>
  </si>
  <si>
    <t xml:space="preserve">
Loc. 1034-1012
Plat. 4100,4073,4003,4151,4124,4018,4071,4120,4162,4048,4104,4159,4001,4146</t>
  </si>
  <si>
    <t xml:space="preserve">
Loc. 1012-1044
Plat. 4071,4018,4124,4151,4002,4060,4017,4146,4104,4159, 4001</t>
  </si>
  <si>
    <t xml:space="preserve">
Loc. 1012-1001
Plat. 4095,4056,4003,4104,4159,4001,4146,4137,4060,4002,4151,4124,4018,4071</t>
  </si>
  <si>
    <t xml:space="preserve">
Loc. 1001-1012
Plat. 4071, 4018,4124,4001</t>
  </si>
  <si>
    <t xml:space="preserve">
Loc. 1012-1001
Plat. 4064,4087,4061,4079,4095,4056,4003,40834151,4104,41594048,4162,4120</t>
  </si>
  <si>
    <t xml:space="preserve">
Loc. 1034
Plat. 4001,4124,4018,4071,4137,4060,4002</t>
  </si>
  <si>
    <t xml:space="preserve">
Loc. 1001-1012
Plat. 4007,4068,4104,4151,4120,4162,4048,4159</t>
  </si>
  <si>
    <t xml:space="preserve">
Loc. 1012-1001
Plat. 4095,4083,4056,4003,4010,4049,4159,4048,4162,4120,4151,4104,4068,4007</t>
  </si>
  <si>
    <t xml:space="preserve">
Loc. 1001-1012
Plat. 4159,4120,4162,4048,4007,4068,4104,4151</t>
  </si>
  <si>
    <t xml:space="preserve">
Loc. 1012-1001
Plat. 4124,4018,4071,4137,4060,4002,4056,4061,4079,4151,4104,4068,4007,4048</t>
  </si>
  <si>
    <t xml:space="preserve">
Loc. 1001-1012
Plat. 4007,4068,4060,4137,4071,4018,4124,4104,4151</t>
  </si>
  <si>
    <t xml:space="preserve">
Loc. 1012-1001
Plat. 4056,4061,407940003,4060,4002,4056,4061,4079,4151,4104,4068,4007,4048</t>
  </si>
  <si>
    <t xml:space="preserve">
Loc. 1012
Plat. 4049,4095,4083,4001,4162,4120,4159</t>
  </si>
  <si>
    <t xml:space="preserve">
Loc. 1044-1001
Plat.  4060,4062,4001,4018,4104,4151,4007,4068</t>
  </si>
  <si>
    <t>22300 AUT 1723</t>
  </si>
  <si>
    <t>21303 LOS 711</t>
  </si>
  <si>
    <t>21305 AUT-1723</t>
  </si>
  <si>
    <t>21300AUT-1723</t>
  </si>
  <si>
    <t>21303 LOS 350</t>
  </si>
  <si>
    <t>PAIPA - SOGAMOSO-PAIPA</t>
  </si>
  <si>
    <t xml:space="preserve">Turistrén </t>
  </si>
  <si>
    <t>01/3/2024- 31/3/2024</t>
  </si>
  <si>
    <t>Los valores aquí presentados pertenecen a los valores brutos.</t>
  </si>
  <si>
    <t>REMISION ARGOS RPSM-00304448</t>
  </si>
  <si>
    <t>OC011</t>
  </si>
  <si>
    <t>01/4/2024 - 30/4/2024</t>
  </si>
  <si>
    <t>Arriendo material rodante informe OC011</t>
  </si>
  <si>
    <t>01/04/2024 - 30/04/2024</t>
  </si>
  <si>
    <t>01/4/2024- 30/4/2024</t>
  </si>
  <si>
    <t>ABR</t>
  </si>
  <si>
    <t>T1-82</t>
  </si>
  <si>
    <t>T1-83</t>
  </si>
  <si>
    <t>T1-84</t>
  </si>
  <si>
    <t>T1-85</t>
  </si>
  <si>
    <t>T1-86</t>
  </si>
  <si>
    <t>T1-87</t>
  </si>
  <si>
    <t>T1-88</t>
  </si>
  <si>
    <t>T1-89</t>
  </si>
  <si>
    <t>T1-90</t>
  </si>
  <si>
    <t>Loc. 1001-1044
Plat.
4072,4064,4071,4124,4048,4056,4100,4087,4053,40684007,4151,4104,4018</t>
  </si>
  <si>
    <t>Loc. 1001-1034
Plat.
4079,4061,4071,4072,4018,4104,4003,4083,4064,4048,4124,4137,4159,4120</t>
  </si>
  <si>
    <t xml:space="preserve">
Loc. 1044-1001
Plat.
4007,4151,4031,4001,4162,4060,4068,4124,4048,4064,4083,4003,4104
</t>
  </si>
  <si>
    <t xml:space="preserve">
Loc. 1001-1034
Plat. 4147,4056,4095,4049,4104,4003,4083,4031,4146,4151,4007</t>
  </si>
  <si>
    <t xml:space="preserve">
Loc. 1044-1001
Plat. 4120,4018,4001,4162,4060,4072,4071,4061,4079,4146,4031,4003,4104,4049</t>
  </si>
  <si>
    <t xml:space="preserve">
Loc. 1001-1044
Plat. 4064,4001,4018,4049,4104,4003,4031,4071,4072,4060,4162</t>
  </si>
  <si>
    <t xml:space="preserve">
Loc. 1044-1001
Plat. 4061,4079,4146,4159,4137,4095,4056,4147,4083,4001,4064,4031,4003,4162</t>
  </si>
  <si>
    <t xml:space="preserve">
Loc. 1034-1044
Plat. 4137,4048,4095,4162,4003,4031,4064,4001,4083,4147,4056</t>
  </si>
  <si>
    <t xml:space="preserve">
Loc. 1034-1044
Plat. 4079,4146,4104,4049,4018,4060,4072,4071,4007,4056,4002,4100,4061,4151</t>
  </si>
  <si>
    <t xml:space="preserve">
Loc. 1034-1044
Plat. 4146,4079,4151,4061,4072,4060,4018,4049,4104,4124,4068</t>
  </si>
  <si>
    <t xml:space="preserve">
Loc. 1044-1034
Plat. 4071,4007,4056,4048,4137,4068,4031,4003,4162,4095,4147,4083,4001,4064</t>
  </si>
  <si>
    <t xml:space="preserve">
Loc. 1044-1034
Plat. 4001,4083,4147,4031,4068,4137,4048,4056,4007,4071,4064</t>
  </si>
  <si>
    <t xml:space="preserve">
Loc. 1044-1034
Plat. 4162,4095,4124,4104,4049,4137,4003,4072,4061,4151,4018,4079,4146,4060</t>
  </si>
  <si>
    <t xml:space="preserve">
Loc. 1034-1044
Plat. 4146,4079,4018,4151,4104,4124,4095,4162,4061,4072,4003</t>
  </si>
  <si>
    <t xml:space="preserve">
Loc. 1044-1034
Plat. 4068,4031,4147,4064,4071,4007,4056,4073,4060,4049,4137,4048,4083,4001</t>
  </si>
  <si>
    <t xml:space="preserve">
Loc. 1034-1044
Plat.  4031,4068,4007,4071,4064,4147,4056,4001,4083,4048,4137</t>
  </si>
  <si>
    <t xml:space="preserve">
Loc. 1034-1044
Plat.  4049,4060,4146,4003,4018,4151,4104,4079,4095,4162,4087</t>
  </si>
  <si>
    <t>Consignado a la ANI</t>
  </si>
  <si>
    <t>Consorcio CTSA-INGERAL</t>
  </si>
  <si>
    <t>Consignado  a la ANI</t>
  </si>
  <si>
    <t>Cosignado a la ANI</t>
  </si>
  <si>
    <t>21305 LOC 350</t>
  </si>
  <si>
    <t>21300 LOC 350</t>
  </si>
  <si>
    <t>KM - 5 - ZIPAQUIRA-KM - 5</t>
  </si>
  <si>
    <t>21305 LOC 752</t>
  </si>
  <si>
    <t>22300 LOC 711R723</t>
  </si>
  <si>
    <t>21305 AUT -1696</t>
  </si>
  <si>
    <t>21305 LOC -711</t>
  </si>
  <si>
    <t>21307 LOC 350</t>
  </si>
  <si>
    <t>Como la factura 150 se anulo, se reemplaza por la factura 211</t>
  </si>
  <si>
    <t>Nota credito No 2-54</t>
  </si>
  <si>
    <t>Nota credito No 2-55</t>
  </si>
  <si>
    <t>Como la factura 173 se anulo, se reemplaza por la factura 212</t>
  </si>
  <si>
    <t>MAY</t>
  </si>
  <si>
    <t>OC012</t>
  </si>
  <si>
    <t>Arriendo material rodante informe OC012</t>
  </si>
  <si>
    <t>REMISION ARGOS RPSM</t>
  </si>
  <si>
    <t>T1-91</t>
  </si>
  <si>
    <t>T1-92</t>
  </si>
  <si>
    <t>T1-93</t>
  </si>
  <si>
    <t>T1-94</t>
  </si>
  <si>
    <t>T1-97</t>
  </si>
  <si>
    <t>REMISION ARGOS RPSM-</t>
  </si>
  <si>
    <t>T1-01</t>
  </si>
  <si>
    <t>Loc. 1044-1034
Plat.
4003,41374048,4083,4001,4064.4071.4007,4151,4162,4095,4079,4104,4061</t>
  </si>
  <si>
    <t xml:space="preserve">
Loc. 1034-1044
Plat. 4137,4061,4104,4064,4001,4083,4048,4151,4007,4071</t>
  </si>
  <si>
    <t xml:space="preserve">
Loc. 1044-1012
Plat. 4073,4162,4095,4147,4072,4068,4031,4001,404,4104,4061,4071,4056</t>
  </si>
  <si>
    <t xml:space="preserve">
Loc. 1012-1044
Plat.4072,4147,4079,4095,4162,4002,4071,4061,4104,4064</t>
  </si>
  <si>
    <t xml:space="preserve">
Loc. 1012-1044
Plat. 4073,4031,4001,4007,4051,4048,4083,4137,4018,4003,4146,4060,4049,4120</t>
  </si>
  <si>
    <t xml:space="preserve">
Loc. 1012-1044
Plat. 4120,4083,4046,4151,4007,4068,4001,4031</t>
  </si>
  <si>
    <t xml:space="preserve">
Loc. 1012-1044
Plat. 4073,4146,4060,4162,4095,40794147,4087,4072,4064,4104,4061,4071,4002</t>
  </si>
  <si>
    <t xml:space="preserve">
Loc. 1012-1044
Plat. 4061,4104,4064,4072,4087,4147,4079,4095,4162,4060,4146</t>
  </si>
  <si>
    <t xml:space="preserve">
Loc. 1012-1044
Plat. 4002,4031,4001,4068,4074051,4048,4083,4020,4137,4018,4003,4073,4071</t>
  </si>
  <si>
    <t xml:space="preserve">
Loc. 1012-1044
Plat. 4073,4071,4087,4072,4064,4104,4061,4079,4147,4146,4060,4062,4095,4083</t>
  </si>
  <si>
    <t xml:space="preserve">
Loc. 1001-1012
Plat. 4071,4087,4007,4151,4048,4003,4120,4137,4018,4146,4060,4162,4095,4083</t>
  </si>
  <si>
    <t xml:space="preserve">
Loc. 1044-1012
Plat. 4060,4018,4137,4120,4003,4048,4083</t>
  </si>
  <si>
    <t xml:space="preserve">
Loc. 1012-1044
Plat.4087,4151,4064,4061,4104,4079,4079,4147,4073,4001,4162,4095,4071,4068,4002</t>
  </si>
  <si>
    <t xml:space="preserve">
Loc. 1012-1044
Plat. 4064,4162,4095,4071,4068,4002,4061,4079,4001,4087,4151,4124</t>
  </si>
  <si>
    <t>KM - 5 - ZIPAQUIRA- KM - 5</t>
  </si>
  <si>
    <t>21305 AUT 1676</t>
  </si>
  <si>
    <t>21300 LOC 752R711</t>
  </si>
  <si>
    <t>21301 AUT- 1676</t>
  </si>
  <si>
    <t>01/5/2024 - 31/5/2024</t>
  </si>
  <si>
    <t>01/5/2024- 31/5/2024</t>
  </si>
  <si>
    <t>ARRIENDO DE AREA DE 500 M2, UBICADA EN EL KM5+J100:J107</t>
  </si>
  <si>
    <t>01/6/2024- 30/6/2024</t>
  </si>
  <si>
    <t>JUN</t>
  </si>
  <si>
    <t>01/05/2024 - 31/05/2024</t>
  </si>
  <si>
    <t>OC013</t>
  </si>
  <si>
    <t>Arriendo material rodante informe OC013</t>
  </si>
  <si>
    <t>Loc. 1012-1034
Plat.
4073,4031,4083,4048,4003,4120,4137,4018,4060,4147,4104,4064,4162,4095</t>
  </si>
  <si>
    <t>REMISION ARGOS RPSM-00309772</t>
  </si>
  <si>
    <t xml:space="preserve">
Loc. 1034-1012
Plat. 4048,4079,4001,4056,4071,4068,4002,4061,4147,4104,4064,4162,4095,4003</t>
  </si>
  <si>
    <t>REMISION ARGOS RPSM-00309851</t>
  </si>
  <si>
    <t xml:space="preserve">
Loc. 1034-1012
Plat. 4104,4147,4068,4071,4056,4048,4151,4087,4162,4061,4002</t>
  </si>
  <si>
    <t>T1-101</t>
  </si>
  <si>
    <t xml:space="preserve">
Loc. 1012-1034
Plat.4061,4162,4087,4056,4071,4079,4001,4060,4073,4031,4083,4120,4137,4018</t>
  </si>
  <si>
    <t>REMISION ARGOS RPSM-00310041</t>
  </si>
  <si>
    <t xml:space="preserve">
Loc. 1001-1044
Plat. 4073,4031,4002,4003,4068,4147,4104,4151,4048,4071,4018,4061,4162,4087</t>
  </si>
  <si>
    <t>REMISION ARGOS RPSM-00310623</t>
  </si>
  <si>
    <t xml:space="preserve">
Loc. 1001-1044
Plat. 4162,4061,4018,4071,4147,4068,4087,4003,4048,4151</t>
  </si>
  <si>
    <t>T1-103</t>
  </si>
  <si>
    <t xml:space="preserve">
Loc. 1001-1044
Plat. 4031,4002,4079,4146,4137,4083,4120,4056,4060,4003,4087,4071,4018,4061</t>
  </si>
  <si>
    <t>REMISION ARGOS RPSM-00310792</t>
  </si>
  <si>
    <t xml:space="preserve">
Loc. 1001-1044
Plat. 4061,4018,4071,4087,4003,4060,4056,4146,4079,4002,4031</t>
  </si>
  <si>
    <t>T1-104</t>
  </si>
  <si>
    <t xml:space="preserve">
Loc. 1001-1044
Plat. 4083,4120,4151,4048,4104,4073,4162,4068,4147,4061,4031,4002,4079,4146</t>
  </si>
  <si>
    <t>REMISION ARGOS RPSM-00310963</t>
  </si>
  <si>
    <t xml:space="preserve">
Loc. 1001-1044
Plat. 4162,4002,4056,4060,4003,4087,4071,4018,4137,4068,4147,4083,4120,4151</t>
  </si>
  <si>
    <t>REMISION ARGOS RPSM-00311111</t>
  </si>
  <si>
    <t xml:space="preserve">
Loc. 1001-1044
Plat. 4059,4120,4018,4071,4060,4056,4002,4162,4087,4003,4151</t>
  </si>
  <si>
    <t>T1-106</t>
  </si>
  <si>
    <t xml:space="preserve">
Loc. 1044-1012
Plat. 4120,4147,4083,4048,4049,4064,4146,4073,4061,4031,4159,4002,4056,4068</t>
  </si>
  <si>
    <t>REMISION ARGOS RPSM-00311306</t>
  </si>
  <si>
    <t xml:space="preserve">
Loc. 1012-1044
Plat.4120,4146,4064,4049,4048,4068,4056</t>
  </si>
  <si>
    <t>T1-107</t>
  </si>
  <si>
    <t xml:space="preserve">
Loc. 1012-1044
Plat. 4031,4073,4151,4003,4087,4162,4060,4071,4018,4010,4100,4061,4159,4002</t>
  </si>
  <si>
    <t>REMISION ARGOS RPSM-00311510</t>
  </si>
  <si>
    <t xml:space="preserve">22300 LOC 711 </t>
  </si>
  <si>
    <t>01/06/2024 - 30/06/2024</t>
  </si>
  <si>
    <t>01/6/2024 - 30/6/2024</t>
  </si>
  <si>
    <t>T102</t>
  </si>
  <si>
    <t xml:space="preserve">
Loc. 1044-1001
Plat. 4087,4162,4061,4018,4137,4146,4079,4071,4056,4120,4083</t>
  </si>
  <si>
    <t>01/7/2024- 31/7/2024</t>
  </si>
  <si>
    <t>JUL</t>
  </si>
  <si>
    <t>01/07/2024 - 31/07/2024</t>
  </si>
  <si>
    <t>OC014</t>
  </si>
  <si>
    <t>Arriendo material rodante informe OC014</t>
  </si>
  <si>
    <t>22300 LOC 350 R 711</t>
  </si>
  <si>
    <t>KM - 5 - UN MILITAR-KM-5</t>
  </si>
  <si>
    <t>21301 loc 350</t>
  </si>
  <si>
    <t>22300 loc 350</t>
  </si>
  <si>
    <t>RPSM-00311623</t>
  </si>
  <si>
    <t>T1-109</t>
  </si>
  <si>
    <t>RPSM-00311627</t>
  </si>
  <si>
    <t>T1-110</t>
  </si>
  <si>
    <t>RPSM-00311828</t>
  </si>
  <si>
    <t>T1-111</t>
  </si>
  <si>
    <t>RPSM-00311990</t>
  </si>
  <si>
    <t>T1-112</t>
  </si>
  <si>
    <t>RPSM-00312541</t>
  </si>
  <si>
    <t>T1-113</t>
  </si>
  <si>
    <t>RPSM-00312701</t>
  </si>
  <si>
    <t>T1-114</t>
  </si>
  <si>
    <t>T1-115</t>
  </si>
  <si>
    <t>RPSM-00313205</t>
  </si>
  <si>
    <t>T1-116</t>
  </si>
  <si>
    <t>RPSM-00313542</t>
  </si>
  <si>
    <t>Loc. 1001-1044
Plat.
4159,4002,4056,4068,4048,4049,4064,4146,4120,4031,407,4151,4003,4089</t>
  </si>
  <si>
    <t xml:space="preserve">
Loc. 1034-1012
Plat. 4068,4120,4146,4064,4049,4048,4087,4003,41594056,4002</t>
  </si>
  <si>
    <t xml:space="preserve">
Loc. 1034-1012
Plat.  4073,4151,4031,4010,4100,4061,4162,4060,4071,4018,4049,4064,4146,4003</t>
  </si>
  <si>
    <t xml:space="preserve">
Loc. 1012-1034
Plat.4003,4124,4146</t>
  </si>
  <si>
    <t xml:space="preserve">
Loc. 1012-1034
Plat.  4100,4061,4120,4159,4002,4056,4068,4087,4048,4010,4051,4031,4162,4060</t>
  </si>
  <si>
    <t xml:space="preserve">
Loc. 1034-1012
Plat. 4060,4162,4031,4151,4048,4068,4055,4002,4159,4120,4061</t>
  </si>
  <si>
    <t xml:space="preserve">
Loc. 1012-1034
Plat.  4087,4010,4071,4018,4049,4064,4146,4124,4003,4151,4031,4162,4060,4095</t>
  </si>
  <si>
    <t xml:space="preserve">
Loc. 1012-1034
Plat. 4031,4151,4064,4049,4018,4071,4137,4087,4095,4060,4162</t>
  </si>
  <si>
    <t xml:space="preserve">
Loc. 1034-1012
Plat.  4151,4031,4146,4100,4061,4120,4159,4002,4056,4068,4048,4137,4071,4003</t>
  </si>
  <si>
    <t xml:space="preserve">
Loc. 1012-1034
Plat. 4120,4061,4003,4124,4146,4031,4151,4056,4002</t>
  </si>
  <si>
    <t xml:space="preserve">
Loc. 1034-1012
Plat.  4002,4056,4068,4048,4071,4072,4159,4162,4060,4095,4087,4018,4049,4064</t>
  </si>
  <si>
    <t xml:space="preserve">
Loc. 1012-1034
Plat. 4072,4071,4048,4068,4056,4002,4064,4049,4018,4087,4159</t>
  </si>
  <si>
    <t xml:space="preserve">
Loc. 1034-1012
Plat. 4072,4071,4048,4068,4056,4002,4064,4049,4018,4087,4159,4141</t>
  </si>
  <si>
    <t xml:space="preserve">
Loc. 1012-1044
Plat.  4049,4031,4146,4064,4060,4095,4100,4124,4003,4061,4120,4002,4056,4068</t>
  </si>
  <si>
    <t xml:space="preserve">
Loc. 1012-1034
Plat. 4146,4031,4064,4049,4068,4056,4002,4120,4095,4060,4162</t>
  </si>
  <si>
    <t xml:space="preserve">
Loc. 1012-1034
Plat. 4067,4124,4003,4100,4018,4048,4071,4072,4031,4146,4162,4060,4095,4120</t>
  </si>
  <si>
    <t>01/8/2024- 31/8/2024</t>
  </si>
  <si>
    <t>Ajuste retroactivo del canon de arrendamiento correspondiente al periodo del 29 al 30 de junio de 2024, aplicando IPC más IVA. Este valor se requiere para quedar a paz y salvo del mes de junio de 2024, considerando que el contrato se firmó el 29 de junio de 2023 y el nuevo canon inició el 29 de junio de 2024</t>
  </si>
  <si>
    <t>20/6/2024- 30/6/2024</t>
  </si>
  <si>
    <t>29/6/2024- 30/6/2024</t>
  </si>
  <si>
    <t>Ajuste retroactivo del canon de arrendamiento correspondiente al periodo del 20 al 30 de junio de 2024, aplicando IPC más IVA. Este valor se requiere para quedar a paz y salvo del mes de junio de 2024, considerando que el contrato se firmó el 20 de junio de 2023 y el nuevo canon inició el 20 de junio de 2024.</t>
  </si>
  <si>
    <t>OC015</t>
  </si>
  <si>
    <t>01/08/2024 - 31/08/2024</t>
  </si>
  <si>
    <t>Arriendo material rodante informe OC015</t>
  </si>
  <si>
    <t>01/8/2024 - 31/8/2024</t>
  </si>
  <si>
    <t>01/7/2024 - 31/7/2024</t>
  </si>
  <si>
    <t>T1-117</t>
  </si>
  <si>
    <t>REMISION ARGOS RPSM- 00313744 
     T1-117</t>
  </si>
  <si>
    <t>T1-118</t>
  </si>
  <si>
    <t>REMISION ARGOS RPSM-00313866                               T1-118</t>
  </si>
  <si>
    <t>REMISION ARGOS RPSM-00313980                                   T1-119</t>
  </si>
  <si>
    <t>T1 120</t>
  </si>
  <si>
    <t>REMISION ARGOS RPSM-00314081                                   T1-120</t>
  </si>
  <si>
    <t>REMISION ARGOS RPSM-00314241                                   T1-121</t>
  </si>
  <si>
    <t>REMISION ARGOS RPSM-00314768                                   T1-122</t>
  </si>
  <si>
    <t>REMISION ARGOS RPSM-00314925                                   T1-123</t>
  </si>
  <si>
    <t>REMISION ARGOS RPSM-00315097                                   T1-124</t>
  </si>
  <si>
    <t>REMISION ARGOS RPSM-00315392                                   T1-125</t>
  </si>
  <si>
    <t>AGO</t>
  </si>
  <si>
    <t>21307 AUT 1676</t>
  </si>
  <si>
    <t>21301 AUT-1676</t>
  </si>
  <si>
    <t>22300 AUT - 1676</t>
  </si>
  <si>
    <t>22304 LOC 711</t>
  </si>
  <si>
    <t>21304 AUT 1676</t>
  </si>
  <si>
    <t>21302 LOC 350</t>
  </si>
  <si>
    <t>21307 AUT1696</t>
  </si>
  <si>
    <t>21301 AUT -1676</t>
  </si>
  <si>
    <t>01/9/2024- 30/9/2024</t>
  </si>
  <si>
    <t>OC016</t>
  </si>
  <si>
    <t>01/09/2024 - 30/09/2024</t>
  </si>
  <si>
    <t>Arriendo material rodante informe OC016</t>
  </si>
  <si>
    <t>01/9/2024 - 30/9/2024</t>
  </si>
  <si>
    <t>(T1-129)</t>
  </si>
  <si>
    <t>(T1-131)</t>
  </si>
  <si>
    <t>(T1-138)</t>
  </si>
  <si>
    <t>RPSM-00315568 (T1-126)</t>
  </si>
  <si>
    <t>RPSM-00315637 (T1-127)</t>
  </si>
  <si>
    <t>RPSM-00315693 (T1-128)</t>
  </si>
  <si>
    <t>RPSM-00315814 (T1-129)</t>
  </si>
  <si>
    <t>RPSM-00316048 (T1-130)</t>
  </si>
  <si>
    <t>RPSM-00316251 (T1-131)</t>
  </si>
  <si>
    <t xml:space="preserve">RPSM-00316416 (T1-132) </t>
  </si>
  <si>
    <t>RPSM-00316560 (T1-133)</t>
  </si>
  <si>
    <t>RPSM-00316703 (T1-134)</t>
  </si>
  <si>
    <t>RPSM-00316879 (T1-135)</t>
  </si>
  <si>
    <t>RPSM-00316941 (T1-136)</t>
  </si>
  <si>
    <t>RPSM-00317099 (T1-137)</t>
  </si>
  <si>
    <t>RPSM-00317362  (T1-138)</t>
  </si>
  <si>
    <t>SEP</t>
  </si>
  <si>
    <t>21301 AUT-1723</t>
  </si>
  <si>
    <t>KJ-200 LOC752R1723</t>
  </si>
  <si>
    <t>KM - 5 - PK - 41+900-KM-5</t>
  </si>
  <si>
    <t>21301 AUT-1696</t>
  </si>
  <si>
    <t>21302 AUT-1696</t>
  </si>
  <si>
    <t>21305 AUT - 1676</t>
  </si>
  <si>
    <t>21300 AUT -1676</t>
  </si>
  <si>
    <t>21300 AUT-1696</t>
  </si>
  <si>
    <t>21305 LOC - 350</t>
  </si>
  <si>
    <t>21300 LOC -350</t>
  </si>
  <si>
    <t>21300 AUT-1676</t>
  </si>
  <si>
    <t>21305 LOC - 711</t>
  </si>
  <si>
    <t>21300 LOC -711</t>
  </si>
  <si>
    <t>21305 AUT  1676</t>
  </si>
  <si>
    <t>21300 AUT - 1676</t>
  </si>
  <si>
    <t>Nota credito No 2-62</t>
  </si>
  <si>
    <t>fideicomiso Sociedad  Fiduciaria de occidente</t>
  </si>
  <si>
    <t>14/03/2024-30-06/2024</t>
  </si>
  <si>
    <t>28/11/2023-30/11/2023</t>
  </si>
  <si>
    <t>OC017</t>
  </si>
  <si>
    <t>Arriendo material rodante informe OC017</t>
  </si>
  <si>
    <t>01/10/2024 - 31/10/2024</t>
  </si>
  <si>
    <t>01/10/2024-31/10/2024</t>
  </si>
  <si>
    <t>Ajuste retroactivo del canon de arrendamiento correspondiente al periodo del 14 de marzo al 30 de junio de 2024, aplicando IPC más IVA. Este valor se requiere para quedar a paz y salvo.</t>
  </si>
  <si>
    <t>Como la factura 266 se anulo, se reemplaza por la factura 307</t>
  </si>
  <si>
    <t>OCT</t>
  </si>
  <si>
    <t>(T1-142)</t>
  </si>
  <si>
    <t>(T1-147)</t>
  </si>
  <si>
    <t>(T1-148)</t>
  </si>
  <si>
    <t>(T1-149)</t>
  </si>
  <si>
    <t>RPSM-00317940 (T1-139)</t>
  </si>
  <si>
    <t>RPSM-00318108(T1-140)</t>
  </si>
  <si>
    <t>RPSM-00 318302(T1-141)</t>
  </si>
  <si>
    <t>RPSM-00318387 (T1-142)</t>
  </si>
  <si>
    <t>RPSM-00318525(T1-143)</t>
  </si>
  <si>
    <t>RPSM-00318703(T1-144)</t>
  </si>
  <si>
    <t>RPSM-00318834 (T1-145)</t>
  </si>
  <si>
    <t xml:space="preserve">RPSM-00318883 (T1-146) </t>
  </si>
  <si>
    <t xml:space="preserve"> (T1-147)</t>
  </si>
  <si>
    <t>RPSM-00318990(T1-47)</t>
  </si>
  <si>
    <t xml:space="preserve"> (T1-148)</t>
  </si>
  <si>
    <t>RPSM-00319133  (T1-149)</t>
  </si>
  <si>
    <t>RPSM-00319289  (T1-150)</t>
  </si>
  <si>
    <t>Columna1</t>
  </si>
  <si>
    <t>21303 AUT - 1676</t>
  </si>
  <si>
    <t>22302 AUT - 1676</t>
  </si>
  <si>
    <t>21303 AUT - 1696</t>
  </si>
  <si>
    <t>22302 AUT - 1696</t>
  </si>
  <si>
    <t>22304 LOC 723</t>
  </si>
  <si>
    <t>01/10/2024- 31/10/2024</t>
  </si>
  <si>
    <t>01/11/2024- 30/11/2024</t>
  </si>
  <si>
    <t>ARRIENDO BODEGA  CON UNA AREA DE 1,117 M2 UBICADA EN KM4</t>
  </si>
  <si>
    <t>14/03/2024-31/03/2024
1/04/2024-30/04/2024</t>
  </si>
  <si>
    <t xml:space="preserve">Ajuste retroactivo del canon de arrendamiento correspondiente al periodo del 14 de marzo al 30 de abril de 2024, aplicando IPC más IVA. </t>
  </si>
  <si>
    <t>NOV</t>
  </si>
  <si>
    <t xml:space="preserve">1/05/2024-30/05/2024
</t>
  </si>
  <si>
    <t xml:space="preserve">Ajuste retroactivo del canon de arrendamiento correspondiente al periodo del 1 de mayo al 30   aplicando IPC más IVA. </t>
  </si>
  <si>
    <t>OC018</t>
  </si>
  <si>
    <t>01/11/2024-30/11/2024</t>
  </si>
  <si>
    <t>Arriendo material rodante informe OC018</t>
  </si>
  <si>
    <t>01/11/2024 - 30/11/2024</t>
  </si>
  <si>
    <t>22300 AUT - 1696</t>
  </si>
  <si>
    <t>21301 LOC 1676</t>
  </si>
  <si>
    <t>21307 LOC 752</t>
  </si>
  <si>
    <t>21304 LOC 752</t>
  </si>
  <si>
    <t>21300 LOC 723T 1676</t>
  </si>
  <si>
    <t>21300 LOC 350R 1696</t>
  </si>
  <si>
    <t>21300 AUT  1696</t>
  </si>
  <si>
    <t>(T1-155)</t>
  </si>
  <si>
    <t>RPSM-00319477 (T1-151)</t>
  </si>
  <si>
    <t>RPSM-00319572(T1-152)</t>
  </si>
  <si>
    <t>RPSM-00 319675(T1-153)</t>
  </si>
  <si>
    <t>RPSM-00 319844(T1-154)</t>
  </si>
  <si>
    <t>RPSM-00320952(T1-156)</t>
  </si>
  <si>
    <t>RPSM-00321121(T1-157)</t>
  </si>
  <si>
    <t>RPSM-00321297 (T1-158)</t>
  </si>
  <si>
    <t>01/12/2024- 30/12/2024</t>
  </si>
  <si>
    <t>01/06/2024-28/06/2024</t>
  </si>
  <si>
    <t>Ajuste retroactivo del canon de arrendamiento correspondiente al periodo del 1 al 28 de junio de 2024, aplicando IPC más IVA. Este valor se requiere para quedar a paz y salvo del mes de junio de 2024, considerando que  los dias 29 y 30 ya se consignaron a la agencia nacional de infraestructura en la factura 265.</t>
  </si>
  <si>
    <t>DIC</t>
  </si>
  <si>
    <t>OC019</t>
  </si>
  <si>
    <t>Arriendo material rodante informe OC019</t>
  </si>
  <si>
    <t>01/12/2024-31/12/2024</t>
  </si>
  <si>
    <t>REMISION ARGOS RPSM- 00321430
     T1-159</t>
  </si>
  <si>
    <t>T160</t>
  </si>
  <si>
    <t>REMISION ARGOS RPSM-00321567                                T1-160</t>
  </si>
  <si>
    <t>REMISION ARGOS RPSM-00321708                               T1-161</t>
  </si>
  <si>
    <t>REMISION ARGOS RPSM-00321827                               T1-162</t>
  </si>
  <si>
    <t>REMISION ARGOS RPSM-00321925                               T1-163</t>
  </si>
  <si>
    <t>REMISION ARGOS RPSM-00322080                               T1-164</t>
  </si>
  <si>
    <t>REMISION ARGOS RPSM-00322211                              T1-165</t>
  </si>
  <si>
    <t>REMISION ARGOS RPSM-00322359                               T1-166</t>
  </si>
  <si>
    <t>01/12/2024 - 31/12/2024</t>
  </si>
  <si>
    <t>PAIPA - SOGAMOSO - PAIPA</t>
  </si>
  <si>
    <t>21302 LOC 752</t>
  </si>
  <si>
    <t>22300 LOC 752R723</t>
  </si>
  <si>
    <t>Navideño Boyacá</t>
  </si>
  <si>
    <t>Universidad militar</t>
  </si>
  <si>
    <t>Navideño Bogotá</t>
  </si>
  <si>
    <t>Turístico</t>
  </si>
  <si>
    <t xml:space="preserve">Universidad de la Sabana </t>
  </si>
  <si>
    <t>Universidad del Bosque</t>
  </si>
  <si>
    <t>01/1/2025- 30/1/2025</t>
  </si>
  <si>
    <t>OC020</t>
  </si>
  <si>
    <t>01/1/2025-31/1/2025</t>
  </si>
  <si>
    <t>AÑO</t>
  </si>
  <si>
    <t>REMISION ARGOS RPSM- 00323147
     T1-167</t>
  </si>
  <si>
    <t>REMISION ARGOS RPSM- 00323512
     T1-168</t>
  </si>
  <si>
    <t>REMISION ARGOS RPSM-00323627                                T1-169</t>
  </si>
  <si>
    <t>REMISION ARGOS RPSM-00323734                              T1-170</t>
  </si>
  <si>
    <t>REMISION ARGOS RPSM-00323858                               T1-171</t>
  </si>
  <si>
    <t>REMISION ARGOS RPSM-00323985                               T1-172</t>
  </si>
  <si>
    <t>REMISION ARGOS RPSM-00324113                               T1-173</t>
  </si>
  <si>
    <t>Arriendo material rodante informe OC020</t>
  </si>
  <si>
    <t>01/1/2025 - 31/1/2025</t>
  </si>
  <si>
    <t>KM - 5 - ZIPAQUIRA - KM - 5</t>
  </si>
  <si>
    <t>KM - 5 - PK - 43 UNI MIL-KM-5</t>
  </si>
  <si>
    <t>21301 AUT - 1676</t>
  </si>
  <si>
    <t>2330 AUT - 1676</t>
  </si>
  <si>
    <t>21307 AUT 1696</t>
  </si>
  <si>
    <t>Usuario</t>
  </si>
  <si>
    <t>CFRO</t>
  </si>
  <si>
    <t>ARRIENDO BODEGA  CON UNA ÁREA DE 2.234 M2 UBICADA EN KM5</t>
  </si>
  <si>
    <t>ARRIENDO BODEGA  CON UNA ÁREA DE 2.234 M2 UBICADA EN KM6</t>
  </si>
  <si>
    <t>Nota crédito No.2-8 del 28 de junio de 2023</t>
  </si>
  <si>
    <t>Nota de Crédito No. 8 para anular factura 25 ARRIENDO DE BODEGA DE 128,2 M2, UBICADO EN KM 5 porque la legalización del contrato de arrendamiento se realizo en el periodo 1/02/2023 al 13/03/2023</t>
  </si>
  <si>
    <t>Nota crédito No.2-9 del 28 de junio de 2023</t>
  </si>
  <si>
    <t>Nota crédito No.2-10 del 28 de junio de 2023</t>
  </si>
  <si>
    <t>Año2</t>
  </si>
  <si>
    <t>Mes3</t>
  </si>
  <si>
    <t>Fecha4</t>
  </si>
  <si>
    <t>Material rodante</t>
  </si>
  <si>
    <t>Inmuebles</t>
  </si>
  <si>
    <t>universidad</t>
  </si>
  <si>
    <t>Turistico</t>
  </si>
  <si>
    <t>nov</t>
  </si>
  <si>
    <t>dic</t>
  </si>
  <si>
    <t>mar</t>
  </si>
  <si>
    <t>ene</t>
  </si>
  <si>
    <t>feb</t>
  </si>
  <si>
    <t>abr</t>
  </si>
  <si>
    <t>may</t>
  </si>
  <si>
    <t>jun</t>
  </si>
  <si>
    <t>jul</t>
  </si>
  <si>
    <t>ago</t>
  </si>
  <si>
    <t>sep</t>
  </si>
  <si>
    <t>oct</t>
  </si>
  <si>
    <t>OC021</t>
  </si>
  <si>
    <t>01/2/2025-28/2/2025</t>
  </si>
  <si>
    <t>Arriendo material rodante informe OC021</t>
  </si>
  <si>
    <t>01/2/2025 - 28/2/2025</t>
  </si>
  <si>
    <t>REMISION ARGOS RPSM- 00324267
     T1-174</t>
  </si>
  <si>
    <t>REMISION ARGOS RPSM- 00324550
     T1-175</t>
  </si>
  <si>
    <t>REMISION ARGOS RPSM-00324848                               T1-176</t>
  </si>
  <si>
    <t>REMISION ARGOS RPSM-00325012                              T1-177</t>
  </si>
  <si>
    <t>REMISION ARGOS RPSM- 00325144                               T1-178</t>
  </si>
  <si>
    <t>REMISION ARGOS RPSM-00325293                               T1-179</t>
  </si>
  <si>
    <t xml:space="preserve"> T1-1</t>
  </si>
  <si>
    <t xml:space="preserve"> T1-2</t>
  </si>
  <si>
    <t xml:space="preserve"> T1-3</t>
  </si>
  <si>
    <t>REMISION ARGOS RPSM-00325981                               T1-180</t>
  </si>
  <si>
    <t>21305 AUT - 1696</t>
  </si>
  <si>
    <t>21300 AUT - 1696</t>
  </si>
  <si>
    <t>21301 aut 1676</t>
  </si>
  <si>
    <t>21302 aut 1676</t>
  </si>
  <si>
    <t>21303 loc 711</t>
  </si>
  <si>
    <t>22300 loc 711</t>
  </si>
  <si>
    <t>21303 aut 1696</t>
  </si>
  <si>
    <t>21300 aut 1696</t>
  </si>
  <si>
    <t>22300 LOC 752R350</t>
  </si>
  <si>
    <t>01/02/2025- 28/02/2025</t>
  </si>
  <si>
    <t>01/03/2025- 30/03/2025</t>
  </si>
  <si>
    <t>JE JAIMES Ingenieros S.A.S</t>
  </si>
  <si>
    <t>27/01/2025-30/01/2025</t>
  </si>
  <si>
    <t>ARRIENDO DE BODEGA CON UN AREA DE 240 M2 UBICADA EN EL KM5</t>
  </si>
  <si>
    <t>1/02/2025-28/02/2025</t>
  </si>
  <si>
    <t>1/03/2025-30/03/2025</t>
  </si>
  <si>
    <t>OC022</t>
  </si>
  <si>
    <t>Arriendo material rodante informe OC022</t>
  </si>
  <si>
    <t>REMISION ARGOS RPSM- 00326347
     T1-181</t>
  </si>
  <si>
    <t>REMISION ARGOS RPSM- 00326496
     T1-182</t>
  </si>
  <si>
    <t>REMISION ARGOS RPSM-00326666                               T1-183</t>
  </si>
  <si>
    <t>REMISION ARGOS RPSM-00326794                             T1-184</t>
  </si>
  <si>
    <t>REMISION ARGOS RPSM- 00326950                               T1-185</t>
  </si>
  <si>
    <t>REMISION ARGOS RPSM-00327095                               T1-186</t>
  </si>
  <si>
    <t>REMISION ARGOS RPSM-00327308                               T1-187</t>
  </si>
  <si>
    <t>REMISION ARGOS RPSM-00327474                               T1-188</t>
  </si>
  <si>
    <t>REMISION ARGOS RPSM-00327640                               T1-189</t>
  </si>
  <si>
    <t>REMISION ARGOS RPSM-00328142                              T1-190</t>
  </si>
  <si>
    <t>01/3/2025-31/3/2025</t>
  </si>
  <si>
    <t>01/3/2025 - 31/3/2025</t>
  </si>
  <si>
    <t>22302 LOC 723r350</t>
  </si>
  <si>
    <t>21301 loc 752</t>
  </si>
  <si>
    <t>21303 AUT 1696</t>
  </si>
  <si>
    <t>22300 ATU 1676</t>
  </si>
  <si>
    <t>21302 AUT - 1676</t>
  </si>
  <si>
    <t>21301 AUT - 1696</t>
  </si>
  <si>
    <t>21302 AUT - 1696</t>
  </si>
  <si>
    <t>22300 LOC 752R1696</t>
  </si>
  <si>
    <t>JE Jaimes Ingenieros S.A.S</t>
  </si>
  <si>
    <t>ARRIENDO DE BODEGA DE 128,2 M2, UBICADO EN KM 6</t>
  </si>
  <si>
    <t>Nota credito No 2-65</t>
  </si>
  <si>
    <t>Nota credito No 2-66</t>
  </si>
  <si>
    <t>Nota credito No 2-67</t>
  </si>
  <si>
    <t>Nota credito No 2-68</t>
  </si>
  <si>
    <t>Nota credito No 2-69</t>
  </si>
  <si>
    <t>Nota credito No 2-70</t>
  </si>
  <si>
    <t>01/04/2025- 30/04/2025</t>
  </si>
  <si>
    <t>1/04/2025-30/04/2025</t>
  </si>
  <si>
    <t>ARRIENDO DE LOTE DE 30M2 UBICADO EN EL KM5</t>
  </si>
  <si>
    <t>Como la factura 393 se anulo, se reemplaza por la factura 410</t>
  </si>
  <si>
    <t>Como la factura 394 se anulo, se reemplaza por la factura 411</t>
  </si>
  <si>
    <t>Como la factura 395 se anulo, se reemplaza por la factura 412</t>
  </si>
  <si>
    <t>Como la factura 397 se anulo, se reemplaza por la factura 413</t>
  </si>
  <si>
    <t>Como la factura 398 se anulo, se reemplaza por la factura 414</t>
  </si>
  <si>
    <t>Como la factura 399 se anulo, se reemplaza por la factura 415</t>
  </si>
  <si>
    <t>OC023</t>
  </si>
  <si>
    <t>01/4/2025-30/4/2025</t>
  </si>
  <si>
    <t>01/4/2025 - 30/4/2025</t>
  </si>
  <si>
    <t>Arriendo material rodante informe OC023</t>
  </si>
  <si>
    <t>REMISION ARGOS RPSM- 00328400
     T1-191</t>
  </si>
  <si>
    <t>REMISION ARGOS RPSM- 00328-8
     T1-192</t>
  </si>
  <si>
    <t>REMISION ARGOS RPSM-00326666                               T1-193</t>
  </si>
  <si>
    <t>REMISION ARGOS RPSM-00328955                                T1-194</t>
  </si>
  <si>
    <t>REMISION ARGOS RPSM- 00329096                               T1-195</t>
  </si>
  <si>
    <t>REMISION ARGOS RPSM-00329147                               T1-196</t>
  </si>
  <si>
    <t>REMISION ARGOS RPSM-00329406                               T1-197</t>
  </si>
  <si>
    <t>REMISION ARGOS RPSM-00329544                               T1-198</t>
  </si>
  <si>
    <t>21302AUT 1696</t>
  </si>
  <si>
    <t>KM - 5 - PK - 28 MUL - USAQ</t>
  </si>
  <si>
    <t>USAQUEN - LA CARO - KM - 5</t>
  </si>
  <si>
    <t>01/05/2025- 30/05/2025</t>
  </si>
  <si>
    <t>OC024</t>
  </si>
  <si>
    <t>Arriendo material rodante informe OC024</t>
  </si>
  <si>
    <t>01/5/2025-31/5/2025</t>
  </si>
  <si>
    <t>REMISION ARGOS RPSM- 00330275
 T1-199</t>
  </si>
  <si>
    <t>REMISION ARGOS RPSM- 00330398
     T1-200</t>
  </si>
  <si>
    <t>REMISION ARGOS     RPSM-00330571         T1-201</t>
  </si>
  <si>
    <t>REMISION ARGOS RPSM-00330724   T1-202</t>
  </si>
  <si>
    <t>REMISION ARGOS RPSM- 0033-08     T1-203</t>
  </si>
  <si>
    <t>REMISION ARGOS    RPSM-00331102      T1-204</t>
  </si>
  <si>
    <t>REMISION ARGOS RPSM-00331222       T1-205</t>
  </si>
  <si>
    <t>REMISION ARGOS    RPSM-00331324       T1-206</t>
  </si>
  <si>
    <t>REMISION ARGOS    RPSM-00331469       T1-207</t>
  </si>
  <si>
    <t>REMISION ARGOS RPSM-00331621       T1-208</t>
  </si>
  <si>
    <t>T1-001</t>
  </si>
  <si>
    <t>01/5/2025 - 31/5/2025</t>
  </si>
  <si>
    <t>21304 AUT 1696</t>
  </si>
  <si>
    <t>KM - 5 - MULT PK-28 - KM-5</t>
  </si>
  <si>
    <t>21301 loc 723</t>
  </si>
  <si>
    <t>22300 loc 723</t>
  </si>
  <si>
    <t>223023 LOC 350</t>
  </si>
  <si>
    <t>Nota credito No 2-75</t>
  </si>
  <si>
    <t>OC025</t>
  </si>
  <si>
    <t>Arriendo material rodante informe OC025</t>
  </si>
  <si>
    <t>01/06/2025-30/06/2025</t>
  </si>
  <si>
    <t>01/06/2025- 30/06/2025</t>
  </si>
  <si>
    <t>1/05/2025-30/05/2025</t>
  </si>
  <si>
    <t>Nota credito No 2-81</t>
  </si>
  <si>
    <t>Nota credito No 2-82</t>
  </si>
  <si>
    <t>22300 LOC 7113</t>
  </si>
  <si>
    <t>22300 LOC 723R711</t>
  </si>
  <si>
    <t>01/6/2025 - 30/6/2025</t>
  </si>
  <si>
    <t>Como la factura 437 se anulo, se reemplaza por la factura 454</t>
  </si>
  <si>
    <t>Como la factura 438 se anulo, se reemplaza por la factura 455</t>
  </si>
  <si>
    <t>Como la factura 417 se anulo, se reemplaza por la factura 442</t>
  </si>
  <si>
    <t>T1-002</t>
  </si>
  <si>
    <t>REMISION ARGOS     RPSM-00332279         T1-209</t>
  </si>
  <si>
    <t>T1-003</t>
  </si>
  <si>
    <t>REMISION ARGOS RPSM- 00332436  T1-210</t>
  </si>
  <si>
    <t>T1-004</t>
  </si>
  <si>
    <t>T1-005</t>
  </si>
  <si>
    <t>REMISION ARGOS    RPSM-00332602       T1-211</t>
  </si>
  <si>
    <t>T1-006</t>
  </si>
  <si>
    <t>T1-007</t>
  </si>
  <si>
    <t>REMISION ARGOS    RPSM-00332743       T1-212</t>
  </si>
  <si>
    <t>T1-008</t>
  </si>
  <si>
    <t>T1-009</t>
  </si>
  <si>
    <t>REMISION ARGOS    RPSM-00333087       T1-213</t>
  </si>
  <si>
    <t>T1-010</t>
  </si>
  <si>
    <t>T1-011</t>
  </si>
  <si>
    <t>REMISION ARGOS    RPSM-00333230       T1-214</t>
  </si>
  <si>
    <t>T1-012</t>
  </si>
  <si>
    <t>REMISION ARGOS    RPSM-00333474       T1-215</t>
  </si>
  <si>
    <t>T1-013</t>
  </si>
  <si>
    <t>T1-014</t>
  </si>
  <si>
    <t>T1-015</t>
  </si>
  <si>
    <t>T1-016</t>
  </si>
  <si>
    <t>ARRIENDO DE AREA DE 500 M2, UBICADA EN EL KM6</t>
  </si>
  <si>
    <t>01/07/2025- 30/07/2025</t>
  </si>
  <si>
    <t>OC026</t>
  </si>
  <si>
    <t>01/07/2025-31/07/2025</t>
  </si>
  <si>
    <t>Arriendo material rodante informe OC026</t>
  </si>
  <si>
    <t>01/7/2025 - 31/7/2025</t>
  </si>
  <si>
    <t>T1-017</t>
  </si>
  <si>
    <t>T1-018</t>
  </si>
  <si>
    <t>T1-019</t>
  </si>
  <si>
    <t>REMISION ARGOS RPSM- 00334302  T1-216</t>
  </si>
  <si>
    <t>T1-020</t>
  </si>
  <si>
    <t>REMISION ARGOS RPSM- 00334556  T1-217</t>
  </si>
  <si>
    <t>T1-021</t>
  </si>
  <si>
    <t>REMISION ARGOS RPSM- 00334900  T1-218</t>
  </si>
  <si>
    <t>T1-022</t>
  </si>
  <si>
    <t>REMISION ARGOS RPSM- 00335049  T1-219</t>
  </si>
  <si>
    <t>T1-023</t>
  </si>
  <si>
    <t>REMISION ARGOS RPSM- 00335169  T1-220</t>
  </si>
  <si>
    <t>T1-024</t>
  </si>
  <si>
    <t>REMISION ARGOS RPSM- 00335359  T1-221</t>
  </si>
  <si>
    <t>T1-025</t>
  </si>
  <si>
    <t>T1-026</t>
  </si>
  <si>
    <t>T1-027</t>
  </si>
  <si>
    <t>REMISION ARGOS RPSM- 00335540  T1-222</t>
  </si>
  <si>
    <t>T1-028</t>
  </si>
  <si>
    <t>T1-029</t>
  </si>
  <si>
    <t>REMISION ARGOS RPSM- 00335927  T1-223</t>
  </si>
  <si>
    <t>T1-030</t>
  </si>
  <si>
    <t>REMISION ARGOS RPSM- 00336065  T1-224</t>
  </si>
  <si>
    <t>T1-031</t>
  </si>
  <si>
    <t>KM - 5-PK-43 UNI MIL-KM - 5</t>
  </si>
  <si>
    <t xml:space="preserve">21300 LOC 723 </t>
  </si>
  <si>
    <t>Empresa prestadora de servicios</t>
  </si>
  <si>
    <t>31300 LOC 61</t>
  </si>
  <si>
    <t>31301 LOC 61</t>
  </si>
  <si>
    <t>CHICAMOCHA-SOGAM-CHIC</t>
  </si>
  <si>
    <t>CHICAMOCHA - SOGAMOSO</t>
  </si>
  <si>
    <t>31302 LOC 61</t>
  </si>
  <si>
    <t>31303 LOC 61</t>
  </si>
  <si>
    <t>SOGAMOSO - CHICAMOCHA</t>
  </si>
  <si>
    <t>CHICAM- DUITAMA- SOGAMOSO</t>
  </si>
  <si>
    <t>SOGAMOSO - DUITAMA- CHICAM</t>
  </si>
  <si>
    <t>APDR</t>
  </si>
  <si>
    <t>01/08/2025- 30/08/2025</t>
  </si>
  <si>
    <t>Nota credito No 2-94</t>
  </si>
  <si>
    <t>Nota credito No 2-95</t>
  </si>
  <si>
    <t>1/06/2025-30/06/2025</t>
  </si>
  <si>
    <t>1/07/2025-30/07/2025</t>
  </si>
  <si>
    <t>Como la factura 456 se anulo, se reemplaza por la factura 481</t>
  </si>
  <si>
    <t>Como la factura 470 se anulo, se reemplaza por la factura 482</t>
  </si>
  <si>
    <t>ARRIENDO DE AREA DE 500 M2, UBICADA EN EL KM7</t>
  </si>
  <si>
    <t>01/08/2025-31/08/2025</t>
  </si>
  <si>
    <t>OC027</t>
  </si>
  <si>
    <t>Arriendo material rodante informe OC027</t>
  </si>
  <si>
    <t>T1-032</t>
  </si>
  <si>
    <t>T1-033</t>
  </si>
  <si>
    <t>T1-034</t>
  </si>
  <si>
    <t>T1-035</t>
  </si>
  <si>
    <t>T1-036</t>
  </si>
  <si>
    <t>T1-037</t>
  </si>
  <si>
    <t>T1-038</t>
  </si>
  <si>
    <t>T1-039</t>
  </si>
  <si>
    <t>T1-040</t>
  </si>
  <si>
    <t>T1-041</t>
  </si>
  <si>
    <t>T1-042</t>
  </si>
  <si>
    <t>T1-043</t>
  </si>
  <si>
    <t>T1-044</t>
  </si>
  <si>
    <t>T1-045</t>
  </si>
  <si>
    <t>T1-046</t>
  </si>
  <si>
    <t>T1-047</t>
  </si>
  <si>
    <t>T1-048</t>
  </si>
  <si>
    <t>22302 AUT 1696</t>
  </si>
  <si>
    <t>22304 LOC 350</t>
  </si>
  <si>
    <t>2300 AUT 1723</t>
  </si>
  <si>
    <t>KM - 5 - BRICEÑO - KM - 5</t>
  </si>
  <si>
    <t>CHICAMOCHA-SOGAMOSO-CHICAMOCHA</t>
  </si>
  <si>
    <t>31304 LOC 61</t>
  </si>
  <si>
    <t>01/09/2025-30/09/2025</t>
  </si>
  <si>
    <t>OC028</t>
  </si>
  <si>
    <t>Arriendo material rodante informe OC028</t>
  </si>
  <si>
    <t>01/09/2025- 30/09/2025</t>
  </si>
  <si>
    <t>ARRIENDO DE BODEGA DE 128,2 M2, UBICADO EN KM 7</t>
  </si>
  <si>
    <t>21301 AUT - 1723</t>
  </si>
  <si>
    <t>21302 AUT - 1723</t>
  </si>
  <si>
    <t>21300 LOC 723R1723</t>
  </si>
  <si>
    <t>21300 AUT - 1723</t>
  </si>
  <si>
    <t>21307 LOC 723</t>
  </si>
  <si>
    <t>21304 LOC 723</t>
  </si>
  <si>
    <t>KM  5 / SUESCA / KM / 5</t>
  </si>
  <si>
    <t>21300 LOC 61</t>
  </si>
  <si>
    <t>CHICAMOCHA-PAIPA-CHICAMOCHA</t>
  </si>
  <si>
    <t>REMISION ARGOS RPSM- 00338473  T1-235</t>
  </si>
  <si>
    <t>REMISION ARGOS RPSM- 00338643  T1-236</t>
  </si>
  <si>
    <t>REMISION ARGOS RPSM- 00338764  T1-237</t>
  </si>
  <si>
    <t>REMISION ARGOS RPSM- 00338830  T1-238</t>
  </si>
  <si>
    <t>REMISION ARGOS RPSM- 00339210  T1-239</t>
  </si>
  <si>
    <t>REMISION ARGOS RPSM- 00339450  T1-240</t>
  </si>
  <si>
    <t>REMISION ARGOS RPSM- 00339608  T1-241</t>
  </si>
  <si>
    <t>REMISION ARGOS RPSM- 00336632  T1-242</t>
  </si>
  <si>
    <t>T1-49</t>
  </si>
  <si>
    <t>T1-50</t>
  </si>
  <si>
    <t>T1-51</t>
  </si>
  <si>
    <t xml:space="preserve">  T1-52</t>
  </si>
  <si>
    <t>T1-53</t>
  </si>
  <si>
    <t>T1-54</t>
  </si>
  <si>
    <t>T1-55</t>
  </si>
  <si>
    <t>01/8/2025 - 31/8/2025</t>
  </si>
  <si>
    <t>01/9/2025 - 30/9/2025</t>
  </si>
  <si>
    <t xml:space="preserve">
1.Las facturas pendientes de recaudación son las siguientes: la factura 408 del mes de abril del 2025, la factura 427 del mes de mayo; la factura 453 de junio del 2025 del 2025; la factura 468 del mes de julio del 2025 ; la factura 484 del mes de agosto y  la factura 515 del mes de septiembre.
2. El importe consignado a la ANI pertenece a la factura 386 de marzo del 2025</t>
  </si>
  <si>
    <t>1.Las facturas pendientes por cobrar son las siguientes: un excedente de 1.510.007,13 de la factura 405 del mes de abril, las facturas 424,425 y 426 del mes de mayo; las facturas 449,450,451 del mes de junio del 2025; las facturas 465,466 y 467 del mes de julio del 2025; las facturas 486,487, 488 del mes de agosto del 2025 y las facturas 512 y 513 del mes de septiembre del 2025
2. El importe consignado a la ANI pertenece a la factura 404, el excedente de la factura 406 por (1.247.649,13) y una consignación de (2.843.707,63)de la factura 405</t>
  </si>
  <si>
    <t xml:space="preserve">
1.El valor pendiente por consignar corresponde a las facturas 407 del mes de abril del 2025, la factura 428 del mes de mayo, la factura 452 del mes de junio del 2025, la factura 469 del mes de julio del 2025 ; la factura 490 del mes de agosto del 2025 y la factura 514 del mes de septiembre del 2025
2 El importe consignado a la ANI pertenece a la factura 381 del mes de marzo del 2025
</t>
  </si>
  <si>
    <t xml:space="preserve">
1.El valor pendiente por consignar corresponde a las facturas 410,411,412,413,414,415,416, 442, 454, 455, 481,482 , 483 y 520</t>
  </si>
  <si>
    <t xml:space="preserve">
1. El saldo pendiente de pago está asociado a las facturas 396, 419, 443, 458 ,474, 508 y 526
</t>
  </si>
  <si>
    <t>1. Los fondos aún por cobrar están asociados a las facturas OC023 del mes de abril y OC024 del mes de mayo, OC025 del mes de junio de 2025, OC026 del mes de julio de 2025 ; OC027 de mes de agosto del 2025 y OC028 del mes de septiembre.
2.El importe consignado a la ANI corresponde a la factura OC022 del mes de marzo de 2025</t>
  </si>
  <si>
    <t xml:space="preserve">1. Los fondos aún por cobrar están asociados a la factura 475 del mes de julio del 2025; 509 del mes de agosto del 2025 y 525 del mes de septiembre </t>
  </si>
  <si>
    <t xml:space="preserve">
1. Los fondos aún por cobrar están asociados a las facturas, OC023 del mes de abril, OC024 del mes de mayo, OC025 del mes de junio de 2025, OC026 del mes de julio del 2025; OC027 del mes de agosto del 2025 y OC028 del mes de septiembre 
2. El importe consignado a la ANI pertenece  a la factura OC022 de marzo de 2025</t>
  </si>
  <si>
    <t>Argos
Las facturas pendientes de recaudación corresponden a la factura 408 de abril de 2025, la factura 427 de mayo de 2025, la factura 453 de junio de 2025, la factura 468 de julio de 2025, la factura 484 de agosto de 2025 y la factura 515 de septiembre de 2025. El importe consignado a la ANI pertenece a la factura 386 de marzo de 2025.
CFRO
Las facturas pendientes por cobrar corresponden a un excedente de la factura 405 de abril de 2025, las facturas 424, 425 y 426 de mayo de 2025, las facturas 449, 450 y 451 de junio de 2025, las facturas 465, 466 y 467 de julio de 2025, las facturas 486, 487 y 488 de agosto de 2025 y las facturas 512 y 513 de septiembre de 2025. El importe consignado a la ANI corresponde a la factura 404, al excedente de la factura 406 y a una consignación de la factura 405.
Turistrén
El valor pendiente por consignar corresponde a las facturas 407 de abril de 2025, la factura 428 de mayo de 2025, la factura 452 de junio de 2025, la factura 469 de julio de 2025, la factura 490 de agosto de 2025 y la factura 514 de septiembre de 2025. El importe consignado a la ANI corresponde a la factura 381 de marzo de 2025.
JE Jaimes Ingenieros S.A.S
El valor pendiente por consignar corresponde a las facturas 410, 411, 412, 413, 414, 415, 416, 442, 454, 455, 481, 482, 483 y 520.</t>
  </si>
  <si>
    <t>Turistrén
El saldo pendiente de pago está asociado a las facturas 396, 419, 443, 458, 474, 508 y 526.
CTSA
Los fondos aún por cobrar están asociados a las facturas OC023 de abril de 2025, OC024 de mayo de 2025, OC025 de junio de 2025, OC026 de julio de 2025, OC027 de agosto de 2025 y OC028 de septiembre de 2025. El importe consignado a la ANI corresponde a la factura OC022 de marzo de 2025.
APDR
Los fondos aún por cobrar están asociados a la factura 475 de julio de 2025, la factura 509 de agosto de 2025 y la factura 525 de septiembre de 2025.</t>
  </si>
  <si>
    <t>CTSA 
Los fondos aún por cobrar están asociados a las facturas OC023 del mes de abril, OC024 del mes de mayo del 2025, OC025 del mes de junio del 2025, OC026 del mes de julio, el OC027 del mes de agosto del 2025 Y OC028 de septiembre
El importe consignado a la ANI pertenece  a la factura OC022 de marzo de 2025</t>
  </si>
  <si>
    <t>01/10/2025- 30/10/2025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</si>
</sst>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8" formatCode="&quot;$&quot;\ #,##0.00;[Red]\-&quot;$&quot;\ #,##0.00"/>
    <numFmt numFmtId="42" formatCode="_-&quot;$&quot;\ * #,##0_-;\-&quot;$&quot;\ * #,##0_-;_-&quot;$&quot;\ * &quot;-&quot;_-;_-@_-"/>
    <numFmt numFmtId="44" formatCode="_-&quot;$&quot;\ * #,##0.00_-;\-&quot;$&quot;\ * #,##0.00_-;_-&quot;$&quot;\ * &quot;-&quot;??_-;_-@_-"/>
    <numFmt numFmtId="43" formatCode="_-* #,##0.00_-;\-* #,##0.00_-;_-* &quot;-&quot;??_-;_-@_-"/>
    <numFmt numFmtId="164" formatCode="_(&quot;$&quot;* #,##0.00_);_(&quot;$&quot;* \(#,##0.00\);_(&quot;$&quot;* &quot;-&quot;??_);_(@_)"/>
    <numFmt numFmtId="165" formatCode="_-&quot;$&quot;* #,##0_-;\-&quot;$&quot;* #,##0_-;_-&quot;$&quot;* &quot;-&quot;_-;_-@_-"/>
    <numFmt numFmtId="166" formatCode="_-&quot;$&quot;* #,##0.0_-;\-&quot;$&quot;* #,##0.0_-;_-&quot;$&quot;* &quot;-&quot;_-;_-@_-"/>
    <numFmt numFmtId="167" formatCode="_-&quot;$&quot;\ * #,##0.00_-;\-&quot;$&quot;\ * #,##0.00_-;_-&quot;$&quot;\ * &quot;-&quot;_-;_-@_-"/>
    <numFmt numFmtId="168" formatCode="_-* #,##0_-;\-* #,##0_-;_-* &quot;-&quot;??_-;_-@_-"/>
    <numFmt numFmtId="169" formatCode="&quot;$&quot;\ #,##0.00"/>
    <numFmt numFmtId="170" formatCode="_-&quot;$&quot;\ * #,##0_-;\-&quot;$&quot;\ * #,##0_-;_-&quot;$&quot;\ * &quot;-&quot;??_-;_-@_-"/>
    <numFmt numFmtId="171" formatCode="0\ &quot;Km&quot;"/>
    <numFmt numFmtId="172" formatCode="0.0\ &quot;Gal&quot;"/>
    <numFmt numFmtId="173" formatCode="0.00000000"/>
    <numFmt numFmtId="174" formatCode="_(&quot;$&quot;* #,##0.0_);_(&quot;$&quot;* \(#,##0.0\);_(&quot;$&quot;* &quot;-&quot;??_);_(@_)"/>
  </numFmts>
  <fonts count="3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b/>
      <sz val="12"/>
      <name val="Calibri"/>
      <family val="2"/>
      <scheme val="minor"/>
    </font>
    <font>
      <b/>
      <sz val="8"/>
      <name val="Calibri"/>
      <family val="2"/>
      <scheme val="minor"/>
    </font>
    <font>
      <b/>
      <sz val="11"/>
      <name val="Calibri"/>
      <family val="2"/>
      <scheme val="minor"/>
    </font>
    <font>
      <b/>
      <sz val="11"/>
      <color theme="1"/>
      <name val="Calibri"/>
      <family val="2"/>
      <scheme val="minor"/>
    </font>
    <font>
      <sz val="8"/>
      <name val="Calibri"/>
      <family val="2"/>
    </font>
    <font>
      <b/>
      <sz val="9"/>
      <color theme="1"/>
      <name val="Calibri"/>
      <family val="2"/>
      <scheme val="minor"/>
    </font>
    <font>
      <sz val="11"/>
      <color theme="1"/>
      <name val="Calibri"/>
      <family val="2"/>
      <scheme val="minor"/>
    </font>
    <font>
      <sz val="10"/>
      <name val="Arial"/>
      <family val="2"/>
    </font>
    <font>
      <sz val="9"/>
      <name val="Tahoma"/>
      <family val="2"/>
    </font>
    <font>
      <sz val="8"/>
      <name val="Calibri"/>
      <family val="2"/>
      <scheme val="minor"/>
    </font>
    <font>
      <sz val="8"/>
      <name val="Calibri"/>
      <family val="2"/>
      <scheme val="minor"/>
    </font>
    <font>
      <b/>
      <sz val="9"/>
      <color rgb="FF000000"/>
      <name val="Calibri"/>
      <family val="2"/>
      <scheme val="minor"/>
    </font>
    <font>
      <sz val="9"/>
      <name val="Calibri"/>
      <family val="2"/>
      <scheme val="minor"/>
    </font>
    <font>
      <b/>
      <sz val="9"/>
      <name val="Calibri"/>
      <family val="2"/>
      <scheme val="minor"/>
    </font>
    <font>
      <sz val="9"/>
      <name val="Calibri"/>
      <family val="2"/>
    </font>
    <font>
      <sz val="9"/>
      <color rgb="FF000000"/>
      <name val="Calibri"/>
      <family val="2"/>
    </font>
    <font>
      <sz val="9"/>
      <color theme="1"/>
      <name val="Calibri"/>
      <family val="2"/>
      <scheme val="minor"/>
    </font>
    <font>
      <sz val="9"/>
      <color rgb="FF000000"/>
      <name val="Calibri"/>
      <family val="2"/>
      <scheme val="minor"/>
    </font>
    <font>
      <sz val="11"/>
      <color theme="1"/>
      <name val="Calibri"/>
      <family val="2"/>
      <scheme val="minor"/>
    </font>
    <font>
      <sz val="9"/>
      <color theme="0"/>
      <name val="Calibri"/>
      <family val="2"/>
      <scheme val="minor"/>
    </font>
    <font>
      <sz val="16"/>
      <color theme="1"/>
      <name val="Calibri"/>
      <family val="2"/>
      <scheme val="minor"/>
    </font>
    <font>
      <sz val="9"/>
      <color theme="1"/>
      <name val="Calibri"/>
      <family val="2"/>
    </font>
    <font>
      <sz val="8"/>
      <color theme="1"/>
      <name val="Calibri"/>
      <family val="2"/>
      <scheme val="minor"/>
    </font>
    <font>
      <sz val="10"/>
      <color theme="1"/>
      <name val="Calibri"/>
      <family val="2"/>
      <scheme val="minor"/>
    </font>
    <font>
      <sz val="10"/>
      <color rgb="FF000000"/>
      <name val="Calibri"/>
      <family val="2"/>
      <scheme val="minor"/>
    </font>
    <font>
      <sz val="9"/>
      <color rgb="FF000000"/>
      <name val="Aptos Narrow"/>
      <family val="2"/>
    </font>
    <font>
      <sz val="9"/>
      <color rgb="FFFF0000"/>
      <name val="Calibri"/>
      <family val="2"/>
      <scheme val="minor"/>
    </font>
    <font>
      <sz val="9"/>
      <color theme="1" tint="0.14999847407452621"/>
      <name val="Calibri"/>
      <family val="2"/>
      <scheme val="minor"/>
    </font>
    <font>
      <sz val="8"/>
      <color rgb="FF000000"/>
      <name val="Calibri"/>
      <family val="2"/>
      <scheme val="minor"/>
    </font>
    <font>
      <sz val="10"/>
      <color rgb="FF000000"/>
      <name val="Aptos Narrow"/>
      <family val="2"/>
    </font>
    <font>
      <sz val="8"/>
      <color theme="1" tint="4.9989318521683403E-2"/>
      <name val="Calibri"/>
      <family val="2"/>
    </font>
    <font>
      <sz val="8"/>
      <color theme="1" tint="4.9989318521683403E-2"/>
      <name val="Calibri"/>
      <family val="2"/>
      <scheme val="minor"/>
    </font>
  </fonts>
  <fills count="59">
    <fill>
      <patternFill patternType="none"/>
    </fill>
    <fill>
      <patternFill patternType="gray125"/>
    </fill>
    <fill>
      <patternFill patternType="solid">
        <fgColor theme="0"/>
        <bgColor indexed="64"/>
      </patternFill>
    </fill>
    <fill>
      <patternFill patternType="solid">
        <fgColor theme="7" tint="0.59999389629810485"/>
        <bgColor indexed="64"/>
      </patternFill>
    </fill>
    <fill>
      <patternFill patternType="solid">
        <fgColor rgb="FFFFFFFF"/>
        <bgColor indexed="64"/>
      </patternFill>
    </fill>
    <fill>
      <patternFill patternType="solid">
        <fgColor rgb="FFDDEBF7"/>
        <bgColor indexed="64"/>
      </patternFill>
    </fill>
    <fill>
      <patternFill patternType="solid">
        <fgColor theme="7" tint="0.59999389629810485"/>
        <bgColor rgb="FF000000"/>
      </patternFill>
    </fill>
    <fill>
      <patternFill patternType="solid">
        <fgColor rgb="FFDDEBF7"/>
        <bgColor rgb="FF000000"/>
      </patternFill>
    </fill>
    <fill>
      <patternFill patternType="solid">
        <fgColor theme="0"/>
        <bgColor rgb="FF000000"/>
      </patternFill>
    </fill>
    <fill>
      <patternFill patternType="solid">
        <fgColor theme="9" tint="0.3999450666829432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59999389629810485"/>
        <bgColor rgb="FF000000"/>
      </patternFill>
    </fill>
    <fill>
      <patternFill patternType="solid">
        <fgColor theme="2" tint="-0.249977111117893"/>
        <bgColor indexed="64"/>
      </patternFill>
    </fill>
    <fill>
      <patternFill patternType="solid">
        <fgColor theme="9" tint="0.39994506668294322"/>
        <bgColor rgb="FF000000"/>
      </patternFill>
    </fill>
    <fill>
      <patternFill patternType="solid">
        <fgColor theme="5" tint="0.39997558519241921"/>
        <bgColor indexed="64"/>
      </patternFill>
    </fill>
    <fill>
      <patternFill patternType="solid">
        <fgColor theme="5" tint="0.39997558519241921"/>
        <bgColor rgb="FF000000"/>
      </patternFill>
    </fill>
    <fill>
      <patternFill patternType="solid">
        <fgColor theme="9" tint="0.39997558519241921"/>
        <bgColor indexed="64"/>
      </patternFill>
    </fill>
    <fill>
      <patternFill patternType="solid">
        <fgColor theme="7" tint="0.39997558519241921"/>
        <bgColor indexed="64"/>
      </patternFill>
    </fill>
    <fill>
      <patternFill patternType="solid">
        <fgColor theme="7" tint="0.39997558519241921"/>
        <bgColor rgb="FF000000"/>
      </patternFill>
    </fill>
    <fill>
      <patternFill patternType="solid">
        <fgColor theme="4" tint="0.79998168889431442"/>
        <bgColor indexed="64"/>
      </patternFill>
    </fill>
    <fill>
      <patternFill patternType="solid">
        <fgColor theme="4" tint="0.79998168889431442"/>
        <bgColor rgb="FF000000"/>
      </patternFill>
    </fill>
    <fill>
      <patternFill patternType="solid">
        <fgColor rgb="FFF8D4E0"/>
        <bgColor indexed="64"/>
      </patternFill>
    </fill>
    <fill>
      <patternFill patternType="solid">
        <fgColor rgb="FFF8D4E0"/>
        <bgColor rgb="FF000000"/>
      </patternFill>
    </fill>
    <fill>
      <patternFill patternType="solid">
        <fgColor rgb="FFD9F3DB"/>
        <bgColor indexed="64"/>
      </patternFill>
    </fill>
    <fill>
      <patternFill patternType="solid">
        <fgColor theme="4" tint="0.39997558519241921"/>
        <bgColor indexed="64"/>
      </patternFill>
    </fill>
    <fill>
      <patternFill patternType="solid">
        <fgColor theme="4" tint="0.39997558519241921"/>
        <bgColor rgb="FF000000"/>
      </patternFill>
    </fill>
    <fill>
      <patternFill patternType="solid">
        <fgColor theme="5" tint="0.79998168889431442"/>
        <bgColor indexed="64"/>
      </patternFill>
    </fill>
    <fill>
      <patternFill patternType="solid">
        <fgColor rgb="FFFF0000"/>
        <bgColor indexed="64"/>
      </patternFill>
    </fill>
    <fill>
      <patternFill patternType="solid">
        <fgColor theme="7"/>
        <bgColor indexed="64"/>
      </patternFill>
    </fill>
    <fill>
      <patternFill patternType="solid">
        <fgColor theme="9" tint="0.59999389629810485"/>
        <bgColor indexed="64"/>
      </patternFill>
    </fill>
    <fill>
      <patternFill patternType="solid">
        <fgColor rgb="FFFFC000"/>
        <bgColor indexed="64"/>
      </patternFill>
    </fill>
    <fill>
      <patternFill patternType="solid">
        <fgColor rgb="FFD9F3DB"/>
        <bgColor rgb="FF000000"/>
      </patternFill>
    </fill>
    <fill>
      <patternFill patternType="solid">
        <fgColor rgb="FF00B0F0"/>
        <bgColor indexed="64"/>
      </patternFill>
    </fill>
    <fill>
      <patternFill patternType="solid">
        <fgColor theme="6" tint="0.39997558519241921"/>
        <bgColor indexed="64"/>
      </patternFill>
    </fill>
    <fill>
      <patternFill patternType="solid">
        <fgColor theme="8" tint="0.59999389629810485"/>
        <bgColor rgb="FF000000"/>
      </patternFill>
    </fill>
    <fill>
      <patternFill patternType="solid">
        <fgColor theme="8" tint="0.59999389629810485"/>
        <bgColor indexed="64"/>
      </patternFill>
    </fill>
    <fill>
      <patternFill patternType="solid">
        <fgColor theme="6" tint="0.59999389629810485"/>
        <bgColor indexed="64"/>
      </patternFill>
    </fill>
    <fill>
      <patternFill patternType="solid">
        <fgColor theme="6" tint="0.59999389629810485"/>
        <bgColor rgb="FF000000"/>
      </patternFill>
    </fill>
    <fill>
      <patternFill patternType="solid">
        <fgColor theme="0" tint="-0.14999847407452621"/>
        <bgColor indexed="64"/>
      </patternFill>
    </fill>
    <fill>
      <patternFill patternType="solid">
        <fgColor theme="0" tint="-0.14999847407452621"/>
        <bgColor rgb="FF000000"/>
      </patternFill>
    </fill>
    <fill>
      <patternFill patternType="solid">
        <fgColor theme="5" tint="0.59999389629810485"/>
        <bgColor indexed="64"/>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2"/>
        <bgColor indexed="64"/>
      </patternFill>
    </fill>
    <fill>
      <patternFill patternType="solid">
        <fgColor theme="2"/>
        <bgColor rgb="FF000000"/>
      </patternFill>
    </fill>
    <fill>
      <patternFill patternType="solid">
        <fgColor theme="5" tint="0.59999389629810485"/>
        <bgColor rgb="FF000000"/>
      </patternFill>
    </fill>
    <fill>
      <patternFill patternType="solid">
        <fgColor theme="2" tint="-9.9978637043366805E-2"/>
        <bgColor indexed="64"/>
      </patternFill>
    </fill>
    <fill>
      <patternFill patternType="solid">
        <fgColor theme="2" tint="-9.9978637043366805E-2"/>
        <bgColor rgb="FF000000"/>
      </patternFill>
    </fill>
    <fill>
      <patternFill patternType="solid">
        <fgColor theme="8" tint="0.39997558519241921"/>
        <bgColor indexed="64"/>
      </patternFill>
    </fill>
    <fill>
      <patternFill patternType="solid">
        <fgColor rgb="FFD4ECF8"/>
        <bgColor indexed="64"/>
      </patternFill>
    </fill>
    <fill>
      <patternFill patternType="solid">
        <fgColor rgb="FFD4ECF8"/>
        <bgColor rgb="FF000000"/>
      </patternFill>
    </fill>
    <fill>
      <patternFill patternType="solid">
        <fgColor rgb="FFFFFFFF"/>
        <bgColor rgb="FF000000"/>
      </patternFill>
    </fill>
    <fill>
      <patternFill patternType="solid">
        <fgColor theme="8" tint="0.79998168889431442"/>
        <bgColor rgb="FF000000"/>
      </patternFill>
    </fill>
    <fill>
      <patternFill patternType="solid">
        <fgColor theme="8" tint="0.79998168889431442"/>
        <bgColor indexed="64"/>
      </patternFill>
    </fill>
    <fill>
      <patternFill patternType="solid">
        <fgColor theme="9" tint="0.79998168889431442"/>
        <bgColor rgb="FF000000"/>
      </patternFill>
    </fill>
    <fill>
      <patternFill patternType="solid">
        <fgColor theme="9" tint="0.79998168889431442"/>
        <bgColor indexed="64"/>
      </patternFill>
    </fill>
    <fill>
      <patternFill patternType="solid">
        <fgColor theme="5" tint="0.79998168889431442"/>
        <bgColor rgb="FF000000"/>
      </patternFill>
    </fill>
    <fill>
      <patternFill patternType="solid">
        <fgColor theme="3" tint="0.59999389629810485"/>
        <bgColor indexed="64"/>
      </patternFill>
    </fill>
  </fills>
  <borders count="3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rgb="FF000000"/>
      </right>
      <top style="thin">
        <color rgb="FF000000"/>
      </top>
      <bottom style="thin">
        <color rgb="FF000000"/>
      </bottom>
      <diagonal/>
    </border>
    <border>
      <left style="thin">
        <color auto="1"/>
      </left>
      <right/>
      <top style="thin">
        <color auto="1"/>
      </top>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rgb="FF000000"/>
      </top>
      <bottom style="thin">
        <color rgb="FF000000"/>
      </bottom>
      <diagonal/>
    </border>
    <border>
      <left/>
      <right/>
      <top/>
      <bottom style="thin">
        <color rgb="FF000000"/>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thin">
        <color auto="1"/>
      </bottom>
      <diagonal/>
    </border>
    <border>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diagonal/>
    </border>
    <border>
      <left style="medium">
        <color indexed="64"/>
      </left>
      <right style="thin">
        <color auto="1"/>
      </right>
      <top style="thin">
        <color auto="1"/>
      </top>
      <bottom/>
      <diagonal/>
    </border>
    <border>
      <left style="medium">
        <color indexed="64"/>
      </left>
      <right style="thin">
        <color auto="1"/>
      </right>
      <top/>
      <bottom style="medium">
        <color indexed="64"/>
      </bottom>
      <diagonal/>
    </border>
    <border>
      <left style="thin">
        <color auto="1"/>
      </left>
      <right style="thin">
        <color auto="1"/>
      </right>
      <top/>
      <bottom/>
      <diagonal/>
    </border>
    <border>
      <left style="thin">
        <color auto="1"/>
      </left>
      <right/>
      <top/>
      <bottom/>
      <diagonal/>
    </border>
  </borders>
  <cellStyleXfs count="18">
    <xf numFmtId="0" fontId="0" fillId="0" borderId="0"/>
    <xf numFmtId="164" fontId="12" fillId="0" borderId="0" applyFont="0" applyFill="0" applyBorder="0" applyAlignment="0" applyProtection="0">
      <alignment vertical="center"/>
    </xf>
    <xf numFmtId="42" fontId="12"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44" fontId="12" fillId="0" borderId="0" applyFont="0" applyFill="0" applyBorder="0" applyAlignment="0" applyProtection="0"/>
    <xf numFmtId="0" fontId="12" fillId="0" borderId="0"/>
    <xf numFmtId="0" fontId="13" fillId="0" borderId="0"/>
    <xf numFmtId="0" fontId="13" fillId="0" borderId="0"/>
    <xf numFmtId="43" fontId="24" fillId="0" borderId="0" applyFont="0" applyFill="0" applyBorder="0" applyAlignment="0" applyProtection="0"/>
    <xf numFmtId="0" fontId="1" fillId="0" borderId="0"/>
    <xf numFmtId="44" fontId="1" fillId="0" borderId="0" applyFont="0" applyFill="0" applyBorder="0" applyAlignment="0" applyProtection="0">
      <alignment vertical="center"/>
    </xf>
    <xf numFmtId="42" fontId="1" fillId="0" borderId="0" applyFont="0" applyFill="0" applyBorder="0" applyAlignment="0" applyProtection="0"/>
    <xf numFmtId="44" fontId="1" fillId="0" borderId="0" applyFont="0" applyFill="0" applyBorder="0" applyAlignment="0" applyProtection="0"/>
    <xf numFmtId="0" fontId="1" fillId="0" borderId="0"/>
    <xf numFmtId="44" fontId="1" fillId="0" borderId="0" applyFont="0" applyFill="0" applyBorder="0" applyAlignment="0" applyProtection="0">
      <alignment vertical="center"/>
    </xf>
    <xf numFmtId="43" fontId="1" fillId="0" borderId="0" applyFont="0" applyFill="0" applyBorder="0" applyAlignment="0" applyProtection="0"/>
    <xf numFmtId="44" fontId="1" fillId="0" borderId="0" applyFont="0" applyFill="0" applyBorder="0" applyAlignment="0" applyProtection="0">
      <alignment vertical="center"/>
    </xf>
  </cellStyleXfs>
  <cellXfs count="1090">
    <xf numFmtId="0" fontId="0" fillId="0" borderId="0" xfId="0"/>
    <xf numFmtId="0" fontId="5" fillId="2" borderId="0" xfId="8" applyFont="1" applyFill="1" applyAlignment="1">
      <alignment horizontal="center" vertical="center"/>
    </xf>
    <xf numFmtId="0" fontId="5" fillId="2" borderId="0" xfId="8" applyFont="1" applyFill="1" applyAlignment="1">
      <alignment vertical="center"/>
    </xf>
    <xf numFmtId="0" fontId="6" fillId="2" borderId="0" xfId="8" applyFont="1" applyFill="1" applyAlignment="1">
      <alignment horizontal="left" vertical="top"/>
    </xf>
    <xf numFmtId="0" fontId="7" fillId="2" borderId="0" xfId="8" applyFont="1" applyFill="1" applyAlignment="1">
      <alignment horizontal="right" vertical="center" indent="1"/>
    </xf>
    <xf numFmtId="165" fontId="5" fillId="2" borderId="0" xfId="4" applyFont="1" applyFill="1" applyAlignment="1">
      <alignment vertical="center"/>
    </xf>
    <xf numFmtId="0" fontId="8" fillId="2" borderId="0" xfId="8" applyFont="1" applyFill="1" applyAlignment="1">
      <alignment horizontal="center" vertical="center"/>
    </xf>
    <xf numFmtId="0" fontId="9" fillId="2" borderId="0" xfId="8" applyFont="1" applyFill="1" applyAlignment="1">
      <alignment horizontal="center" vertical="center" wrapText="1"/>
    </xf>
    <xf numFmtId="0" fontId="10" fillId="3" borderId="1" xfId="6" applyFont="1" applyFill="1" applyBorder="1" applyAlignment="1">
      <alignment horizontal="center" vertical="center"/>
    </xf>
    <xf numFmtId="15" fontId="10" fillId="3" borderId="1" xfId="6" applyNumberFormat="1" applyFont="1" applyFill="1" applyBorder="1" applyAlignment="1">
      <alignment horizontal="center" vertical="center"/>
    </xf>
    <xf numFmtId="17" fontId="10" fillId="3" borderId="1" xfId="6" applyNumberFormat="1" applyFont="1" applyFill="1" applyBorder="1" applyAlignment="1">
      <alignment horizontal="center" vertical="center"/>
    </xf>
    <xf numFmtId="0" fontId="10" fillId="4" borderId="1" xfId="6" applyFont="1" applyFill="1" applyBorder="1" applyAlignment="1">
      <alignment horizontal="center" vertical="center"/>
    </xf>
    <xf numFmtId="15" fontId="10" fillId="5" borderId="1" xfId="6" applyNumberFormat="1" applyFont="1" applyFill="1" applyBorder="1" applyAlignment="1">
      <alignment horizontal="center" vertical="center"/>
    </xf>
    <xf numFmtId="0" fontId="10" fillId="5" borderId="1" xfId="6" applyFont="1" applyFill="1" applyBorder="1" applyAlignment="1">
      <alignment horizontal="center" vertical="center"/>
    </xf>
    <xf numFmtId="17" fontId="10" fillId="5" borderId="1" xfId="6" applyNumberFormat="1" applyFont="1" applyFill="1" applyBorder="1" applyAlignment="1">
      <alignment horizontal="center" vertical="center"/>
    </xf>
    <xf numFmtId="0" fontId="11" fillId="0" borderId="0" xfId="8" applyFont="1" applyAlignment="1">
      <alignment horizontal="center" vertical="center" wrapText="1"/>
    </xf>
    <xf numFmtId="44" fontId="10" fillId="3" borderId="1" xfId="6" applyNumberFormat="1" applyFont="1" applyFill="1" applyBorder="1" applyAlignment="1">
      <alignment vertical="center"/>
    </xf>
    <xf numFmtId="44" fontId="10" fillId="5" borderId="1" xfId="6" applyNumberFormat="1" applyFont="1" applyFill="1" applyBorder="1" applyAlignment="1">
      <alignment vertical="center"/>
    </xf>
    <xf numFmtId="0" fontId="6" fillId="2" borderId="0" xfId="8" applyFont="1" applyFill="1" applyAlignment="1">
      <alignment vertical="center"/>
    </xf>
    <xf numFmtId="0" fontId="8" fillId="2" borderId="2" xfId="8" applyFont="1" applyFill="1" applyBorder="1" applyAlignment="1">
      <alignment horizontal="centerContinuous" vertical="center"/>
    </xf>
    <xf numFmtId="0" fontId="5" fillId="2" borderId="2" xfId="8" applyFont="1" applyFill="1" applyBorder="1" applyAlignment="1">
      <alignment horizontal="centerContinuous" vertical="center"/>
    </xf>
    <xf numFmtId="166" fontId="5" fillId="2" borderId="0" xfId="8" applyNumberFormat="1" applyFont="1" applyFill="1" applyAlignment="1">
      <alignment vertical="center"/>
    </xf>
    <xf numFmtId="0" fontId="11" fillId="2" borderId="0" xfId="8" applyFont="1" applyFill="1" applyAlignment="1">
      <alignment horizontal="center" vertical="center" wrapText="1"/>
    </xf>
    <xf numFmtId="15" fontId="10" fillId="7" borderId="3" xfId="6" applyNumberFormat="1" applyFont="1" applyFill="1" applyBorder="1" applyAlignment="1">
      <alignment horizontal="center" vertical="center"/>
    </xf>
    <xf numFmtId="44" fontId="5" fillId="2" borderId="0" xfId="8" applyNumberFormat="1" applyFont="1" applyFill="1" applyAlignment="1">
      <alignment vertical="center"/>
    </xf>
    <xf numFmtId="44" fontId="10" fillId="3" borderId="1" xfId="6" applyNumberFormat="1" applyFont="1" applyFill="1" applyBorder="1" applyAlignment="1">
      <alignment horizontal="center" vertical="center"/>
    </xf>
    <xf numFmtId="4" fontId="10" fillId="3" borderId="1" xfId="6" applyNumberFormat="1" applyFont="1" applyFill="1" applyBorder="1" applyAlignment="1">
      <alignment horizontal="center" vertical="center"/>
    </xf>
    <xf numFmtId="0" fontId="10" fillId="3" borderId="1" xfId="6" applyFont="1" applyFill="1" applyBorder="1" applyAlignment="1">
      <alignment vertical="center"/>
    </xf>
    <xf numFmtId="3" fontId="10" fillId="3" borderId="1" xfId="6" applyNumberFormat="1" applyFont="1" applyFill="1" applyBorder="1" applyAlignment="1">
      <alignment horizontal="center" vertical="center"/>
    </xf>
    <xf numFmtId="44" fontId="10" fillId="5" borderId="1" xfId="6" applyNumberFormat="1" applyFont="1" applyFill="1" applyBorder="1" applyAlignment="1">
      <alignment horizontal="center" vertical="center"/>
    </xf>
    <xf numFmtId="4" fontId="10" fillId="5" borderId="1" xfId="6" applyNumberFormat="1" applyFont="1" applyFill="1" applyBorder="1" applyAlignment="1">
      <alignment horizontal="center" vertical="center"/>
    </xf>
    <xf numFmtId="0" fontId="10" fillId="5" borderId="1" xfId="6" applyFont="1" applyFill="1" applyBorder="1" applyAlignment="1">
      <alignment vertical="center"/>
    </xf>
    <xf numFmtId="3" fontId="10" fillId="5" borderId="1" xfId="6" applyNumberFormat="1" applyFont="1" applyFill="1" applyBorder="1" applyAlignment="1">
      <alignment horizontal="center" vertical="center"/>
    </xf>
    <xf numFmtId="0" fontId="10" fillId="13" borderId="1" xfId="0" applyFont="1" applyFill="1" applyBorder="1" applyAlignment="1">
      <alignment horizontal="center" vertical="center"/>
    </xf>
    <xf numFmtId="15" fontId="10" fillId="13" borderId="1" xfId="0" applyNumberFormat="1" applyFont="1" applyFill="1" applyBorder="1" applyAlignment="1">
      <alignment horizontal="center" vertical="center"/>
    </xf>
    <xf numFmtId="0" fontId="10" fillId="5" borderId="1" xfId="0" applyFont="1" applyFill="1" applyBorder="1" applyAlignment="1">
      <alignment horizontal="center" vertical="center"/>
    </xf>
    <xf numFmtId="0" fontId="10" fillId="5" borderId="10" xfId="0" applyFont="1" applyFill="1" applyBorder="1" applyAlignment="1">
      <alignment horizontal="center" vertical="center"/>
    </xf>
    <xf numFmtId="15" fontId="10" fillId="5" borderId="1" xfId="0" applyNumberFormat="1" applyFont="1" applyFill="1" applyBorder="1" applyAlignment="1">
      <alignment horizontal="center" vertical="center"/>
    </xf>
    <xf numFmtId="0" fontId="10" fillId="11" borderId="4" xfId="6" applyFont="1" applyFill="1" applyBorder="1" applyAlignment="1">
      <alignment horizontal="center" vertical="center"/>
    </xf>
    <xf numFmtId="0" fontId="10" fillId="11" borderId="1" xfId="6" applyFont="1" applyFill="1" applyBorder="1" applyAlignment="1">
      <alignment horizontal="center" vertical="center"/>
    </xf>
    <xf numFmtId="15" fontId="10" fillId="11" borderId="5" xfId="6" applyNumberFormat="1" applyFont="1" applyFill="1" applyBorder="1" applyAlignment="1">
      <alignment horizontal="center" vertical="center"/>
    </xf>
    <xf numFmtId="17" fontId="10" fillId="11" borderId="1" xfId="6" applyNumberFormat="1" applyFont="1" applyFill="1" applyBorder="1" applyAlignment="1">
      <alignment horizontal="center" vertical="center"/>
    </xf>
    <xf numFmtId="44" fontId="10" fillId="11" borderId="1" xfId="6" applyNumberFormat="1" applyFont="1" applyFill="1" applyBorder="1" applyAlignment="1">
      <alignment horizontal="center" vertical="center"/>
    </xf>
    <xf numFmtId="4" fontId="10" fillId="11" borderId="1" xfId="6" applyNumberFormat="1" applyFont="1" applyFill="1" applyBorder="1" applyAlignment="1">
      <alignment horizontal="center" vertical="center"/>
    </xf>
    <xf numFmtId="44" fontId="10" fillId="11" borderId="1" xfId="6" applyNumberFormat="1" applyFont="1" applyFill="1" applyBorder="1" applyAlignment="1">
      <alignment vertical="center"/>
    </xf>
    <xf numFmtId="0" fontId="10" fillId="11" borderId="1" xfId="6" applyFont="1" applyFill="1" applyBorder="1" applyAlignment="1">
      <alignment vertical="center"/>
    </xf>
    <xf numFmtId="15" fontId="10" fillId="11" borderId="1" xfId="6" applyNumberFormat="1" applyFont="1" applyFill="1" applyBorder="1" applyAlignment="1">
      <alignment horizontal="center" vertical="center"/>
    </xf>
    <xf numFmtId="3" fontId="10" fillId="11" borderId="1" xfId="6" applyNumberFormat="1" applyFont="1" applyFill="1" applyBorder="1" applyAlignment="1">
      <alignment horizontal="center" vertical="center"/>
    </xf>
    <xf numFmtId="0" fontId="10" fillId="13" borderId="1" xfId="6" applyFont="1" applyFill="1" applyBorder="1" applyAlignment="1">
      <alignment horizontal="center" vertical="center"/>
    </xf>
    <xf numFmtId="15" fontId="10" fillId="13" borderId="1" xfId="6" applyNumberFormat="1" applyFont="1" applyFill="1" applyBorder="1" applyAlignment="1">
      <alignment horizontal="center" vertical="center"/>
    </xf>
    <xf numFmtId="17" fontId="10" fillId="13" borderId="1" xfId="6" applyNumberFormat="1" applyFont="1" applyFill="1" applyBorder="1" applyAlignment="1">
      <alignment horizontal="center" vertical="center"/>
    </xf>
    <xf numFmtId="44" fontId="10" fillId="13" borderId="1" xfId="6" applyNumberFormat="1" applyFont="1" applyFill="1" applyBorder="1" applyAlignment="1">
      <alignment horizontal="center" vertical="center"/>
    </xf>
    <xf numFmtId="4" fontId="10" fillId="13" borderId="1" xfId="6" applyNumberFormat="1" applyFont="1" applyFill="1" applyBorder="1" applyAlignment="1">
      <alignment horizontal="center" vertical="center"/>
    </xf>
    <xf numFmtId="44" fontId="10" fillId="13" borderId="1" xfId="6" applyNumberFormat="1" applyFont="1" applyFill="1" applyBorder="1" applyAlignment="1">
      <alignment vertical="center"/>
    </xf>
    <xf numFmtId="0" fontId="10" fillId="13" borderId="1" xfId="6" applyFont="1" applyFill="1" applyBorder="1" applyAlignment="1">
      <alignment vertical="center"/>
    </xf>
    <xf numFmtId="3" fontId="10" fillId="13" borderId="1" xfId="6" applyNumberFormat="1" applyFont="1" applyFill="1" applyBorder="1" applyAlignment="1">
      <alignment horizontal="center" vertical="center"/>
    </xf>
    <xf numFmtId="0" fontId="10" fillId="15" borderId="1" xfId="6" applyFont="1" applyFill="1" applyBorder="1" applyAlignment="1">
      <alignment horizontal="center" vertical="center"/>
    </xf>
    <xf numFmtId="15" fontId="10" fillId="15" borderId="1" xfId="6" applyNumberFormat="1" applyFont="1" applyFill="1" applyBorder="1" applyAlignment="1">
      <alignment horizontal="center" vertical="center"/>
    </xf>
    <xf numFmtId="17" fontId="10" fillId="15" borderId="1" xfId="6" applyNumberFormat="1" applyFont="1" applyFill="1" applyBorder="1" applyAlignment="1">
      <alignment horizontal="center" vertical="center"/>
    </xf>
    <xf numFmtId="3" fontId="10" fillId="15" borderId="1" xfId="6" applyNumberFormat="1" applyFont="1" applyFill="1" applyBorder="1" applyAlignment="1">
      <alignment horizontal="center" vertical="center"/>
    </xf>
    <xf numFmtId="4" fontId="10" fillId="15" borderId="1" xfId="6" applyNumberFormat="1" applyFont="1" applyFill="1" applyBorder="1" applyAlignment="1">
      <alignment horizontal="center" vertical="center"/>
    </xf>
    <xf numFmtId="44" fontId="10" fillId="15" borderId="1" xfId="6" applyNumberFormat="1" applyFont="1" applyFill="1" applyBorder="1" applyAlignment="1">
      <alignment vertical="center"/>
    </xf>
    <xf numFmtId="0" fontId="10" fillId="15" borderId="1" xfId="6" applyFont="1" applyFill="1" applyBorder="1" applyAlignment="1">
      <alignment vertical="center"/>
    </xf>
    <xf numFmtId="44" fontId="10" fillId="15" borderId="1" xfId="6" applyNumberFormat="1" applyFont="1" applyFill="1" applyBorder="1" applyAlignment="1">
      <alignment horizontal="center" vertical="center"/>
    </xf>
    <xf numFmtId="0" fontId="10" fillId="17" borderId="1" xfId="6" applyFont="1" applyFill="1" applyBorder="1" applyAlignment="1">
      <alignment horizontal="center" vertical="center"/>
    </xf>
    <xf numFmtId="15" fontId="10" fillId="17" borderId="1" xfId="6" applyNumberFormat="1" applyFont="1" applyFill="1" applyBorder="1" applyAlignment="1">
      <alignment horizontal="center" vertical="center"/>
    </xf>
    <xf numFmtId="17" fontId="10" fillId="17" borderId="1" xfId="6" applyNumberFormat="1" applyFont="1" applyFill="1" applyBorder="1" applyAlignment="1">
      <alignment horizontal="center" vertical="center"/>
    </xf>
    <xf numFmtId="4" fontId="10" fillId="17" borderId="1" xfId="6" applyNumberFormat="1" applyFont="1" applyFill="1" applyBorder="1" applyAlignment="1">
      <alignment horizontal="center" vertical="center"/>
    </xf>
    <xf numFmtId="44" fontId="10" fillId="17" borderId="1" xfId="6" applyNumberFormat="1" applyFont="1" applyFill="1" applyBorder="1" applyAlignment="1">
      <alignment vertical="center"/>
    </xf>
    <xf numFmtId="44" fontId="10" fillId="17" borderId="1" xfId="6" applyNumberFormat="1" applyFont="1" applyFill="1" applyBorder="1" applyAlignment="1">
      <alignment horizontal="center" vertical="center"/>
    </xf>
    <xf numFmtId="0" fontId="10" fillId="17" borderId="1" xfId="6" applyFont="1" applyFill="1" applyBorder="1" applyAlignment="1">
      <alignment vertical="center"/>
    </xf>
    <xf numFmtId="0" fontId="10" fillId="18" borderId="1" xfId="6" applyFont="1" applyFill="1" applyBorder="1" applyAlignment="1">
      <alignment horizontal="center" vertical="center"/>
    </xf>
    <xf numFmtId="15" fontId="10" fillId="18" borderId="1" xfId="6" applyNumberFormat="1" applyFont="1" applyFill="1" applyBorder="1" applyAlignment="1">
      <alignment horizontal="center" vertical="center"/>
    </xf>
    <xf numFmtId="17" fontId="10" fillId="18" borderId="1" xfId="6" applyNumberFormat="1" applyFont="1" applyFill="1" applyBorder="1" applyAlignment="1">
      <alignment horizontal="center" vertical="center"/>
    </xf>
    <xf numFmtId="3" fontId="10" fillId="18" borderId="1" xfId="6" applyNumberFormat="1" applyFont="1" applyFill="1" applyBorder="1" applyAlignment="1">
      <alignment horizontal="center" vertical="center"/>
    </xf>
    <xf numFmtId="4" fontId="10" fillId="18" borderId="1" xfId="6" applyNumberFormat="1" applyFont="1" applyFill="1" applyBorder="1" applyAlignment="1">
      <alignment horizontal="center" vertical="center"/>
    </xf>
    <xf numFmtId="44" fontId="10" fillId="18" borderId="1" xfId="6" applyNumberFormat="1" applyFont="1" applyFill="1" applyBorder="1" applyAlignment="1">
      <alignment vertical="center"/>
    </xf>
    <xf numFmtId="0" fontId="10" fillId="18" borderId="1" xfId="6" applyFont="1" applyFill="1" applyBorder="1" applyAlignment="1">
      <alignment vertical="center"/>
    </xf>
    <xf numFmtId="0" fontId="10" fillId="5" borderId="5" xfId="6" applyFont="1" applyFill="1" applyBorder="1" applyAlignment="1">
      <alignment horizontal="center" vertical="center"/>
    </xf>
    <xf numFmtId="15" fontId="10" fillId="7" borderId="1" xfId="6" applyNumberFormat="1" applyFont="1" applyFill="1" applyBorder="1" applyAlignment="1">
      <alignment horizontal="center" vertical="center"/>
    </xf>
    <xf numFmtId="44" fontId="10" fillId="18" borderId="1" xfId="6" applyNumberFormat="1" applyFont="1" applyFill="1" applyBorder="1" applyAlignment="1">
      <alignment horizontal="center" vertical="center"/>
    </xf>
    <xf numFmtId="1" fontId="10" fillId="11" borderId="1" xfId="6" applyNumberFormat="1" applyFont="1" applyFill="1" applyBorder="1" applyAlignment="1">
      <alignment horizontal="center" vertical="center"/>
    </xf>
    <xf numFmtId="1" fontId="10" fillId="13" borderId="1" xfId="6" applyNumberFormat="1" applyFont="1" applyFill="1" applyBorder="1" applyAlignment="1">
      <alignment horizontal="center" vertical="center"/>
    </xf>
    <xf numFmtId="1" fontId="10" fillId="15" borderId="1" xfId="6" applyNumberFormat="1" applyFont="1" applyFill="1" applyBorder="1" applyAlignment="1">
      <alignment horizontal="center" vertical="center"/>
    </xf>
    <xf numFmtId="0" fontId="5" fillId="2" borderId="1" xfId="8" applyFont="1" applyFill="1" applyBorder="1" applyAlignment="1">
      <alignment horizontal="center" vertical="center"/>
    </xf>
    <xf numFmtId="0" fontId="10" fillId="20" borderId="1" xfId="6" applyFont="1" applyFill="1" applyBorder="1" applyAlignment="1">
      <alignment horizontal="center" vertical="center"/>
    </xf>
    <xf numFmtId="15" fontId="10" fillId="20" borderId="1" xfId="6" applyNumberFormat="1" applyFont="1" applyFill="1" applyBorder="1" applyAlignment="1">
      <alignment horizontal="center" vertical="center"/>
    </xf>
    <xf numFmtId="14" fontId="10" fillId="20" borderId="1" xfId="6" applyNumberFormat="1" applyFont="1" applyFill="1" applyBorder="1" applyAlignment="1">
      <alignment horizontal="center" vertical="center"/>
    </xf>
    <xf numFmtId="3" fontId="10" fillId="20" borderId="1" xfId="6" applyNumberFormat="1" applyFont="1" applyFill="1" applyBorder="1" applyAlignment="1">
      <alignment horizontal="center" vertical="center"/>
    </xf>
    <xf numFmtId="4" fontId="10" fillId="20" borderId="1" xfId="6" applyNumberFormat="1" applyFont="1" applyFill="1" applyBorder="1" applyAlignment="1">
      <alignment horizontal="center" vertical="center"/>
    </xf>
    <xf numFmtId="44" fontId="10" fillId="20" borderId="1" xfId="6" applyNumberFormat="1" applyFont="1" applyFill="1" applyBorder="1" applyAlignment="1">
      <alignment vertical="center"/>
    </xf>
    <xf numFmtId="0" fontId="10" fillId="20" borderId="1" xfId="6" applyFont="1" applyFill="1" applyBorder="1" applyAlignment="1">
      <alignment vertical="center"/>
    </xf>
    <xf numFmtId="44" fontId="10" fillId="20" borderId="1" xfId="6" applyNumberFormat="1" applyFont="1" applyFill="1" applyBorder="1" applyAlignment="1">
      <alignment horizontal="center" vertical="center"/>
    </xf>
    <xf numFmtId="17" fontId="10" fillId="20" borderId="1" xfId="6" applyNumberFormat="1" applyFont="1" applyFill="1" applyBorder="1" applyAlignment="1">
      <alignment horizontal="center" vertical="center"/>
    </xf>
    <xf numFmtId="44" fontId="5" fillId="2" borderId="1" xfId="8" applyNumberFormat="1" applyFont="1" applyFill="1" applyBorder="1" applyAlignment="1">
      <alignment horizontal="center" vertical="center" wrapText="1"/>
    </xf>
    <xf numFmtId="0" fontId="18" fillId="2" borderId="1" xfId="7" applyFont="1" applyFill="1" applyBorder="1" applyAlignment="1">
      <alignment vertical="center"/>
    </xf>
    <xf numFmtId="0" fontId="18" fillId="2" borderId="1" xfId="7" applyFont="1" applyFill="1" applyBorder="1" applyAlignment="1">
      <alignment horizontal="center" vertical="center"/>
    </xf>
    <xf numFmtId="0" fontId="18" fillId="2" borderId="1" xfId="7" applyFont="1" applyFill="1" applyBorder="1" applyAlignment="1">
      <alignment vertical="center" wrapText="1"/>
    </xf>
    <xf numFmtId="42" fontId="18" fillId="2" borderId="1" xfId="2" applyFont="1" applyFill="1" applyBorder="1" applyAlignment="1">
      <alignment vertical="center"/>
    </xf>
    <xf numFmtId="0" fontId="18" fillId="2" borderId="10" xfId="7" applyFont="1" applyFill="1" applyBorder="1" applyAlignment="1">
      <alignment vertical="center"/>
    </xf>
    <xf numFmtId="0" fontId="18" fillId="2" borderId="9" xfId="7" applyFont="1" applyFill="1" applyBorder="1" applyAlignment="1">
      <alignment vertical="center"/>
    </xf>
    <xf numFmtId="0" fontId="18" fillId="2" borderId="0" xfId="7" applyFont="1" applyFill="1" applyAlignment="1">
      <alignment vertical="center"/>
    </xf>
    <xf numFmtId="0" fontId="19" fillId="2" borderId="1" xfId="7" applyFont="1" applyFill="1" applyBorder="1" applyAlignment="1">
      <alignment horizontal="left" vertical="top"/>
    </xf>
    <xf numFmtId="0" fontId="19" fillId="2" borderId="1" xfId="7" applyFont="1" applyFill="1" applyBorder="1" applyAlignment="1">
      <alignment horizontal="center" vertical="center"/>
    </xf>
    <xf numFmtId="165" fontId="18" fillId="2" borderId="1" xfId="3" applyFont="1" applyFill="1" applyBorder="1" applyAlignment="1">
      <alignment vertical="center"/>
    </xf>
    <xf numFmtId="0" fontId="19" fillId="2" borderId="1" xfId="7" applyFont="1" applyFill="1" applyBorder="1" applyAlignment="1">
      <alignment vertical="center"/>
    </xf>
    <xf numFmtId="0" fontId="19" fillId="2" borderId="1" xfId="7" applyFont="1" applyFill="1" applyBorder="1" applyAlignment="1">
      <alignment horizontal="centerContinuous" vertical="center"/>
    </xf>
    <xf numFmtId="0" fontId="18" fillId="2" borderId="1" xfId="7" applyFont="1" applyFill="1" applyBorder="1" applyAlignment="1">
      <alignment horizontal="centerContinuous" vertical="center"/>
    </xf>
    <xf numFmtId="0" fontId="18" fillId="2" borderId="10" xfId="7" applyFont="1" applyFill="1" applyBorder="1" applyAlignment="1">
      <alignment horizontal="centerContinuous" vertical="center"/>
    </xf>
    <xf numFmtId="166" fontId="18" fillId="2" borderId="9" xfId="7" applyNumberFormat="1" applyFont="1" applyFill="1" applyBorder="1" applyAlignment="1">
      <alignment vertical="center"/>
    </xf>
    <xf numFmtId="0" fontId="18" fillId="2" borderId="0" xfId="7" applyFont="1" applyFill="1" applyAlignment="1">
      <alignment horizontal="center" vertical="center"/>
    </xf>
    <xf numFmtId="0" fontId="20" fillId="9" borderId="1" xfId="0" applyFont="1" applyFill="1" applyBorder="1" applyAlignment="1">
      <alignment horizontal="center" vertical="center"/>
    </xf>
    <xf numFmtId="15" fontId="20" fillId="9" borderId="1" xfId="0" applyNumberFormat="1" applyFont="1" applyFill="1" applyBorder="1" applyAlignment="1">
      <alignment horizontal="center" vertical="center"/>
    </xf>
    <xf numFmtId="0" fontId="20" fillId="9" borderId="1" xfId="0" applyFont="1" applyFill="1" applyBorder="1" applyAlignment="1">
      <alignment horizontal="center" vertical="center" wrapText="1"/>
    </xf>
    <xf numFmtId="17" fontId="20" fillId="9" borderId="1" xfId="0" applyNumberFormat="1" applyFont="1" applyFill="1" applyBorder="1" applyAlignment="1">
      <alignment horizontal="center" vertical="center"/>
    </xf>
    <xf numFmtId="15" fontId="18" fillId="9" borderId="1" xfId="0" applyNumberFormat="1" applyFont="1" applyFill="1" applyBorder="1" applyAlignment="1">
      <alignment vertical="center" wrapText="1"/>
    </xf>
    <xf numFmtId="167" fontId="20" fillId="9" borderId="1" xfId="2" applyNumberFormat="1" applyFont="1" applyFill="1" applyBorder="1" applyAlignment="1">
      <alignment vertical="center"/>
    </xf>
    <xf numFmtId="44" fontId="20" fillId="9" borderId="1" xfId="0" applyNumberFormat="1" applyFont="1" applyFill="1" applyBorder="1" applyAlignment="1">
      <alignment vertical="center"/>
    </xf>
    <xf numFmtId="0" fontId="20" fillId="9" borderId="10" xfId="0" applyFont="1" applyFill="1" applyBorder="1" applyAlignment="1">
      <alignment horizontal="center" vertical="center"/>
    </xf>
    <xf numFmtId="15" fontId="20" fillId="14" borderId="1" xfId="0" applyNumberFormat="1" applyFont="1" applyFill="1" applyBorder="1" applyAlignment="1">
      <alignment horizontal="center" vertical="center"/>
    </xf>
    <xf numFmtId="44" fontId="20" fillId="9" borderId="9" xfId="0" applyNumberFormat="1" applyFont="1" applyFill="1" applyBorder="1" applyAlignment="1">
      <alignment vertical="center"/>
    </xf>
    <xf numFmtId="0" fontId="20" fillId="3" borderId="1" xfId="0" applyFont="1" applyFill="1" applyBorder="1" applyAlignment="1">
      <alignment horizontal="center" vertical="center"/>
    </xf>
    <xf numFmtId="15" fontId="20" fillId="3" borderId="1" xfId="0" applyNumberFormat="1" applyFont="1" applyFill="1" applyBorder="1" applyAlignment="1">
      <alignment horizontal="center" vertical="center"/>
    </xf>
    <xf numFmtId="0" fontId="20" fillId="3" borderId="1" xfId="0" applyFont="1" applyFill="1" applyBorder="1" applyAlignment="1">
      <alignment horizontal="center" vertical="center" wrapText="1"/>
    </xf>
    <xf numFmtId="17" fontId="20" fillId="3" borderId="1" xfId="0" applyNumberFormat="1" applyFont="1" applyFill="1" applyBorder="1" applyAlignment="1">
      <alignment horizontal="center" vertical="center"/>
    </xf>
    <xf numFmtId="15" fontId="18" fillId="3" borderId="1" xfId="0" applyNumberFormat="1" applyFont="1" applyFill="1" applyBorder="1" applyAlignment="1">
      <alignment vertical="center" wrapText="1"/>
    </xf>
    <xf numFmtId="167" fontId="20" fillId="3" borderId="1" xfId="2" applyNumberFormat="1" applyFont="1" applyFill="1" applyBorder="1" applyAlignment="1">
      <alignment vertical="center"/>
    </xf>
    <xf numFmtId="44" fontId="20" fillId="3" borderId="1" xfId="0" applyNumberFormat="1" applyFont="1" applyFill="1" applyBorder="1" applyAlignment="1">
      <alignment vertical="center"/>
    </xf>
    <xf numFmtId="0" fontId="20" fillId="3" borderId="10" xfId="0" applyFont="1" applyFill="1" applyBorder="1" applyAlignment="1">
      <alignment horizontal="center" vertical="center"/>
    </xf>
    <xf numFmtId="15" fontId="20" fillId="6" borderId="1" xfId="0" applyNumberFormat="1" applyFont="1" applyFill="1" applyBorder="1" applyAlignment="1">
      <alignment horizontal="center" vertical="center"/>
    </xf>
    <xf numFmtId="44" fontId="20" fillId="3" borderId="9" xfId="0" applyNumberFormat="1" applyFont="1" applyFill="1" applyBorder="1" applyAlignment="1">
      <alignment vertical="center"/>
    </xf>
    <xf numFmtId="44" fontId="18" fillId="2" borderId="0" xfId="7" applyNumberFormat="1" applyFont="1" applyFill="1" applyAlignment="1">
      <alignment vertical="center"/>
    </xf>
    <xf numFmtId="0" fontId="20" fillId="6" borderId="1" xfId="0" applyFont="1" applyFill="1" applyBorder="1" applyAlignment="1">
      <alignment horizontal="center" vertical="center"/>
    </xf>
    <xf numFmtId="0" fontId="20" fillId="6" borderId="1" xfId="0" applyFont="1" applyFill="1" applyBorder="1" applyAlignment="1">
      <alignment horizontal="center" vertical="center" wrapText="1"/>
    </xf>
    <xf numFmtId="17" fontId="20" fillId="6" borderId="1" xfId="0" applyNumberFormat="1" applyFont="1" applyFill="1" applyBorder="1" applyAlignment="1">
      <alignment horizontal="center" vertical="center"/>
    </xf>
    <xf numFmtId="15" fontId="18" fillId="6" borderId="1" xfId="0" applyNumberFormat="1" applyFont="1" applyFill="1" applyBorder="1" applyAlignment="1">
      <alignment vertical="center" wrapText="1"/>
    </xf>
    <xf numFmtId="167" fontId="20" fillId="6" borderId="1" xfId="0" applyNumberFormat="1" applyFont="1" applyFill="1" applyBorder="1" applyAlignment="1">
      <alignment vertical="center"/>
    </xf>
    <xf numFmtId="44" fontId="20" fillId="6" borderId="1" xfId="0" applyNumberFormat="1" applyFont="1" applyFill="1" applyBorder="1" applyAlignment="1">
      <alignment vertical="center"/>
    </xf>
    <xf numFmtId="0" fontId="20" fillId="11" borderId="1" xfId="0" applyFont="1" applyFill="1" applyBorder="1" applyAlignment="1">
      <alignment horizontal="center" vertical="center"/>
    </xf>
    <xf numFmtId="15" fontId="20" fillId="12" borderId="1" xfId="0" applyNumberFormat="1" applyFont="1" applyFill="1" applyBorder="1" applyAlignment="1">
      <alignment horizontal="center" vertical="center"/>
    </xf>
    <xf numFmtId="0" fontId="20" fillId="12" borderId="1" xfId="0" applyFont="1" applyFill="1" applyBorder="1" applyAlignment="1">
      <alignment horizontal="center" vertical="center"/>
    </xf>
    <xf numFmtId="0" fontId="20" fillId="11" borderId="1" xfId="0" applyFont="1" applyFill="1" applyBorder="1" applyAlignment="1">
      <alignment horizontal="center" vertical="center" wrapText="1"/>
    </xf>
    <xf numFmtId="17" fontId="20" fillId="12" borderId="1" xfId="0" applyNumberFormat="1" applyFont="1" applyFill="1" applyBorder="1" applyAlignment="1">
      <alignment horizontal="center" vertical="center"/>
    </xf>
    <xf numFmtId="15" fontId="18" fillId="11" borderId="1" xfId="0" applyNumberFormat="1" applyFont="1" applyFill="1" applyBorder="1" applyAlignment="1">
      <alignment vertical="center" wrapText="1"/>
    </xf>
    <xf numFmtId="167" fontId="20" fillId="11" borderId="1" xfId="2" applyNumberFormat="1" applyFont="1" applyFill="1" applyBorder="1" applyAlignment="1">
      <alignment vertical="center"/>
    </xf>
    <xf numFmtId="44" fontId="20" fillId="11" borderId="1" xfId="0" applyNumberFormat="1" applyFont="1" applyFill="1" applyBorder="1" applyAlignment="1">
      <alignment vertical="center"/>
    </xf>
    <xf numFmtId="0" fontId="20" fillId="11" borderId="10" xfId="0" applyFont="1" applyFill="1" applyBorder="1" applyAlignment="1">
      <alignment horizontal="center" vertical="center"/>
    </xf>
    <xf numFmtId="15" fontId="20" fillId="11" borderId="1" xfId="0" applyNumberFormat="1" applyFont="1" applyFill="1" applyBorder="1" applyAlignment="1">
      <alignment horizontal="center" vertical="center"/>
    </xf>
    <xf numFmtId="44" fontId="20" fillId="11" borderId="9" xfId="0" applyNumberFormat="1" applyFont="1" applyFill="1" applyBorder="1" applyAlignment="1">
      <alignment vertical="center"/>
    </xf>
    <xf numFmtId="0" fontId="20" fillId="12" borderId="1" xfId="0" applyFont="1" applyFill="1" applyBorder="1" applyAlignment="1">
      <alignment horizontal="center" vertical="center" wrapText="1"/>
    </xf>
    <xf numFmtId="15" fontId="18" fillId="12" borderId="1" xfId="0" applyNumberFormat="1" applyFont="1" applyFill="1" applyBorder="1" applyAlignment="1">
      <alignment vertical="center" wrapText="1"/>
    </xf>
    <xf numFmtId="167" fontId="20" fillId="12" borderId="1" xfId="0" applyNumberFormat="1" applyFont="1" applyFill="1" applyBorder="1" applyAlignment="1">
      <alignment vertical="center"/>
    </xf>
    <xf numFmtId="44" fontId="20" fillId="12" borderId="1" xfId="0" applyNumberFormat="1" applyFont="1" applyFill="1" applyBorder="1" applyAlignment="1">
      <alignment vertical="center"/>
    </xf>
    <xf numFmtId="0" fontId="18" fillId="11" borderId="1" xfId="7" applyFont="1" applyFill="1" applyBorder="1" applyAlignment="1">
      <alignment vertical="center"/>
    </xf>
    <xf numFmtId="0" fontId="18" fillId="11" borderId="10" xfId="7" applyFont="1" applyFill="1" applyBorder="1" applyAlignment="1">
      <alignment vertical="center"/>
    </xf>
    <xf numFmtId="0" fontId="20" fillId="11" borderId="6" xfId="0" applyFont="1" applyFill="1" applyBorder="1" applyAlignment="1">
      <alignment horizontal="center" vertical="center"/>
    </xf>
    <xf numFmtId="15" fontId="20" fillId="12" borderId="3" xfId="0" applyNumberFormat="1" applyFont="1" applyFill="1" applyBorder="1" applyAlignment="1">
      <alignment horizontal="center" vertical="center"/>
    </xf>
    <xf numFmtId="0" fontId="20" fillId="12" borderId="3" xfId="0" applyFont="1" applyFill="1" applyBorder="1" applyAlignment="1">
      <alignment horizontal="center" vertical="center" wrapText="1"/>
    </xf>
    <xf numFmtId="0" fontId="20" fillId="11" borderId="3" xfId="0" applyFont="1" applyFill="1" applyBorder="1" applyAlignment="1">
      <alignment horizontal="center" vertical="center"/>
    </xf>
    <xf numFmtId="0" fontId="20" fillId="12" borderId="3" xfId="0" applyFont="1" applyFill="1" applyBorder="1" applyAlignment="1">
      <alignment horizontal="center" vertical="center"/>
    </xf>
    <xf numFmtId="17" fontId="20" fillId="12" borderId="3" xfId="0" applyNumberFormat="1" applyFont="1" applyFill="1" applyBorder="1" applyAlignment="1">
      <alignment horizontal="center" vertical="center"/>
    </xf>
    <xf numFmtId="15" fontId="18" fillId="12" borderId="3" xfId="0" applyNumberFormat="1" applyFont="1" applyFill="1" applyBorder="1" applyAlignment="1">
      <alignment vertical="center" wrapText="1"/>
    </xf>
    <xf numFmtId="167" fontId="20" fillId="12" borderId="3" xfId="0" applyNumberFormat="1" applyFont="1" applyFill="1" applyBorder="1" applyAlignment="1">
      <alignment vertical="center"/>
    </xf>
    <xf numFmtId="44" fontId="20" fillId="12" borderId="3" xfId="0" applyNumberFormat="1" applyFont="1" applyFill="1" applyBorder="1" applyAlignment="1">
      <alignment vertical="center"/>
    </xf>
    <xf numFmtId="44" fontId="20" fillId="11" borderId="3" xfId="0" applyNumberFormat="1" applyFont="1" applyFill="1" applyBorder="1" applyAlignment="1">
      <alignment vertical="center"/>
    </xf>
    <xf numFmtId="0" fontId="20" fillId="11" borderId="11" xfId="0" applyFont="1" applyFill="1" applyBorder="1" applyAlignment="1">
      <alignment horizontal="center" vertical="center"/>
    </xf>
    <xf numFmtId="0" fontId="20" fillId="11" borderId="7" xfId="0" applyFont="1" applyFill="1" applyBorder="1" applyAlignment="1">
      <alignment horizontal="center" vertical="center"/>
    </xf>
    <xf numFmtId="0" fontId="20" fillId="12" borderId="8" xfId="0" applyFont="1" applyFill="1" applyBorder="1" applyAlignment="1">
      <alignment horizontal="center" vertical="center" wrapText="1"/>
    </xf>
    <xf numFmtId="0" fontId="20" fillId="11" borderId="8" xfId="0" applyFont="1" applyFill="1" applyBorder="1" applyAlignment="1">
      <alignment horizontal="center" vertical="center"/>
    </xf>
    <xf numFmtId="0" fontId="20" fillId="12" borderId="8" xfId="0" applyFont="1" applyFill="1" applyBorder="1" applyAlignment="1">
      <alignment horizontal="center" vertical="center"/>
    </xf>
    <xf numFmtId="17" fontId="20" fillId="12" borderId="8" xfId="0" applyNumberFormat="1" applyFont="1" applyFill="1" applyBorder="1" applyAlignment="1">
      <alignment horizontal="center" vertical="center"/>
    </xf>
    <xf numFmtId="15" fontId="18" fillId="12" borderId="8" xfId="0" applyNumberFormat="1" applyFont="1" applyFill="1" applyBorder="1" applyAlignment="1">
      <alignment vertical="center" wrapText="1"/>
    </xf>
    <xf numFmtId="167" fontId="20" fillId="12" borderId="8" xfId="0" applyNumberFormat="1" applyFont="1" applyFill="1" applyBorder="1" applyAlignment="1">
      <alignment vertical="center"/>
    </xf>
    <xf numFmtId="44" fontId="20" fillId="12" borderId="8" xfId="0" applyNumberFormat="1" applyFont="1" applyFill="1" applyBorder="1" applyAlignment="1">
      <alignment vertical="center"/>
    </xf>
    <xf numFmtId="44" fontId="20" fillId="11" borderId="8" xfId="0" applyNumberFormat="1" applyFont="1" applyFill="1" applyBorder="1" applyAlignment="1">
      <alignment vertical="center"/>
    </xf>
    <xf numFmtId="0" fontId="20" fillId="11" borderId="12" xfId="0" applyFont="1" applyFill="1" applyBorder="1" applyAlignment="1">
      <alignment horizontal="center" vertical="center"/>
    </xf>
    <xf numFmtId="0" fontId="20" fillId="8" borderId="0" xfId="0" applyFont="1" applyFill="1" applyAlignment="1">
      <alignment vertical="center"/>
    </xf>
    <xf numFmtId="0" fontId="20" fillId="12" borderId="7" xfId="0" applyFont="1" applyFill="1" applyBorder="1" applyAlignment="1">
      <alignment horizontal="center" vertical="center"/>
    </xf>
    <xf numFmtId="0" fontId="20" fillId="12" borderId="12" xfId="0" applyFont="1" applyFill="1" applyBorder="1" applyAlignment="1">
      <alignment horizontal="center" vertical="center"/>
    </xf>
    <xf numFmtId="0" fontId="20" fillId="12" borderId="10" xfId="0" applyFont="1" applyFill="1" applyBorder="1" applyAlignment="1">
      <alignment horizontal="center" vertical="center"/>
    </xf>
    <xf numFmtId="17" fontId="20" fillId="11" borderId="1" xfId="0" applyNumberFormat="1" applyFont="1" applyFill="1" applyBorder="1" applyAlignment="1">
      <alignment horizontal="center" vertical="center"/>
    </xf>
    <xf numFmtId="15" fontId="18" fillId="11" borderId="1" xfId="0" applyNumberFormat="1" applyFont="1" applyFill="1" applyBorder="1" applyAlignment="1">
      <alignment horizontal="justify" vertical="center" wrapText="1"/>
    </xf>
    <xf numFmtId="0" fontId="20" fillId="11" borderId="9" xfId="0" applyFont="1" applyFill="1" applyBorder="1" applyAlignment="1">
      <alignment horizontal="center" vertical="center" wrapText="1"/>
    </xf>
    <xf numFmtId="0" fontId="20" fillId="12" borderId="6" xfId="0" applyFont="1" applyFill="1" applyBorder="1" applyAlignment="1">
      <alignment horizontal="center" vertical="center"/>
    </xf>
    <xf numFmtId="15" fontId="20" fillId="12" borderId="8" xfId="0" applyNumberFormat="1" applyFont="1" applyFill="1" applyBorder="1" applyAlignment="1">
      <alignment horizontal="center" vertical="center"/>
    </xf>
    <xf numFmtId="0" fontId="20" fillId="13" borderId="1" xfId="0" applyFont="1" applyFill="1" applyBorder="1" applyAlignment="1">
      <alignment horizontal="center" vertical="center"/>
    </xf>
    <xf numFmtId="15" fontId="20" fillId="13" borderId="1" xfId="0" applyNumberFormat="1" applyFont="1" applyFill="1" applyBorder="1" applyAlignment="1">
      <alignment horizontal="center" vertical="center"/>
    </xf>
    <xf numFmtId="0" fontId="20" fillId="13" borderId="1" xfId="0" applyFont="1" applyFill="1" applyBorder="1" applyAlignment="1">
      <alignment horizontal="center" vertical="center" wrapText="1"/>
    </xf>
    <xf numFmtId="17" fontId="20" fillId="13" borderId="1" xfId="0" applyNumberFormat="1" applyFont="1" applyFill="1" applyBorder="1" applyAlignment="1">
      <alignment horizontal="center" vertical="center"/>
    </xf>
    <xf numFmtId="15" fontId="18" fillId="13" borderId="1" xfId="0" applyNumberFormat="1" applyFont="1" applyFill="1" applyBorder="1" applyAlignment="1">
      <alignment vertical="center" wrapText="1"/>
    </xf>
    <xf numFmtId="167" fontId="20" fillId="13" borderId="1" xfId="0" applyNumberFormat="1" applyFont="1" applyFill="1" applyBorder="1" applyAlignment="1">
      <alignment vertical="center"/>
    </xf>
    <xf numFmtId="44" fontId="20" fillId="13" borderId="1" xfId="0" applyNumberFormat="1" applyFont="1" applyFill="1" applyBorder="1" applyAlignment="1">
      <alignment vertical="center"/>
    </xf>
    <xf numFmtId="0" fontId="20" fillId="13" borderId="10" xfId="0" applyFont="1" applyFill="1" applyBorder="1" applyAlignment="1">
      <alignment horizontal="center" vertical="center"/>
    </xf>
    <xf numFmtId="44" fontId="20" fillId="13" borderId="9" xfId="0" applyNumberFormat="1" applyFont="1" applyFill="1" applyBorder="1" applyAlignment="1">
      <alignment vertical="center"/>
    </xf>
    <xf numFmtId="167" fontId="20" fillId="13" borderId="1" xfId="2" applyNumberFormat="1" applyFont="1" applyFill="1" applyBorder="1" applyAlignment="1">
      <alignment vertical="center"/>
    </xf>
    <xf numFmtId="0" fontId="21" fillId="2" borderId="0" xfId="0" applyFont="1" applyFill="1"/>
    <xf numFmtId="0" fontId="20" fillId="13" borderId="6" xfId="0" applyFont="1" applyFill="1" applyBorder="1" applyAlignment="1">
      <alignment horizontal="center" vertical="center"/>
    </xf>
    <xf numFmtId="15" fontId="20" fillId="13" borderId="3" xfId="0" applyNumberFormat="1" applyFont="1" applyFill="1" applyBorder="1" applyAlignment="1">
      <alignment horizontal="center" vertical="center"/>
    </xf>
    <xf numFmtId="0" fontId="20" fillId="13" borderId="3" xfId="0" applyFont="1" applyFill="1" applyBorder="1" applyAlignment="1">
      <alignment horizontal="center" vertical="center" wrapText="1"/>
    </xf>
    <xf numFmtId="0" fontId="20" fillId="13" borderId="3" xfId="0" applyFont="1" applyFill="1" applyBorder="1" applyAlignment="1">
      <alignment horizontal="center" vertical="center"/>
    </xf>
    <xf numFmtId="15" fontId="18" fillId="13" borderId="3" xfId="0" applyNumberFormat="1" applyFont="1" applyFill="1" applyBorder="1" applyAlignment="1">
      <alignment vertical="center" wrapText="1"/>
    </xf>
    <xf numFmtId="167" fontId="20" fillId="13" borderId="3" xfId="0" applyNumberFormat="1" applyFont="1" applyFill="1" applyBorder="1" applyAlignment="1">
      <alignment vertical="center"/>
    </xf>
    <xf numFmtId="44" fontId="20" fillId="13" borderId="3" xfId="0" applyNumberFormat="1" applyFont="1" applyFill="1" applyBorder="1" applyAlignment="1">
      <alignment vertical="center"/>
    </xf>
    <xf numFmtId="0" fontId="20" fillId="13" borderId="3" xfId="0" applyFont="1" applyFill="1" applyBorder="1" applyAlignment="1">
      <alignment vertical="center"/>
    </xf>
    <xf numFmtId="0" fontId="20" fillId="13" borderId="11" xfId="0" applyFont="1" applyFill="1" applyBorder="1" applyAlignment="1">
      <alignment vertical="center"/>
    </xf>
    <xf numFmtId="17" fontId="20" fillId="13" borderId="3" xfId="0" applyNumberFormat="1" applyFont="1" applyFill="1" applyBorder="1" applyAlignment="1">
      <alignment horizontal="center" vertical="center"/>
    </xf>
    <xf numFmtId="0" fontId="20" fillId="13" borderId="11" xfId="0" applyFont="1" applyFill="1" applyBorder="1" applyAlignment="1">
      <alignment horizontal="center" vertical="center"/>
    </xf>
    <xf numFmtId="0" fontId="20" fillId="5" borderId="1" xfId="0" applyFont="1" applyFill="1" applyBorder="1" applyAlignment="1">
      <alignment horizontal="center" vertical="center"/>
    </xf>
    <xf numFmtId="15" fontId="20" fillId="7" borderId="1" xfId="0" applyNumberFormat="1" applyFont="1" applyFill="1" applyBorder="1" applyAlignment="1">
      <alignment horizontal="center" vertical="center"/>
    </xf>
    <xf numFmtId="0" fontId="20" fillId="7" borderId="1" xfId="0" applyFont="1" applyFill="1" applyBorder="1" applyAlignment="1">
      <alignment horizontal="center" vertical="center" wrapText="1"/>
    </xf>
    <xf numFmtId="0" fontId="20" fillId="7" borderId="1" xfId="0" applyFont="1" applyFill="1" applyBorder="1" applyAlignment="1">
      <alignment horizontal="center" vertical="center"/>
    </xf>
    <xf numFmtId="0" fontId="20" fillId="5" borderId="1" xfId="0" applyFont="1" applyFill="1" applyBorder="1" applyAlignment="1">
      <alignment horizontal="center" vertical="center" wrapText="1"/>
    </xf>
    <xf numFmtId="17" fontId="20" fillId="5" borderId="1" xfId="0" applyNumberFormat="1" applyFont="1" applyFill="1" applyBorder="1" applyAlignment="1">
      <alignment horizontal="center" vertical="center"/>
    </xf>
    <xf numFmtId="15" fontId="18" fillId="5" borderId="1" xfId="0" applyNumberFormat="1" applyFont="1" applyFill="1" applyBorder="1" applyAlignment="1">
      <alignment vertical="center" wrapText="1"/>
    </xf>
    <xf numFmtId="167" fontId="20" fillId="5" borderId="1" xfId="2" applyNumberFormat="1" applyFont="1" applyFill="1" applyBorder="1" applyAlignment="1">
      <alignment vertical="center"/>
    </xf>
    <xf numFmtId="44" fontId="20" fillId="5" borderId="1" xfId="0" applyNumberFormat="1" applyFont="1" applyFill="1" applyBorder="1" applyAlignment="1">
      <alignment vertical="center"/>
    </xf>
    <xf numFmtId="0" fontId="20" fillId="5" borderId="10" xfId="0" applyFont="1" applyFill="1" applyBorder="1" applyAlignment="1">
      <alignment horizontal="center" vertical="center"/>
    </xf>
    <xf numFmtId="15" fontId="20" fillId="5" borderId="1" xfId="0" applyNumberFormat="1" applyFont="1" applyFill="1" applyBorder="1" applyAlignment="1">
      <alignment horizontal="center" vertical="center"/>
    </xf>
    <xf numFmtId="44" fontId="20" fillId="5" borderId="9" xfId="0" applyNumberFormat="1" applyFont="1" applyFill="1" applyBorder="1" applyAlignment="1">
      <alignment vertical="center"/>
    </xf>
    <xf numFmtId="17" fontId="20" fillId="7" borderId="1" xfId="0" applyNumberFormat="1" applyFont="1" applyFill="1" applyBorder="1" applyAlignment="1">
      <alignment horizontal="center" vertical="center"/>
    </xf>
    <xf numFmtId="15" fontId="18" fillId="7" borderId="1" xfId="0" applyNumberFormat="1" applyFont="1" applyFill="1" applyBorder="1" applyAlignment="1">
      <alignment vertical="center" wrapText="1"/>
    </xf>
    <xf numFmtId="167" fontId="20" fillId="7" borderId="1" xfId="0" applyNumberFormat="1" applyFont="1" applyFill="1" applyBorder="1" applyAlignment="1">
      <alignment vertical="center"/>
    </xf>
    <xf numFmtId="44" fontId="20" fillId="7" borderId="1" xfId="0" applyNumberFormat="1" applyFont="1" applyFill="1" applyBorder="1" applyAlignment="1">
      <alignment vertical="center"/>
    </xf>
    <xf numFmtId="0" fontId="20" fillId="15" borderId="1" xfId="0" applyFont="1" applyFill="1" applyBorder="1" applyAlignment="1">
      <alignment horizontal="center" vertical="center"/>
    </xf>
    <xf numFmtId="15" fontId="20" fillId="16" borderId="1" xfId="0" applyNumberFormat="1" applyFont="1" applyFill="1" applyBorder="1" applyAlignment="1">
      <alignment horizontal="center" vertical="center"/>
    </xf>
    <xf numFmtId="0" fontId="20" fillId="15" borderId="1" xfId="0" applyFont="1" applyFill="1" applyBorder="1" applyAlignment="1">
      <alignment horizontal="center" vertical="center" wrapText="1"/>
    </xf>
    <xf numFmtId="0" fontId="20" fillId="16" borderId="1" xfId="0" applyFont="1" applyFill="1" applyBorder="1" applyAlignment="1">
      <alignment horizontal="center" vertical="center"/>
    </xf>
    <xf numFmtId="0" fontId="20" fillId="16" borderId="1" xfId="0" applyFont="1" applyFill="1" applyBorder="1" applyAlignment="1">
      <alignment horizontal="center" vertical="center" wrapText="1"/>
    </xf>
    <xf numFmtId="17" fontId="20" fillId="16" borderId="1" xfId="0" applyNumberFormat="1" applyFont="1" applyFill="1" applyBorder="1" applyAlignment="1">
      <alignment horizontal="center" vertical="center"/>
    </xf>
    <xf numFmtId="15" fontId="18" fillId="15" borderId="1" xfId="0" applyNumberFormat="1" applyFont="1" applyFill="1" applyBorder="1" applyAlignment="1">
      <alignment vertical="center" wrapText="1"/>
    </xf>
    <xf numFmtId="167" fontId="20" fillId="16" borderId="1" xfId="0" applyNumberFormat="1" applyFont="1" applyFill="1" applyBorder="1" applyAlignment="1">
      <alignment vertical="center"/>
    </xf>
    <xf numFmtId="44" fontId="20" fillId="15" borderId="1" xfId="0" applyNumberFormat="1" applyFont="1" applyFill="1" applyBorder="1" applyAlignment="1">
      <alignment vertical="center"/>
    </xf>
    <xf numFmtId="44" fontId="20" fillId="16" borderId="1" xfId="0" applyNumberFormat="1" applyFont="1" applyFill="1" applyBorder="1" applyAlignment="1">
      <alignment vertical="center"/>
    </xf>
    <xf numFmtId="0" fontId="20" fillId="15" borderId="10" xfId="0" applyFont="1" applyFill="1" applyBorder="1" applyAlignment="1">
      <alignment horizontal="center" vertical="center"/>
    </xf>
    <xf numFmtId="44" fontId="20" fillId="15" borderId="9" xfId="0" applyNumberFormat="1" applyFont="1" applyFill="1" applyBorder="1" applyAlignment="1">
      <alignment vertical="center"/>
    </xf>
    <xf numFmtId="167" fontId="20" fillId="15" borderId="1" xfId="2" applyNumberFormat="1" applyFont="1" applyFill="1" applyBorder="1" applyAlignment="1">
      <alignment vertical="center"/>
    </xf>
    <xf numFmtId="15" fontId="20" fillId="15" borderId="1" xfId="0" applyNumberFormat="1" applyFont="1" applyFill="1" applyBorder="1" applyAlignment="1">
      <alignment horizontal="center" vertical="center"/>
    </xf>
    <xf numFmtId="15" fontId="18" fillId="16" borderId="1" xfId="0" applyNumberFormat="1" applyFont="1" applyFill="1" applyBorder="1" applyAlignment="1">
      <alignment vertical="center" wrapText="1"/>
    </xf>
    <xf numFmtId="0" fontId="20" fillId="18" borderId="1" xfId="0" applyFont="1" applyFill="1" applyBorder="1" applyAlignment="1">
      <alignment horizontal="center" vertical="center"/>
    </xf>
    <xf numFmtId="15" fontId="20" fillId="19" borderId="1" xfId="0" applyNumberFormat="1" applyFont="1" applyFill="1" applyBorder="1" applyAlignment="1">
      <alignment horizontal="center" vertical="center"/>
    </xf>
    <xf numFmtId="0" fontId="20" fillId="19" borderId="1" xfId="0" applyFont="1" applyFill="1" applyBorder="1" applyAlignment="1">
      <alignment horizontal="center" vertical="center"/>
    </xf>
    <xf numFmtId="0" fontId="20" fillId="19" borderId="1" xfId="0" applyFont="1" applyFill="1" applyBorder="1" applyAlignment="1">
      <alignment horizontal="center" vertical="center" wrapText="1"/>
    </xf>
    <xf numFmtId="17" fontId="20" fillId="19" borderId="1" xfId="0" applyNumberFormat="1" applyFont="1" applyFill="1" applyBorder="1" applyAlignment="1">
      <alignment horizontal="center" vertical="center"/>
    </xf>
    <xf numFmtId="15" fontId="18" fillId="18" borderId="1" xfId="0" applyNumberFormat="1" applyFont="1" applyFill="1" applyBorder="1" applyAlignment="1">
      <alignment vertical="center" wrapText="1"/>
    </xf>
    <xf numFmtId="167" fontId="20" fillId="19" borderId="1" xfId="0" applyNumberFormat="1" applyFont="1" applyFill="1" applyBorder="1" applyAlignment="1">
      <alignment vertical="center"/>
    </xf>
    <xf numFmtId="44" fontId="20" fillId="19" borderId="1" xfId="0" applyNumberFormat="1" applyFont="1" applyFill="1" applyBorder="1" applyAlignment="1">
      <alignment vertical="center"/>
    </xf>
    <xf numFmtId="44" fontId="20" fillId="18" borderId="1" xfId="0" applyNumberFormat="1" applyFont="1" applyFill="1" applyBorder="1" applyAlignment="1">
      <alignment vertical="center"/>
    </xf>
    <xf numFmtId="15" fontId="20" fillId="18" borderId="1" xfId="0" applyNumberFormat="1" applyFont="1" applyFill="1" applyBorder="1" applyAlignment="1">
      <alignment horizontal="center" vertical="center"/>
    </xf>
    <xf numFmtId="15" fontId="18" fillId="19" borderId="1" xfId="0" applyNumberFormat="1" applyFont="1" applyFill="1" applyBorder="1" applyAlignment="1">
      <alignment vertical="center" wrapText="1"/>
    </xf>
    <xf numFmtId="167" fontId="20" fillId="18" borderId="3" xfId="0" applyNumberFormat="1" applyFont="1" applyFill="1" applyBorder="1" applyAlignment="1">
      <alignment vertical="center"/>
    </xf>
    <xf numFmtId="44" fontId="20" fillId="18" borderId="3" xfId="0" applyNumberFormat="1" applyFont="1" applyFill="1" applyBorder="1" applyAlignment="1">
      <alignment vertical="center"/>
    </xf>
    <xf numFmtId="0" fontId="20" fillId="20" borderId="1" xfId="0" applyFont="1" applyFill="1" applyBorder="1" applyAlignment="1">
      <alignment horizontal="center" vertical="center"/>
    </xf>
    <xf numFmtId="15" fontId="20" fillId="21" borderId="1" xfId="0" applyNumberFormat="1" applyFont="1" applyFill="1" applyBorder="1" applyAlignment="1">
      <alignment horizontal="center" vertical="center"/>
    </xf>
    <xf numFmtId="0" fontId="20" fillId="21" borderId="1" xfId="0" applyFont="1" applyFill="1" applyBorder="1" applyAlignment="1">
      <alignment horizontal="center" vertical="center"/>
    </xf>
    <xf numFmtId="0" fontId="20" fillId="21" borderId="1" xfId="0" applyFont="1" applyFill="1" applyBorder="1" applyAlignment="1">
      <alignment horizontal="center" vertical="center" wrapText="1"/>
    </xf>
    <xf numFmtId="17" fontId="20" fillId="21" borderId="1" xfId="0" applyNumberFormat="1" applyFont="1" applyFill="1" applyBorder="1" applyAlignment="1">
      <alignment horizontal="center" vertical="center"/>
    </xf>
    <xf numFmtId="15" fontId="18" fillId="20" borderId="1" xfId="0" applyNumberFormat="1" applyFont="1" applyFill="1" applyBorder="1" applyAlignment="1">
      <alignment vertical="center" wrapText="1"/>
    </xf>
    <xf numFmtId="167" fontId="20" fillId="21" borderId="1" xfId="0" applyNumberFormat="1" applyFont="1" applyFill="1" applyBorder="1" applyAlignment="1">
      <alignment vertical="center"/>
    </xf>
    <xf numFmtId="44" fontId="20" fillId="21" borderId="1" xfId="0" applyNumberFormat="1" applyFont="1" applyFill="1" applyBorder="1" applyAlignment="1">
      <alignment vertical="center"/>
    </xf>
    <xf numFmtId="44" fontId="20" fillId="20" borderId="1" xfId="0" applyNumberFormat="1" applyFont="1" applyFill="1" applyBorder="1" applyAlignment="1">
      <alignment vertical="center"/>
    </xf>
    <xf numFmtId="15" fontId="20" fillId="20" borderId="1" xfId="0" applyNumberFormat="1" applyFont="1" applyFill="1" applyBorder="1" applyAlignment="1">
      <alignment horizontal="center" vertical="center"/>
    </xf>
    <xf numFmtId="15" fontId="18" fillId="21" borderId="1" xfId="0" applyNumberFormat="1" applyFont="1" applyFill="1" applyBorder="1" applyAlignment="1">
      <alignment vertical="center" wrapText="1"/>
    </xf>
    <xf numFmtId="0" fontId="22" fillId="20" borderId="1" xfId="0" applyFont="1" applyFill="1" applyBorder="1" applyAlignment="1">
      <alignment wrapText="1"/>
    </xf>
    <xf numFmtId="0" fontId="20" fillId="22" borderId="1" xfId="0" applyFont="1" applyFill="1" applyBorder="1" applyAlignment="1">
      <alignment horizontal="center" vertical="center"/>
    </xf>
    <xf numFmtId="15" fontId="20" fillId="23" borderId="1" xfId="0" applyNumberFormat="1" applyFont="1" applyFill="1" applyBorder="1" applyAlignment="1">
      <alignment horizontal="center" vertical="center"/>
    </xf>
    <xf numFmtId="0" fontId="20" fillId="23" borderId="1" xfId="0" applyFont="1" applyFill="1" applyBorder="1" applyAlignment="1">
      <alignment horizontal="center" vertical="center"/>
    </xf>
    <xf numFmtId="0" fontId="20" fillId="23" borderId="1" xfId="0" applyFont="1" applyFill="1" applyBorder="1" applyAlignment="1">
      <alignment horizontal="center" vertical="center" wrapText="1"/>
    </xf>
    <xf numFmtId="17" fontId="20" fillId="23" borderId="1" xfId="0" applyNumberFormat="1" applyFont="1" applyFill="1" applyBorder="1" applyAlignment="1">
      <alignment horizontal="center" vertical="center"/>
    </xf>
    <xf numFmtId="15" fontId="18" fillId="22" borderId="1" xfId="0" applyNumberFormat="1" applyFont="1" applyFill="1" applyBorder="1" applyAlignment="1">
      <alignment vertical="center" wrapText="1"/>
    </xf>
    <xf numFmtId="167" fontId="20" fillId="23" borderId="1" xfId="0" applyNumberFormat="1" applyFont="1" applyFill="1" applyBorder="1" applyAlignment="1">
      <alignment vertical="center"/>
    </xf>
    <xf numFmtId="44" fontId="20" fillId="23" borderId="1" xfId="0" applyNumberFormat="1" applyFont="1" applyFill="1" applyBorder="1" applyAlignment="1">
      <alignment vertical="center"/>
    </xf>
    <xf numFmtId="44" fontId="20" fillId="22" borderId="1" xfId="0" applyNumberFormat="1" applyFont="1" applyFill="1" applyBorder="1" applyAlignment="1">
      <alignment vertical="center"/>
    </xf>
    <xf numFmtId="15" fontId="20" fillId="22" borderId="1" xfId="0" applyNumberFormat="1" applyFont="1" applyFill="1" applyBorder="1" applyAlignment="1">
      <alignment horizontal="center" vertical="center"/>
    </xf>
    <xf numFmtId="0" fontId="18" fillId="2" borderId="0" xfId="7" applyFont="1" applyFill="1" applyAlignment="1">
      <alignment vertical="center" wrapText="1"/>
    </xf>
    <xf numFmtId="42" fontId="18" fillId="2" borderId="0" xfId="2" applyFont="1" applyFill="1" applyAlignment="1">
      <alignment vertical="center"/>
    </xf>
    <xf numFmtId="44" fontId="18" fillId="2" borderId="1" xfId="7" applyNumberFormat="1" applyFont="1" applyFill="1" applyBorder="1" applyAlignment="1">
      <alignment horizontal="center" vertical="center"/>
    </xf>
    <xf numFmtId="44" fontId="18" fillId="2" borderId="1" xfId="7" applyNumberFormat="1" applyFont="1" applyFill="1" applyBorder="1" applyAlignment="1">
      <alignment horizontal="center" vertical="center" wrapText="1"/>
    </xf>
    <xf numFmtId="0" fontId="18" fillId="2" borderId="1" xfId="7" applyFont="1" applyFill="1" applyBorder="1" applyAlignment="1">
      <alignment horizontal="center" vertical="center" wrapText="1"/>
    </xf>
    <xf numFmtId="164" fontId="18" fillId="2" borderId="1" xfId="1" applyFont="1" applyFill="1" applyBorder="1" applyAlignment="1">
      <alignment vertical="center"/>
    </xf>
    <xf numFmtId="0" fontId="18" fillId="2" borderId="0" xfId="7" applyFont="1" applyFill="1" applyAlignment="1">
      <alignment horizontal="center" vertical="center" wrapText="1"/>
    </xf>
    <xf numFmtId="42" fontId="18" fillId="2" borderId="0" xfId="2" applyFont="1" applyFill="1" applyAlignment="1">
      <alignment horizontal="center" vertical="center"/>
    </xf>
    <xf numFmtId="44" fontId="18" fillId="2" borderId="0" xfId="7" applyNumberFormat="1" applyFont="1" applyFill="1" applyAlignment="1">
      <alignment horizontal="center" vertical="center"/>
    </xf>
    <xf numFmtId="164" fontId="18" fillId="2" borderId="0" xfId="1" applyFont="1" applyFill="1" applyAlignment="1">
      <alignment vertical="center"/>
    </xf>
    <xf numFmtId="164" fontId="18" fillId="2" borderId="0" xfId="1" applyFont="1" applyFill="1" applyBorder="1" applyAlignment="1">
      <alignment horizontal="center" vertical="center" wrapText="1"/>
    </xf>
    <xf numFmtId="0" fontId="5" fillId="5" borderId="1" xfId="8" applyFont="1" applyFill="1" applyBorder="1" applyAlignment="1">
      <alignment horizontal="center" vertical="center"/>
    </xf>
    <xf numFmtId="1" fontId="10" fillId="18" borderId="1" xfId="6" applyNumberFormat="1" applyFont="1" applyFill="1" applyBorder="1" applyAlignment="1">
      <alignment horizontal="center" vertical="center"/>
    </xf>
    <xf numFmtId="14" fontId="10" fillId="18" borderId="1" xfId="6" applyNumberFormat="1" applyFont="1" applyFill="1" applyBorder="1" applyAlignment="1">
      <alignment horizontal="center" vertical="center"/>
    </xf>
    <xf numFmtId="44" fontId="10" fillId="24" borderId="1" xfId="6" applyNumberFormat="1" applyFont="1" applyFill="1" applyBorder="1" applyAlignment="1">
      <alignment horizontal="center" vertical="center"/>
    </xf>
    <xf numFmtId="0" fontId="10" fillId="24" borderId="1" xfId="6" applyFont="1" applyFill="1" applyBorder="1" applyAlignment="1">
      <alignment horizontal="center" vertical="center"/>
    </xf>
    <xf numFmtId="15" fontId="10" fillId="24" borderId="1" xfId="6" applyNumberFormat="1" applyFont="1" applyFill="1" applyBorder="1" applyAlignment="1">
      <alignment horizontal="center" vertical="center"/>
    </xf>
    <xf numFmtId="17" fontId="10" fillId="24" borderId="1" xfId="6" applyNumberFormat="1" applyFont="1" applyFill="1" applyBorder="1" applyAlignment="1">
      <alignment horizontal="center" vertical="center"/>
    </xf>
    <xf numFmtId="3" fontId="10" fillId="24" borderId="1" xfId="6" applyNumberFormat="1" applyFont="1" applyFill="1" applyBorder="1" applyAlignment="1">
      <alignment horizontal="center" vertical="center"/>
    </xf>
    <xf numFmtId="4" fontId="10" fillId="24" borderId="1" xfId="6" applyNumberFormat="1" applyFont="1" applyFill="1" applyBorder="1" applyAlignment="1">
      <alignment horizontal="center" vertical="center"/>
    </xf>
    <xf numFmtId="44" fontId="10" fillId="24" borderId="1" xfId="6" applyNumberFormat="1" applyFont="1" applyFill="1" applyBorder="1" applyAlignment="1">
      <alignment vertical="center"/>
    </xf>
    <xf numFmtId="0" fontId="10" fillId="24" borderId="1" xfId="6" applyFont="1" applyFill="1" applyBorder="1" applyAlignment="1">
      <alignment vertical="center"/>
    </xf>
    <xf numFmtId="14" fontId="10" fillId="24" borderId="1" xfId="6" applyNumberFormat="1" applyFont="1" applyFill="1" applyBorder="1" applyAlignment="1">
      <alignment horizontal="center" vertical="center"/>
    </xf>
    <xf numFmtId="2" fontId="10" fillId="24" borderId="1" xfId="6" applyNumberFormat="1" applyFont="1" applyFill="1" applyBorder="1" applyAlignment="1">
      <alignment horizontal="center" vertical="center"/>
    </xf>
    <xf numFmtId="0" fontId="10" fillId="11" borderId="1" xfId="6" applyFont="1" applyFill="1" applyBorder="1" applyAlignment="1">
      <alignment horizontal="center" vertical="center" wrapText="1"/>
    </xf>
    <xf numFmtId="0" fontId="10" fillId="13" borderId="1" xfId="6" applyFont="1" applyFill="1" applyBorder="1" applyAlignment="1">
      <alignment horizontal="center" vertical="center" wrapText="1"/>
    </xf>
    <xf numFmtId="0" fontId="10" fillId="5" borderId="1" xfId="6" applyFont="1" applyFill="1" applyBorder="1" applyAlignment="1">
      <alignment horizontal="center" vertical="center" wrapText="1"/>
    </xf>
    <xf numFmtId="0" fontId="10" fillId="15" borderId="1" xfId="6" applyFont="1" applyFill="1" applyBorder="1" applyAlignment="1">
      <alignment horizontal="center" vertical="center" wrapText="1"/>
    </xf>
    <xf numFmtId="0" fontId="10" fillId="18" borderId="1" xfId="6" applyFont="1" applyFill="1" applyBorder="1" applyAlignment="1">
      <alignment horizontal="center" vertical="center" wrapText="1"/>
    </xf>
    <xf numFmtId="0" fontId="10" fillId="20" borderId="1" xfId="6" applyFont="1" applyFill="1" applyBorder="1" applyAlignment="1">
      <alignment horizontal="center" vertical="center" wrapText="1"/>
    </xf>
    <xf numFmtId="0" fontId="10" fillId="24" borderId="1" xfId="6" applyFont="1" applyFill="1" applyBorder="1" applyAlignment="1">
      <alignment horizontal="center" vertical="center" wrapText="1"/>
    </xf>
    <xf numFmtId="0" fontId="10" fillId="4" borderId="5" xfId="6" applyFont="1" applyFill="1" applyBorder="1" applyAlignment="1">
      <alignment horizontal="center" vertical="center"/>
    </xf>
    <xf numFmtId="15" fontId="10" fillId="5" borderId="5" xfId="6" applyNumberFormat="1" applyFont="1" applyFill="1" applyBorder="1" applyAlignment="1">
      <alignment horizontal="center" vertical="center"/>
    </xf>
    <xf numFmtId="17" fontId="10" fillId="5" borderId="5" xfId="6" applyNumberFormat="1" applyFont="1" applyFill="1" applyBorder="1" applyAlignment="1">
      <alignment horizontal="center" vertical="center"/>
    </xf>
    <xf numFmtId="0" fontId="5" fillId="5" borderId="5" xfId="8" applyFont="1" applyFill="1" applyBorder="1" applyAlignment="1">
      <alignment horizontal="center" vertical="center"/>
    </xf>
    <xf numFmtId="15" fontId="10" fillId="7" borderId="5" xfId="6" applyNumberFormat="1" applyFont="1" applyFill="1" applyBorder="1" applyAlignment="1">
      <alignment horizontal="center" vertical="center"/>
    </xf>
    <xf numFmtId="0" fontId="10" fillId="17" borderId="1" xfId="6" applyFont="1" applyFill="1" applyBorder="1" applyAlignment="1">
      <alignment horizontal="center" vertical="center" wrapText="1"/>
    </xf>
    <xf numFmtId="0" fontId="10" fillId="3" borderId="1" xfId="6" applyFont="1" applyFill="1" applyBorder="1" applyAlignment="1">
      <alignment horizontal="center" vertical="center" wrapText="1"/>
    </xf>
    <xf numFmtId="44" fontId="18" fillId="2" borderId="0" xfId="7" applyNumberFormat="1" applyFont="1" applyFill="1" applyAlignment="1">
      <alignment horizontal="center" vertical="center" wrapText="1"/>
    </xf>
    <xf numFmtId="164" fontId="5" fillId="2" borderId="0" xfId="8" applyNumberFormat="1" applyFont="1" applyFill="1" applyAlignment="1">
      <alignment vertical="center"/>
    </xf>
    <xf numFmtId="0" fontId="20" fillId="25" borderId="1" xfId="0" applyFont="1" applyFill="1" applyBorder="1" applyAlignment="1">
      <alignment horizontal="center" vertical="center"/>
    </xf>
    <xf numFmtId="15" fontId="20" fillId="26" borderId="1" xfId="0" applyNumberFormat="1" applyFont="1" applyFill="1" applyBorder="1" applyAlignment="1">
      <alignment horizontal="center" vertical="center"/>
    </xf>
    <xf numFmtId="0" fontId="20" fillId="26" borderId="1" xfId="0" applyFont="1" applyFill="1" applyBorder="1" applyAlignment="1">
      <alignment horizontal="center" vertical="center"/>
    </xf>
    <xf numFmtId="0" fontId="20" fillId="26" borderId="1" xfId="0" applyFont="1" applyFill="1" applyBorder="1" applyAlignment="1">
      <alignment horizontal="center" vertical="center" wrapText="1"/>
    </xf>
    <xf numFmtId="17" fontId="20" fillId="26" borderId="1" xfId="0" applyNumberFormat="1" applyFont="1" applyFill="1" applyBorder="1" applyAlignment="1">
      <alignment horizontal="center" vertical="center"/>
    </xf>
    <xf numFmtId="15" fontId="18" fillId="25" borderId="1" xfId="0" applyNumberFormat="1" applyFont="1" applyFill="1" applyBorder="1" applyAlignment="1">
      <alignment vertical="center" wrapText="1"/>
    </xf>
    <xf numFmtId="44" fontId="20" fillId="26" borderId="1" xfId="0" applyNumberFormat="1" applyFont="1" applyFill="1" applyBorder="1" applyAlignment="1">
      <alignment vertical="center"/>
    </xf>
    <xf numFmtId="44" fontId="20" fillId="25" borderId="1" xfId="0" applyNumberFormat="1" applyFont="1" applyFill="1" applyBorder="1" applyAlignment="1">
      <alignment vertical="center"/>
    </xf>
    <xf numFmtId="15" fontId="20" fillId="25" borderId="1" xfId="0" applyNumberFormat="1" applyFont="1" applyFill="1" applyBorder="1" applyAlignment="1">
      <alignment horizontal="center" vertical="center"/>
    </xf>
    <xf numFmtId="164" fontId="5" fillId="25" borderId="1" xfId="1" applyFont="1" applyFill="1" applyBorder="1" applyAlignment="1">
      <alignment horizontal="center" vertical="center"/>
    </xf>
    <xf numFmtId="0" fontId="10" fillId="3" borderId="13" xfId="6" applyFont="1" applyFill="1" applyBorder="1" applyAlignment="1">
      <alignment horizontal="center" vertical="center"/>
    </xf>
    <xf numFmtId="15" fontId="10" fillId="3" borderId="13" xfId="6" applyNumberFormat="1" applyFont="1" applyFill="1" applyBorder="1" applyAlignment="1">
      <alignment horizontal="center" vertical="center"/>
    </xf>
    <xf numFmtId="17" fontId="10" fillId="3" borderId="13" xfId="6" applyNumberFormat="1" applyFont="1" applyFill="1" applyBorder="1" applyAlignment="1">
      <alignment horizontal="center" vertical="center"/>
    </xf>
    <xf numFmtId="0" fontId="5" fillId="3" borderId="13" xfId="8" applyFont="1" applyFill="1" applyBorder="1" applyAlignment="1">
      <alignment horizontal="center" vertical="center"/>
    </xf>
    <xf numFmtId="15" fontId="10" fillId="6" borderId="8" xfId="6" applyNumberFormat="1" applyFont="1" applyFill="1" applyBorder="1" applyAlignment="1">
      <alignment horizontal="center" vertical="center"/>
    </xf>
    <xf numFmtId="0" fontId="10" fillId="27" borderId="1" xfId="6" applyFont="1" applyFill="1" applyBorder="1" applyAlignment="1">
      <alignment horizontal="center" vertical="center"/>
    </xf>
    <xf numFmtId="15" fontId="10" fillId="27" borderId="1" xfId="6" applyNumberFormat="1" applyFont="1" applyFill="1" applyBorder="1" applyAlignment="1">
      <alignment horizontal="center" vertical="center"/>
    </xf>
    <xf numFmtId="0" fontId="10" fillId="27" borderId="1" xfId="6" applyFont="1" applyFill="1" applyBorder="1" applyAlignment="1">
      <alignment horizontal="center" vertical="center" wrapText="1"/>
    </xf>
    <xf numFmtId="17" fontId="10" fillId="27" borderId="1" xfId="6" applyNumberFormat="1" applyFont="1" applyFill="1" applyBorder="1" applyAlignment="1">
      <alignment horizontal="center" vertical="center"/>
    </xf>
    <xf numFmtId="3" fontId="10" fillId="27" borderId="1" xfId="6" applyNumberFormat="1" applyFont="1" applyFill="1" applyBorder="1" applyAlignment="1">
      <alignment horizontal="center" vertical="center"/>
    </xf>
    <xf numFmtId="4" fontId="10" fillId="27" borderId="1" xfId="6" applyNumberFormat="1" applyFont="1" applyFill="1" applyBorder="1" applyAlignment="1">
      <alignment horizontal="center" vertical="center"/>
    </xf>
    <xf numFmtId="2" fontId="10" fillId="27" borderId="1" xfId="6" applyNumberFormat="1" applyFont="1" applyFill="1" applyBorder="1" applyAlignment="1">
      <alignment horizontal="center" vertical="center"/>
    </xf>
    <xf numFmtId="44" fontId="10" fillId="27" borderId="1" xfId="6" applyNumberFormat="1" applyFont="1" applyFill="1" applyBorder="1" applyAlignment="1">
      <alignment vertical="center"/>
    </xf>
    <xf numFmtId="0" fontId="10" fillId="27" borderId="1" xfId="6" applyFont="1" applyFill="1" applyBorder="1" applyAlignment="1">
      <alignment vertical="center"/>
    </xf>
    <xf numFmtId="14" fontId="10" fillId="27" borderId="1" xfId="6" applyNumberFormat="1" applyFont="1" applyFill="1" applyBorder="1" applyAlignment="1">
      <alignment horizontal="center" vertical="center"/>
    </xf>
    <xf numFmtId="44" fontId="10" fillId="27" borderId="1" xfId="6" applyNumberFormat="1" applyFont="1" applyFill="1" applyBorder="1" applyAlignment="1">
      <alignment horizontal="center" vertical="center"/>
    </xf>
    <xf numFmtId="0" fontId="0" fillId="0" borderId="0" xfId="0" applyAlignment="1">
      <alignment horizontal="center" vertical="center"/>
    </xf>
    <xf numFmtId="0" fontId="22" fillId="2" borderId="1" xfId="0" applyFont="1" applyFill="1" applyBorder="1" applyAlignment="1">
      <alignment horizontal="center"/>
    </xf>
    <xf numFmtId="0" fontId="22" fillId="0" borderId="1" xfId="0" applyFont="1" applyBorder="1" applyAlignment="1">
      <alignment horizontal="center" vertical="center"/>
    </xf>
    <xf numFmtId="14" fontId="22" fillId="0" borderId="1" xfId="0" applyNumberFormat="1" applyFont="1" applyBorder="1" applyAlignment="1">
      <alignment horizontal="center" vertical="center"/>
    </xf>
    <xf numFmtId="164" fontId="22" fillId="0" borderId="1" xfId="1" applyFont="1" applyBorder="1" applyAlignment="1">
      <alignment horizontal="center" vertical="center"/>
    </xf>
    <xf numFmtId="0" fontId="22" fillId="0" borderId="1" xfId="0" applyFont="1" applyBorder="1" applyAlignment="1">
      <alignment horizontal="center" vertical="center" wrapText="1"/>
    </xf>
    <xf numFmtId="0" fontId="22" fillId="0" borderId="0" xfId="0" applyFont="1"/>
    <xf numFmtId="0" fontId="22" fillId="0" borderId="0" xfId="0" applyFont="1" applyAlignment="1">
      <alignment horizontal="center" vertical="center"/>
    </xf>
    <xf numFmtId="164" fontId="22" fillId="2" borderId="1" xfId="1" applyFont="1" applyFill="1" applyBorder="1" applyAlignment="1">
      <alignment horizontal="center"/>
    </xf>
    <xf numFmtId="0" fontId="22" fillId="0" borderId="10" xfId="0" applyFont="1" applyBorder="1" applyAlignment="1">
      <alignment horizontal="center" vertical="center" wrapText="1"/>
    </xf>
    <xf numFmtId="164" fontId="5" fillId="22" borderId="1" xfId="1" applyFont="1" applyFill="1" applyBorder="1" applyAlignment="1">
      <alignment horizontal="center" vertical="center"/>
    </xf>
    <xf numFmtId="167" fontId="20" fillId="26" borderId="1" xfId="0" applyNumberFormat="1" applyFont="1" applyFill="1" applyBorder="1" applyAlignment="1">
      <alignment vertical="center"/>
    </xf>
    <xf numFmtId="0" fontId="20" fillId="24" borderId="1" xfId="0" applyFont="1" applyFill="1" applyBorder="1" applyAlignment="1">
      <alignment horizontal="center" vertical="center"/>
    </xf>
    <xf numFmtId="15" fontId="20" fillId="32" borderId="1" xfId="0" applyNumberFormat="1" applyFont="1" applyFill="1" applyBorder="1" applyAlignment="1">
      <alignment horizontal="center" vertical="center"/>
    </xf>
    <xf numFmtId="0" fontId="20" fillId="32" borderId="1" xfId="0" applyFont="1" applyFill="1" applyBorder="1" applyAlignment="1">
      <alignment horizontal="center" vertical="center"/>
    </xf>
    <xf numFmtId="0" fontId="20" fillId="32" borderId="1" xfId="0" applyFont="1" applyFill="1" applyBorder="1" applyAlignment="1">
      <alignment horizontal="center" vertical="center" wrapText="1"/>
    </xf>
    <xf numFmtId="17" fontId="20" fillId="32" borderId="1" xfId="0" applyNumberFormat="1" applyFont="1" applyFill="1" applyBorder="1" applyAlignment="1">
      <alignment horizontal="center" vertical="center"/>
    </xf>
    <xf numFmtId="15" fontId="18" fillId="24" borderId="1" xfId="0" applyNumberFormat="1" applyFont="1" applyFill="1" applyBorder="1" applyAlignment="1">
      <alignment vertical="center" wrapText="1"/>
    </xf>
    <xf numFmtId="164" fontId="5" fillId="24" borderId="1" xfId="1" applyFont="1" applyFill="1" applyBorder="1" applyAlignment="1">
      <alignment horizontal="center" vertical="center"/>
    </xf>
    <xf numFmtId="44" fontId="20" fillId="32" borderId="1" xfId="0" applyNumberFormat="1" applyFont="1" applyFill="1" applyBorder="1" applyAlignment="1">
      <alignment vertical="center"/>
    </xf>
    <xf numFmtId="44" fontId="20" fillId="24" borderId="1" xfId="0" applyNumberFormat="1" applyFont="1" applyFill="1" applyBorder="1" applyAlignment="1">
      <alignment vertical="center"/>
    </xf>
    <xf numFmtId="15" fontId="20" fillId="24" borderId="1" xfId="0" applyNumberFormat="1" applyFont="1" applyFill="1" applyBorder="1" applyAlignment="1">
      <alignment horizontal="center" vertical="center"/>
    </xf>
    <xf numFmtId="167" fontId="20" fillId="32" borderId="1" xfId="0" applyNumberFormat="1" applyFont="1" applyFill="1" applyBorder="1" applyAlignment="1">
      <alignment vertical="center"/>
    </xf>
    <xf numFmtId="0" fontId="22" fillId="0" borderId="9" xfId="0" applyFont="1" applyBorder="1" applyAlignment="1">
      <alignment horizontal="center" vertical="center"/>
    </xf>
    <xf numFmtId="0" fontId="22" fillId="29" borderId="10" xfId="0" applyFont="1" applyFill="1" applyBorder="1" applyAlignment="1">
      <alignment horizontal="center" vertical="center" wrapText="1"/>
    </xf>
    <xf numFmtId="0" fontId="22" fillId="30" borderId="10" xfId="0" applyFont="1" applyFill="1" applyBorder="1" applyAlignment="1">
      <alignment horizontal="center" vertical="center" wrapText="1"/>
    </xf>
    <xf numFmtId="0" fontId="11" fillId="0" borderId="22"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13" xfId="0" applyFont="1" applyBorder="1" applyAlignment="1">
      <alignment horizontal="center" vertical="center" wrapText="1"/>
    </xf>
    <xf numFmtId="0" fontId="25" fillId="28" borderId="23" xfId="0" applyFont="1" applyFill="1" applyBorder="1" applyAlignment="1">
      <alignment horizontal="center" vertical="center"/>
    </xf>
    <xf numFmtId="0" fontId="22" fillId="0" borderId="24" xfId="0" applyFont="1" applyBorder="1" applyAlignment="1">
      <alignment horizontal="center" vertical="center"/>
    </xf>
    <xf numFmtId="0" fontId="22" fillId="0" borderId="4" xfId="0" applyFont="1" applyBorder="1" applyAlignment="1">
      <alignment horizontal="center" vertical="center" wrapText="1"/>
    </xf>
    <xf numFmtId="14" fontId="22" fillId="0" borderId="5" xfId="0" applyNumberFormat="1" applyFont="1" applyBorder="1" applyAlignment="1">
      <alignment horizontal="center" vertical="center"/>
    </xf>
    <xf numFmtId="0" fontId="22" fillId="0" borderId="5" xfId="0" applyFont="1" applyBorder="1" applyAlignment="1">
      <alignment horizontal="center" vertical="center"/>
    </xf>
    <xf numFmtId="164" fontId="22" fillId="0" borderId="5" xfId="1" applyFont="1" applyBorder="1" applyAlignment="1">
      <alignment horizontal="center" vertical="center"/>
    </xf>
    <xf numFmtId="0" fontId="22" fillId="0" borderId="5" xfId="0" applyFont="1" applyBorder="1" applyAlignment="1">
      <alignment horizontal="center" vertical="center" wrapText="1"/>
    </xf>
    <xf numFmtId="0" fontId="22" fillId="30" borderId="4" xfId="0" applyFont="1" applyFill="1" applyBorder="1" applyAlignment="1">
      <alignment horizontal="center" vertical="center" wrapText="1"/>
    </xf>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4" fontId="0" fillId="0" borderId="0" xfId="1" applyFont="1" applyAlignment="1"/>
    <xf numFmtId="43" fontId="0" fillId="0" borderId="0" xfId="9" applyFont="1"/>
    <xf numFmtId="43" fontId="0" fillId="0" borderId="0" xfId="0" applyNumberFormat="1"/>
    <xf numFmtId="0" fontId="22" fillId="0" borderId="21" xfId="0" applyFont="1" applyBorder="1" applyAlignment="1">
      <alignment horizontal="center" vertical="center"/>
    </xf>
    <xf numFmtId="0" fontId="22" fillId="0" borderId="25" xfId="0" applyFont="1" applyBorder="1" applyAlignment="1">
      <alignment horizontal="center" vertical="center"/>
    </xf>
    <xf numFmtId="14" fontId="22" fillId="2" borderId="9" xfId="0" quotePrefix="1" applyNumberFormat="1" applyFont="1" applyFill="1" applyBorder="1" applyAlignment="1">
      <alignment horizontal="center"/>
    </xf>
    <xf numFmtId="14" fontId="22" fillId="2" borderId="9" xfId="0" applyNumberFormat="1" applyFont="1" applyFill="1" applyBorder="1" applyAlignment="1">
      <alignment horizontal="center"/>
    </xf>
    <xf numFmtId="0" fontId="11" fillId="0" borderId="22" xfId="0" applyFont="1" applyBorder="1" applyAlignment="1">
      <alignment horizontal="center" vertical="center"/>
    </xf>
    <xf numFmtId="0" fontId="11" fillId="0" borderId="13" xfId="0" applyFont="1" applyBorder="1" applyAlignment="1">
      <alignment horizontal="center" vertical="center"/>
    </xf>
    <xf numFmtId="0" fontId="11" fillId="0" borderId="23" xfId="0" applyFont="1" applyBorder="1" applyAlignment="1">
      <alignment horizontal="center" vertical="center"/>
    </xf>
    <xf numFmtId="14" fontId="22" fillId="2" borderId="24" xfId="0" applyNumberFormat="1" applyFont="1" applyFill="1" applyBorder="1" applyAlignment="1">
      <alignment horizontal="center"/>
    </xf>
    <xf numFmtId="0" fontId="22" fillId="2" borderId="5" xfId="0" applyFont="1" applyFill="1" applyBorder="1" applyAlignment="1">
      <alignment horizontal="center"/>
    </xf>
    <xf numFmtId="164" fontId="22" fillId="2" borderId="5" xfId="1" applyFont="1" applyFill="1" applyBorder="1" applyAlignment="1">
      <alignment horizontal="center"/>
    </xf>
    <xf numFmtId="0" fontId="22" fillId="31" borderId="4" xfId="0" applyFont="1" applyFill="1" applyBorder="1" applyAlignment="1">
      <alignment horizontal="center" vertical="center"/>
    </xf>
    <xf numFmtId="43" fontId="0" fillId="0" borderId="0" xfId="0" pivotButton="1" applyNumberFormat="1"/>
    <xf numFmtId="43" fontId="0" fillId="0" borderId="0" xfId="0" applyNumberFormat="1" applyAlignment="1">
      <alignment horizontal="left"/>
    </xf>
    <xf numFmtId="168" fontId="0" fillId="0" borderId="0" xfId="0" applyNumberFormat="1"/>
    <xf numFmtId="168" fontId="0" fillId="0" borderId="0" xfId="9" applyNumberFormat="1" applyFont="1"/>
    <xf numFmtId="44" fontId="18" fillId="2" borderId="10" xfId="7" applyNumberFormat="1" applyFont="1" applyFill="1" applyBorder="1" applyAlignment="1">
      <alignment horizontal="center" vertical="center" wrapText="1"/>
    </xf>
    <xf numFmtId="0" fontId="18" fillId="2" borderId="10" xfId="7" applyFont="1" applyFill="1" applyBorder="1" applyAlignment="1">
      <alignment horizontal="center" vertical="center" wrapText="1"/>
    </xf>
    <xf numFmtId="0" fontId="18" fillId="2" borderId="10" xfId="7" applyFont="1" applyFill="1" applyBorder="1" applyAlignment="1">
      <alignment horizontal="center" vertical="center"/>
    </xf>
    <xf numFmtId="0" fontId="18" fillId="15" borderId="10" xfId="7" applyFont="1" applyFill="1" applyBorder="1" applyAlignment="1">
      <alignment horizontal="center" vertical="center" wrapText="1"/>
    </xf>
    <xf numFmtId="0" fontId="18" fillId="15" borderId="10" xfId="7" applyFont="1" applyFill="1" applyBorder="1" applyAlignment="1">
      <alignment horizontal="center" vertical="center"/>
    </xf>
    <xf numFmtId="0" fontId="18" fillId="18" borderId="10" xfId="7" applyFont="1" applyFill="1" applyBorder="1" applyAlignment="1">
      <alignment horizontal="center" vertical="center"/>
    </xf>
    <xf numFmtId="0" fontId="18" fillId="18" borderId="10" xfId="7" applyFont="1" applyFill="1" applyBorder="1" applyAlignment="1">
      <alignment horizontal="center" vertical="center" wrapText="1"/>
    </xf>
    <xf numFmtId="0" fontId="18" fillId="20" borderId="10" xfId="7" applyFont="1" applyFill="1" applyBorder="1" applyAlignment="1">
      <alignment horizontal="center" vertical="center"/>
    </xf>
    <xf numFmtId="0" fontId="18" fillId="20" borderId="10" xfId="7" applyFont="1" applyFill="1" applyBorder="1" applyAlignment="1">
      <alignment horizontal="center" vertical="center" wrapText="1"/>
    </xf>
    <xf numFmtId="0" fontId="18" fillId="22" borderId="10" xfId="7" applyFont="1" applyFill="1" applyBorder="1" applyAlignment="1">
      <alignment horizontal="center" vertical="center"/>
    </xf>
    <xf numFmtId="0" fontId="18" fillId="25" borderId="10" xfId="7" applyFont="1" applyFill="1" applyBorder="1" applyAlignment="1">
      <alignment horizontal="center" vertical="center"/>
    </xf>
    <xf numFmtId="0" fontId="18" fillId="24" borderId="10" xfId="7" applyFont="1" applyFill="1" applyBorder="1" applyAlignment="1">
      <alignment horizontal="center" vertical="center"/>
    </xf>
    <xf numFmtId="0" fontId="19" fillId="2" borderId="13" xfId="7" applyFont="1" applyFill="1" applyBorder="1" applyAlignment="1">
      <alignment horizontal="center" vertical="center"/>
    </xf>
    <xf numFmtId="0" fontId="11" fillId="2" borderId="13" xfId="7" applyFont="1" applyFill="1" applyBorder="1" applyAlignment="1">
      <alignment horizontal="center" vertical="center" wrapText="1"/>
    </xf>
    <xf numFmtId="0" fontId="11" fillId="10" borderId="13" xfId="7" applyFont="1" applyFill="1" applyBorder="1" applyAlignment="1">
      <alignment horizontal="center" vertical="center" wrapText="1"/>
    </xf>
    <xf numFmtId="42" fontId="11" fillId="0" borderId="13" xfId="2" applyFont="1" applyBorder="1" applyAlignment="1">
      <alignment horizontal="center" vertical="center" wrapText="1"/>
    </xf>
    <xf numFmtId="0" fontId="11" fillId="0" borderId="13" xfId="7" applyFont="1" applyBorder="1" applyAlignment="1">
      <alignment horizontal="center" vertical="center" wrapText="1"/>
    </xf>
    <xf numFmtId="0" fontId="19" fillId="2" borderId="23" xfId="7" applyFont="1" applyFill="1" applyBorder="1" applyAlignment="1">
      <alignment horizontal="center" vertical="center"/>
    </xf>
    <xf numFmtId="0" fontId="11" fillId="2" borderId="22" xfId="7" applyFont="1" applyFill="1" applyBorder="1" applyAlignment="1">
      <alignment horizontal="center" vertical="center" wrapText="1"/>
    </xf>
    <xf numFmtId="0" fontId="19" fillId="2" borderId="23" xfId="7" applyFont="1" applyFill="1" applyBorder="1" applyAlignment="1">
      <alignment horizontal="center" vertical="center" wrapText="1"/>
    </xf>
    <xf numFmtId="0" fontId="20" fillId="24" borderId="5" xfId="0" applyFont="1" applyFill="1" applyBorder="1" applyAlignment="1">
      <alignment horizontal="center" vertical="center"/>
    </xf>
    <xf numFmtId="15" fontId="20" fillId="32" borderId="5" xfId="0" applyNumberFormat="1" applyFont="1" applyFill="1" applyBorder="1" applyAlignment="1">
      <alignment horizontal="center" vertical="center"/>
    </xf>
    <xf numFmtId="0" fontId="20" fillId="32" borderId="5" xfId="0" applyFont="1" applyFill="1" applyBorder="1" applyAlignment="1">
      <alignment horizontal="center" vertical="center"/>
    </xf>
    <xf numFmtId="0" fontId="20" fillId="32" borderId="5" xfId="0" applyFont="1" applyFill="1" applyBorder="1" applyAlignment="1">
      <alignment horizontal="center" vertical="center" wrapText="1"/>
    </xf>
    <xf numFmtId="15" fontId="18" fillId="24" borderId="5" xfId="0" applyNumberFormat="1" applyFont="1" applyFill="1" applyBorder="1" applyAlignment="1">
      <alignment vertical="center" wrapText="1"/>
    </xf>
    <xf numFmtId="167" fontId="20" fillId="32" borderId="5" xfId="0" applyNumberFormat="1" applyFont="1" applyFill="1" applyBorder="1" applyAlignment="1">
      <alignment vertical="center"/>
    </xf>
    <xf numFmtId="44" fontId="20" fillId="32" borderId="5" xfId="0" applyNumberFormat="1" applyFont="1" applyFill="1" applyBorder="1" applyAlignment="1">
      <alignment vertical="center"/>
    </xf>
    <xf numFmtId="44" fontId="20" fillId="24" borderId="5" xfId="0" applyNumberFormat="1" applyFont="1" applyFill="1" applyBorder="1" applyAlignment="1">
      <alignment vertical="center"/>
    </xf>
    <xf numFmtId="0" fontId="18" fillId="24" borderId="4" xfId="7" applyFont="1" applyFill="1" applyBorder="1" applyAlignment="1">
      <alignment horizontal="center" vertical="center"/>
    </xf>
    <xf numFmtId="169" fontId="0" fillId="0" borderId="0" xfId="0" applyNumberFormat="1"/>
    <xf numFmtId="169" fontId="0" fillId="0" borderId="0" xfId="1" applyNumberFormat="1" applyFont="1" applyAlignment="1"/>
    <xf numFmtId="0" fontId="10" fillId="33" borderId="1" xfId="6" applyFont="1" applyFill="1" applyBorder="1" applyAlignment="1">
      <alignment horizontal="center" vertical="center"/>
    </xf>
    <xf numFmtId="15" fontId="10" fillId="33" borderId="1" xfId="6" applyNumberFormat="1" applyFont="1" applyFill="1" applyBorder="1" applyAlignment="1">
      <alignment horizontal="center" vertical="center"/>
    </xf>
    <xf numFmtId="0" fontId="10" fillId="33" borderId="1" xfId="6" applyFont="1" applyFill="1" applyBorder="1" applyAlignment="1">
      <alignment horizontal="center" vertical="center" wrapText="1"/>
    </xf>
    <xf numFmtId="17" fontId="10" fillId="33" borderId="1" xfId="6" applyNumberFormat="1" applyFont="1" applyFill="1" applyBorder="1" applyAlignment="1">
      <alignment horizontal="center" vertical="center"/>
    </xf>
    <xf numFmtId="3" fontId="10" fillId="33" borderId="1" xfId="6" applyNumberFormat="1" applyFont="1" applyFill="1" applyBorder="1" applyAlignment="1">
      <alignment horizontal="center" vertical="center"/>
    </xf>
    <xf numFmtId="4" fontId="10" fillId="33" borderId="1" xfId="6" applyNumberFormat="1" applyFont="1" applyFill="1" applyBorder="1" applyAlignment="1">
      <alignment horizontal="center" vertical="center"/>
    </xf>
    <xf numFmtId="2" fontId="10" fillId="33" borderId="1" xfId="6" applyNumberFormat="1" applyFont="1" applyFill="1" applyBorder="1" applyAlignment="1">
      <alignment horizontal="center" vertical="center"/>
    </xf>
    <xf numFmtId="44" fontId="10" fillId="33" borderId="1" xfId="6" applyNumberFormat="1" applyFont="1" applyFill="1" applyBorder="1" applyAlignment="1">
      <alignment vertical="center"/>
    </xf>
    <xf numFmtId="0" fontId="10" fillId="33" borderId="1" xfId="6" applyFont="1" applyFill="1" applyBorder="1" applyAlignment="1">
      <alignment vertical="center"/>
    </xf>
    <xf numFmtId="14" fontId="10" fillId="33" borderId="1" xfId="6" applyNumberFormat="1" applyFont="1" applyFill="1" applyBorder="1" applyAlignment="1">
      <alignment horizontal="center" vertical="center"/>
    </xf>
    <xf numFmtId="44" fontId="10" fillId="33" borderId="1" xfId="6" applyNumberFormat="1" applyFont="1" applyFill="1" applyBorder="1" applyAlignment="1">
      <alignment horizontal="center" vertical="center"/>
    </xf>
    <xf numFmtId="0" fontId="22" fillId="2" borderId="1" xfId="0" applyFont="1" applyFill="1" applyBorder="1" applyAlignment="1">
      <alignment horizontal="center" vertical="center"/>
    </xf>
    <xf numFmtId="0" fontId="22" fillId="2" borderId="5" xfId="0" applyFont="1" applyFill="1" applyBorder="1" applyAlignment="1">
      <alignment horizontal="center" vertical="center"/>
    </xf>
    <xf numFmtId="0" fontId="0" fillId="0" borderId="0" xfId="0" applyAlignment="1">
      <alignment vertical="center" wrapText="1"/>
    </xf>
    <xf numFmtId="0" fontId="10" fillId="34" borderId="1" xfId="6" applyFont="1" applyFill="1" applyBorder="1" applyAlignment="1">
      <alignment horizontal="center" vertical="center"/>
    </xf>
    <xf numFmtId="15" fontId="10" fillId="34" borderId="1" xfId="6" applyNumberFormat="1" applyFont="1" applyFill="1" applyBorder="1" applyAlignment="1">
      <alignment horizontal="center" vertical="center"/>
    </xf>
    <xf numFmtId="0" fontId="10" fillId="34" borderId="1" xfId="6" applyFont="1" applyFill="1" applyBorder="1" applyAlignment="1">
      <alignment horizontal="center" vertical="center" wrapText="1"/>
    </xf>
    <xf numFmtId="17" fontId="10" fillId="34" borderId="1" xfId="6" applyNumberFormat="1" applyFont="1" applyFill="1" applyBorder="1" applyAlignment="1">
      <alignment horizontal="center" vertical="center"/>
    </xf>
    <xf numFmtId="3" fontId="10" fillId="34" borderId="1" xfId="6" applyNumberFormat="1" applyFont="1" applyFill="1" applyBorder="1" applyAlignment="1">
      <alignment horizontal="center" vertical="center"/>
    </xf>
    <xf numFmtId="4" fontId="10" fillId="34" borderId="1" xfId="6" applyNumberFormat="1" applyFont="1" applyFill="1" applyBorder="1" applyAlignment="1">
      <alignment horizontal="center" vertical="center"/>
    </xf>
    <xf numFmtId="2" fontId="10" fillId="34" borderId="1" xfId="6" applyNumberFormat="1" applyFont="1" applyFill="1" applyBorder="1" applyAlignment="1">
      <alignment horizontal="center" vertical="center"/>
    </xf>
    <xf numFmtId="44" fontId="10" fillId="34" borderId="1" xfId="6" applyNumberFormat="1" applyFont="1" applyFill="1" applyBorder="1" applyAlignment="1">
      <alignment vertical="center"/>
    </xf>
    <xf numFmtId="0" fontId="10" fillId="34" borderId="1" xfId="6" applyFont="1" applyFill="1" applyBorder="1" applyAlignment="1">
      <alignment vertical="center"/>
    </xf>
    <xf numFmtId="14" fontId="10" fillId="34" borderId="1" xfId="6" applyNumberFormat="1" applyFont="1" applyFill="1" applyBorder="1" applyAlignment="1">
      <alignment horizontal="center" vertical="center"/>
    </xf>
    <xf numFmtId="44" fontId="10" fillId="34" borderId="1" xfId="6" applyNumberFormat="1" applyFont="1" applyFill="1" applyBorder="1" applyAlignment="1">
      <alignment horizontal="center" vertical="center"/>
    </xf>
    <xf numFmtId="0" fontId="20" fillId="35" borderId="1" xfId="0" applyFont="1" applyFill="1" applyBorder="1" applyAlignment="1">
      <alignment horizontal="center" vertical="center"/>
    </xf>
    <xf numFmtId="0" fontId="20" fillId="36" borderId="5" xfId="0" applyFont="1" applyFill="1" applyBorder="1" applyAlignment="1">
      <alignment horizontal="center" vertical="center"/>
    </xf>
    <xf numFmtId="0" fontId="20" fillId="35" borderId="1" xfId="0" applyFont="1" applyFill="1" applyBorder="1" applyAlignment="1">
      <alignment horizontal="center" vertical="center" wrapText="1"/>
    </xf>
    <xf numFmtId="17" fontId="20" fillId="35" borderId="1" xfId="0" applyNumberFormat="1" applyFont="1" applyFill="1" applyBorder="1" applyAlignment="1">
      <alignment horizontal="center" vertical="center"/>
    </xf>
    <xf numFmtId="15" fontId="18" fillId="36" borderId="1" xfId="0" applyNumberFormat="1" applyFont="1" applyFill="1" applyBorder="1" applyAlignment="1">
      <alignment vertical="center" wrapText="1"/>
    </xf>
    <xf numFmtId="167" fontId="20" fillId="35" borderId="1" xfId="0" applyNumberFormat="1" applyFont="1" applyFill="1" applyBorder="1" applyAlignment="1">
      <alignment vertical="center"/>
    </xf>
    <xf numFmtId="44" fontId="20" fillId="35" borderId="1" xfId="0" applyNumberFormat="1" applyFont="1" applyFill="1" applyBorder="1" applyAlignment="1">
      <alignment vertical="center"/>
    </xf>
    <xf numFmtId="44" fontId="20" fillId="36" borderId="1" xfId="0" applyNumberFormat="1" applyFont="1" applyFill="1" applyBorder="1" applyAlignment="1">
      <alignment vertical="center"/>
    </xf>
    <xf numFmtId="0" fontId="20" fillId="36" borderId="1" xfId="0" applyFont="1" applyFill="1" applyBorder="1" applyAlignment="1">
      <alignment horizontal="center" vertical="center"/>
    </xf>
    <xf numFmtId="15" fontId="20" fillId="36" borderId="1" xfId="0" applyNumberFormat="1" applyFont="1" applyFill="1" applyBorder="1" applyAlignment="1">
      <alignment horizontal="center" vertical="center"/>
    </xf>
    <xf numFmtId="0" fontId="18" fillId="36" borderId="10" xfId="7" applyFont="1" applyFill="1" applyBorder="1" applyAlignment="1">
      <alignment horizontal="center" vertical="center"/>
    </xf>
    <xf numFmtId="164" fontId="5" fillId="36" borderId="1" xfId="1" applyFont="1" applyFill="1" applyBorder="1" applyAlignment="1">
      <alignment horizontal="center" vertical="center"/>
    </xf>
    <xf numFmtId="0" fontId="20" fillId="35" borderId="5" xfId="0" applyFont="1" applyFill="1" applyBorder="1" applyAlignment="1">
      <alignment horizontal="center" vertical="center"/>
    </xf>
    <xf numFmtId="0" fontId="20" fillId="35" borderId="5" xfId="0" applyFont="1" applyFill="1" applyBorder="1" applyAlignment="1">
      <alignment horizontal="center" vertical="center" wrapText="1"/>
    </xf>
    <xf numFmtId="15" fontId="18" fillId="36" borderId="5" xfId="0" applyNumberFormat="1" applyFont="1" applyFill="1" applyBorder="1" applyAlignment="1">
      <alignment vertical="center" wrapText="1"/>
    </xf>
    <xf numFmtId="167" fontId="20" fillId="35" borderId="5" xfId="0" applyNumberFormat="1" applyFont="1" applyFill="1" applyBorder="1" applyAlignment="1">
      <alignment vertical="center"/>
    </xf>
    <xf numFmtId="44" fontId="20" fillId="35" borderId="5" xfId="0" applyNumberFormat="1" applyFont="1" applyFill="1" applyBorder="1" applyAlignment="1">
      <alignment vertical="center"/>
    </xf>
    <xf numFmtId="15" fontId="20" fillId="35" borderId="1" xfId="0" applyNumberFormat="1" applyFont="1" applyFill="1" applyBorder="1" applyAlignment="1">
      <alignment horizontal="center" vertical="center"/>
    </xf>
    <xf numFmtId="0" fontId="22" fillId="36" borderId="4" xfId="0" applyFont="1" applyFill="1" applyBorder="1" applyAlignment="1">
      <alignment horizontal="center" vertical="center" wrapText="1"/>
    </xf>
    <xf numFmtId="0" fontId="20" fillId="37" borderId="1" xfId="0" applyFont="1" applyFill="1" applyBorder="1" applyAlignment="1">
      <alignment horizontal="center" vertical="center"/>
    </xf>
    <xf numFmtId="15" fontId="20" fillId="38" borderId="1" xfId="0" applyNumberFormat="1" applyFont="1" applyFill="1" applyBorder="1" applyAlignment="1">
      <alignment horizontal="center" vertical="center"/>
    </xf>
    <xf numFmtId="0" fontId="20" fillId="38" borderId="1" xfId="0" applyFont="1" applyFill="1" applyBorder="1" applyAlignment="1">
      <alignment horizontal="center" vertical="center"/>
    </xf>
    <xf numFmtId="0" fontId="20" fillId="37" borderId="5" xfId="0" applyFont="1" applyFill="1" applyBorder="1" applyAlignment="1">
      <alignment horizontal="center" vertical="center"/>
    </xf>
    <xf numFmtId="0" fontId="20" fillId="38" borderId="1" xfId="0" applyFont="1" applyFill="1" applyBorder="1" applyAlignment="1">
      <alignment horizontal="center" vertical="center" wrapText="1"/>
    </xf>
    <xf numFmtId="17" fontId="20" fillId="38" borderId="1" xfId="0" applyNumberFormat="1" applyFont="1" applyFill="1" applyBorder="1" applyAlignment="1">
      <alignment horizontal="center" vertical="center"/>
    </xf>
    <xf numFmtId="15" fontId="18" fillId="37" borderId="1" xfId="0" applyNumberFormat="1" applyFont="1" applyFill="1" applyBorder="1" applyAlignment="1">
      <alignment vertical="center" wrapText="1"/>
    </xf>
    <xf numFmtId="167" fontId="20" fillId="38" borderId="1" xfId="0" applyNumberFormat="1" applyFont="1" applyFill="1" applyBorder="1" applyAlignment="1">
      <alignment vertical="center"/>
    </xf>
    <xf numFmtId="44" fontId="20" fillId="38" borderId="1" xfId="0" applyNumberFormat="1" applyFont="1" applyFill="1" applyBorder="1" applyAlignment="1">
      <alignment vertical="center"/>
    </xf>
    <xf numFmtId="44" fontId="20" fillId="37" borderId="1" xfId="0" applyNumberFormat="1" applyFont="1" applyFill="1" applyBorder="1" applyAlignment="1">
      <alignment vertical="center"/>
    </xf>
    <xf numFmtId="15" fontId="20" fillId="37" borderId="1" xfId="0" applyNumberFormat="1" applyFont="1" applyFill="1" applyBorder="1" applyAlignment="1">
      <alignment horizontal="center" vertical="center"/>
    </xf>
    <xf numFmtId="0" fontId="18" fillId="25" borderId="10" xfId="7" applyFont="1" applyFill="1" applyBorder="1" applyAlignment="1">
      <alignment horizontal="center" vertical="center" wrapText="1"/>
    </xf>
    <xf numFmtId="0" fontId="18" fillId="37" borderId="1" xfId="7" applyFont="1" applyFill="1" applyBorder="1" applyAlignment="1">
      <alignment horizontal="center" vertical="center" wrapText="1"/>
    </xf>
    <xf numFmtId="0" fontId="18" fillId="24" borderId="1" xfId="7" applyFont="1" applyFill="1" applyBorder="1" applyAlignment="1">
      <alignment horizontal="center" vertical="center" wrapText="1"/>
    </xf>
    <xf numFmtId="0" fontId="22" fillId="2" borderId="0" xfId="7" applyFont="1" applyFill="1" applyAlignment="1">
      <alignment vertical="center"/>
    </xf>
    <xf numFmtId="0" fontId="27" fillId="39" borderId="1" xfId="0" applyFont="1" applyFill="1" applyBorder="1" applyAlignment="1">
      <alignment horizontal="center" vertical="center"/>
    </xf>
    <xf numFmtId="15" fontId="27" fillId="40" borderId="1" xfId="0" applyNumberFormat="1" applyFont="1" applyFill="1" applyBorder="1" applyAlignment="1">
      <alignment horizontal="center" vertical="center"/>
    </xf>
    <xf numFmtId="0" fontId="27" fillId="40" borderId="1" xfId="0" applyFont="1" applyFill="1" applyBorder="1" applyAlignment="1">
      <alignment horizontal="center" vertical="center"/>
    </xf>
    <xf numFmtId="0" fontId="27" fillId="39" borderId="5" xfId="0" applyFont="1" applyFill="1" applyBorder="1" applyAlignment="1">
      <alignment horizontal="center" vertical="center"/>
    </xf>
    <xf numFmtId="0" fontId="27" fillId="40" borderId="1" xfId="0" applyFont="1" applyFill="1" applyBorder="1" applyAlignment="1">
      <alignment horizontal="center" vertical="center" wrapText="1"/>
    </xf>
    <xf numFmtId="17" fontId="27" fillId="40" borderId="1" xfId="0" applyNumberFormat="1" applyFont="1" applyFill="1" applyBorder="1" applyAlignment="1">
      <alignment horizontal="center" vertical="center"/>
    </xf>
    <xf numFmtId="15" fontId="22" fillId="39" borderId="1" xfId="0" applyNumberFormat="1" applyFont="1" applyFill="1" applyBorder="1" applyAlignment="1">
      <alignment vertical="center" wrapText="1"/>
    </xf>
    <xf numFmtId="167" fontId="27" fillId="40" borderId="1" xfId="0" applyNumberFormat="1" applyFont="1" applyFill="1" applyBorder="1" applyAlignment="1">
      <alignment vertical="center"/>
    </xf>
    <xf numFmtId="44" fontId="27" fillId="40" borderId="1" xfId="0" applyNumberFormat="1" applyFont="1" applyFill="1" applyBorder="1" applyAlignment="1">
      <alignment vertical="center"/>
    </xf>
    <xf numFmtId="44" fontId="27" fillId="39" borderId="1" xfId="0" applyNumberFormat="1" applyFont="1" applyFill="1" applyBorder="1" applyAlignment="1">
      <alignment vertical="center"/>
    </xf>
    <xf numFmtId="15" fontId="27" fillId="39" borderId="1" xfId="0" applyNumberFormat="1" applyFont="1" applyFill="1" applyBorder="1" applyAlignment="1">
      <alignment horizontal="center" vertical="center"/>
    </xf>
    <xf numFmtId="0" fontId="22" fillId="39" borderId="10" xfId="7" applyFont="1" applyFill="1" applyBorder="1" applyAlignment="1">
      <alignment horizontal="center" vertical="center"/>
    </xf>
    <xf numFmtId="164" fontId="28" fillId="39" borderId="1" xfId="1" applyFont="1" applyFill="1" applyBorder="1" applyAlignment="1">
      <alignment horizontal="center" vertical="center"/>
    </xf>
    <xf numFmtId="0" fontId="27" fillId="40" borderId="5" xfId="0" applyFont="1" applyFill="1" applyBorder="1" applyAlignment="1">
      <alignment horizontal="center" vertical="center"/>
    </xf>
    <xf numFmtId="0" fontId="27" fillId="40" borderId="5" xfId="0" applyFont="1" applyFill="1" applyBorder="1" applyAlignment="1">
      <alignment horizontal="center" vertical="center" wrapText="1"/>
    </xf>
    <xf numFmtId="15" fontId="22" fillId="39" borderId="5" xfId="0" applyNumberFormat="1" applyFont="1" applyFill="1" applyBorder="1" applyAlignment="1">
      <alignment vertical="center" wrapText="1"/>
    </xf>
    <xf numFmtId="167" fontId="27" fillId="40" borderId="5" xfId="0" applyNumberFormat="1" applyFont="1" applyFill="1" applyBorder="1" applyAlignment="1">
      <alignment vertical="center"/>
    </xf>
    <xf numFmtId="44" fontId="27" fillId="40" borderId="5" xfId="0" applyNumberFormat="1" applyFont="1" applyFill="1" applyBorder="1" applyAlignment="1">
      <alignment vertical="center"/>
    </xf>
    <xf numFmtId="0" fontId="20" fillId="39" borderId="5" xfId="0" applyFont="1" applyFill="1" applyBorder="1" applyAlignment="1">
      <alignment horizontal="center" vertical="center"/>
    </xf>
    <xf numFmtId="15" fontId="20" fillId="40" borderId="1" xfId="0" applyNumberFormat="1" applyFont="1" applyFill="1" applyBorder="1" applyAlignment="1">
      <alignment horizontal="center" vertical="center"/>
    </xf>
    <xf numFmtId="0" fontId="20" fillId="40" borderId="1" xfId="0" applyFont="1" applyFill="1" applyBorder="1" applyAlignment="1">
      <alignment horizontal="center" vertical="center"/>
    </xf>
    <xf numFmtId="0" fontId="20" fillId="40" borderId="1" xfId="0" applyFont="1" applyFill="1" applyBorder="1" applyAlignment="1">
      <alignment horizontal="center" vertical="center" wrapText="1"/>
    </xf>
    <xf numFmtId="17" fontId="20" fillId="40" borderId="1" xfId="0" applyNumberFormat="1" applyFont="1" applyFill="1" applyBorder="1" applyAlignment="1">
      <alignment horizontal="center" vertical="center"/>
    </xf>
    <xf numFmtId="15" fontId="18" fillId="39" borderId="1" xfId="0" applyNumberFormat="1" applyFont="1" applyFill="1" applyBorder="1" applyAlignment="1">
      <alignment vertical="center" wrapText="1"/>
    </xf>
    <xf numFmtId="167" fontId="20" fillId="40" borderId="1" xfId="0" applyNumberFormat="1" applyFont="1" applyFill="1" applyBorder="1" applyAlignment="1">
      <alignment vertical="center"/>
    </xf>
    <xf numFmtId="44" fontId="20" fillId="40" borderId="1" xfId="0" applyNumberFormat="1" applyFont="1" applyFill="1" applyBorder="1" applyAlignment="1">
      <alignment vertical="center"/>
    </xf>
    <xf numFmtId="44" fontId="20" fillId="39" borderId="1" xfId="0" applyNumberFormat="1" applyFont="1" applyFill="1" applyBorder="1" applyAlignment="1">
      <alignment vertical="center"/>
    </xf>
    <xf numFmtId="0" fontId="18" fillId="39" borderId="10" xfId="7" applyFont="1" applyFill="1" applyBorder="1" applyAlignment="1">
      <alignment horizontal="center" vertical="center"/>
    </xf>
    <xf numFmtId="0" fontId="10" fillId="30" borderId="1" xfId="6" applyFont="1" applyFill="1" applyBorder="1" applyAlignment="1">
      <alignment horizontal="center" vertical="center"/>
    </xf>
    <xf numFmtId="15" fontId="10" fillId="30" borderId="1" xfId="6" applyNumberFormat="1" applyFont="1" applyFill="1" applyBorder="1" applyAlignment="1">
      <alignment horizontal="center" vertical="center"/>
    </xf>
    <xf numFmtId="0" fontId="10" fillId="30" borderId="1" xfId="6" applyFont="1" applyFill="1" applyBorder="1" applyAlignment="1">
      <alignment horizontal="center" vertical="center" wrapText="1"/>
    </xf>
    <xf numFmtId="17" fontId="10" fillId="30" borderId="1" xfId="6" applyNumberFormat="1" applyFont="1" applyFill="1" applyBorder="1" applyAlignment="1">
      <alignment horizontal="center" vertical="center"/>
    </xf>
    <xf numFmtId="4" fontId="10" fillId="30" borderId="1" xfId="6" applyNumberFormat="1" applyFont="1" applyFill="1" applyBorder="1" applyAlignment="1">
      <alignment horizontal="center" vertical="center"/>
    </xf>
    <xf numFmtId="2" fontId="10" fillId="30" borderId="1" xfId="6" applyNumberFormat="1" applyFont="1" applyFill="1" applyBorder="1" applyAlignment="1">
      <alignment horizontal="center" vertical="center"/>
    </xf>
    <xf numFmtId="44" fontId="10" fillId="30" borderId="1" xfId="6" applyNumberFormat="1" applyFont="1" applyFill="1" applyBorder="1" applyAlignment="1">
      <alignment vertical="center"/>
    </xf>
    <xf numFmtId="0" fontId="10" fillId="30" borderId="1" xfId="6" applyFont="1" applyFill="1" applyBorder="1" applyAlignment="1">
      <alignment vertical="center"/>
    </xf>
    <xf numFmtId="14" fontId="10" fillId="30" borderId="1" xfId="6" applyNumberFormat="1" applyFont="1" applyFill="1" applyBorder="1" applyAlignment="1">
      <alignment horizontal="center" vertical="center"/>
    </xf>
    <xf numFmtId="44" fontId="10" fillId="30" borderId="1" xfId="6" applyNumberFormat="1" applyFont="1" applyFill="1" applyBorder="1" applyAlignment="1">
      <alignment horizontal="center" vertical="center"/>
    </xf>
    <xf numFmtId="3" fontId="10" fillId="30" borderId="1" xfId="6" applyNumberFormat="1" applyFont="1" applyFill="1" applyBorder="1" applyAlignment="1">
      <alignment horizontal="center" vertical="center"/>
    </xf>
    <xf numFmtId="164" fontId="22" fillId="2" borderId="5" xfId="0" applyNumberFormat="1" applyFont="1" applyFill="1" applyBorder="1" applyAlignment="1">
      <alignment horizontal="center"/>
    </xf>
    <xf numFmtId="0" fontId="29" fillId="2" borderId="1" xfId="0" applyFont="1" applyFill="1" applyBorder="1" applyAlignment="1">
      <alignment horizontal="center"/>
    </xf>
    <xf numFmtId="14" fontId="22" fillId="2" borderId="1" xfId="0" quotePrefix="1" applyNumberFormat="1" applyFont="1" applyFill="1" applyBorder="1" applyAlignment="1">
      <alignment horizontal="center"/>
    </xf>
    <xf numFmtId="14" fontId="22" fillId="2" borderId="1" xfId="0" applyNumberFormat="1" applyFont="1" applyFill="1" applyBorder="1" applyAlignment="1">
      <alignment horizontal="center"/>
    </xf>
    <xf numFmtId="0" fontId="20" fillId="18" borderId="5" xfId="0" applyFont="1" applyFill="1" applyBorder="1" applyAlignment="1">
      <alignment horizontal="center" vertical="center"/>
    </xf>
    <xf numFmtId="15" fontId="20" fillId="19" borderId="1" xfId="7" applyNumberFormat="1" applyFont="1" applyFill="1" applyBorder="1" applyAlignment="1">
      <alignment horizontal="center" vertical="center"/>
    </xf>
    <xf numFmtId="164" fontId="5" fillId="18" borderId="1" xfId="1" applyFont="1" applyFill="1" applyBorder="1" applyAlignment="1">
      <alignment horizontal="center" vertical="center"/>
    </xf>
    <xf numFmtId="0" fontId="20" fillId="19" borderId="5" xfId="0" applyFont="1" applyFill="1" applyBorder="1" applyAlignment="1">
      <alignment horizontal="center" vertical="center"/>
    </xf>
    <xf numFmtId="0" fontId="20" fillId="19" borderId="5" xfId="0" applyFont="1" applyFill="1" applyBorder="1" applyAlignment="1">
      <alignment horizontal="center" vertical="center" wrapText="1"/>
    </xf>
    <xf numFmtId="15" fontId="18" fillId="18" borderId="5" xfId="0" applyNumberFormat="1" applyFont="1" applyFill="1" applyBorder="1" applyAlignment="1">
      <alignment vertical="center" wrapText="1"/>
    </xf>
    <xf numFmtId="167" fontId="20" fillId="19" borderId="5" xfId="0" applyNumberFormat="1" applyFont="1" applyFill="1" applyBorder="1" applyAlignment="1">
      <alignment vertical="center"/>
    </xf>
    <xf numFmtId="44" fontId="20" fillId="19" borderId="5" xfId="0" applyNumberFormat="1" applyFont="1" applyFill="1" applyBorder="1" applyAlignment="1">
      <alignment vertical="center"/>
    </xf>
    <xf numFmtId="0" fontId="10" fillId="36" borderId="1" xfId="6" applyFont="1" applyFill="1" applyBorder="1" applyAlignment="1">
      <alignment horizontal="center" vertical="center"/>
    </xf>
    <xf numFmtId="15" fontId="10" fillId="36" borderId="1" xfId="6" applyNumberFormat="1" applyFont="1" applyFill="1" applyBorder="1" applyAlignment="1">
      <alignment horizontal="center" vertical="center"/>
    </xf>
    <xf numFmtId="0" fontId="10" fillId="36" borderId="1" xfId="6" applyFont="1" applyFill="1" applyBorder="1" applyAlignment="1">
      <alignment horizontal="center" vertical="center" wrapText="1"/>
    </xf>
    <xf numFmtId="17" fontId="10" fillId="36" borderId="1" xfId="6" applyNumberFormat="1" applyFont="1" applyFill="1" applyBorder="1" applyAlignment="1">
      <alignment horizontal="center" vertical="center"/>
    </xf>
    <xf numFmtId="3" fontId="10" fillId="36" borderId="1" xfId="6" applyNumberFormat="1" applyFont="1" applyFill="1" applyBorder="1" applyAlignment="1">
      <alignment horizontal="center" vertical="center"/>
    </xf>
    <xf numFmtId="4" fontId="10" fillId="36" borderId="1" xfId="6" applyNumberFormat="1" applyFont="1" applyFill="1" applyBorder="1" applyAlignment="1">
      <alignment horizontal="center" vertical="center"/>
    </xf>
    <xf numFmtId="2" fontId="10" fillId="36" borderId="1" xfId="6" applyNumberFormat="1" applyFont="1" applyFill="1" applyBorder="1" applyAlignment="1">
      <alignment horizontal="center" vertical="center"/>
    </xf>
    <xf numFmtId="44" fontId="10" fillId="36" borderId="1" xfId="6" applyNumberFormat="1" applyFont="1" applyFill="1" applyBorder="1" applyAlignment="1">
      <alignment vertical="center"/>
    </xf>
    <xf numFmtId="0" fontId="10" fillId="36" borderId="1" xfId="6" applyFont="1" applyFill="1" applyBorder="1" applyAlignment="1">
      <alignment vertical="center"/>
    </xf>
    <xf numFmtId="14" fontId="10" fillId="36" borderId="1" xfId="6" applyNumberFormat="1" applyFont="1" applyFill="1" applyBorder="1" applyAlignment="1">
      <alignment horizontal="center" vertical="center"/>
    </xf>
    <xf numFmtId="44" fontId="10" fillId="36" borderId="1" xfId="6" applyNumberFormat="1" applyFont="1" applyFill="1" applyBorder="1" applyAlignment="1">
      <alignment horizontal="center" vertical="center"/>
    </xf>
    <xf numFmtId="164" fontId="29" fillId="2" borderId="1" xfId="1" applyFont="1" applyFill="1" applyBorder="1" applyAlignment="1">
      <alignment horizontal="center"/>
    </xf>
    <xf numFmtId="170" fontId="5" fillId="2" borderId="0" xfId="1" applyNumberFormat="1" applyFont="1" applyFill="1" applyBorder="1" applyAlignment="1">
      <alignment vertical="center"/>
    </xf>
    <xf numFmtId="164" fontId="5" fillId="2" borderId="0" xfId="1" applyFont="1" applyFill="1" applyAlignment="1">
      <alignment vertical="center"/>
    </xf>
    <xf numFmtId="15" fontId="20" fillId="32" borderId="1" xfId="7" applyNumberFormat="1" applyFont="1" applyFill="1" applyBorder="1" applyAlignment="1">
      <alignment horizontal="center" vertical="center"/>
    </xf>
    <xf numFmtId="0" fontId="20" fillId="24" borderId="5" xfId="7" applyFont="1" applyFill="1" applyBorder="1" applyAlignment="1">
      <alignment horizontal="center" vertical="center"/>
    </xf>
    <xf numFmtId="15" fontId="20" fillId="32" borderId="5" xfId="7" applyNumberFormat="1" applyFont="1" applyFill="1" applyBorder="1" applyAlignment="1">
      <alignment horizontal="center" vertical="center"/>
    </xf>
    <xf numFmtId="0" fontId="10" fillId="41" borderId="1" xfId="6" applyFont="1" applyFill="1" applyBorder="1" applyAlignment="1">
      <alignment horizontal="center" vertical="center"/>
    </xf>
    <xf numFmtId="15" fontId="10" fillId="41" borderId="1" xfId="6" applyNumberFormat="1" applyFont="1" applyFill="1" applyBorder="1" applyAlignment="1">
      <alignment horizontal="center" vertical="center"/>
    </xf>
    <xf numFmtId="0" fontId="10" fillId="41" borderId="1" xfId="6" applyFont="1" applyFill="1" applyBorder="1" applyAlignment="1">
      <alignment horizontal="center" vertical="center" wrapText="1"/>
    </xf>
    <xf numFmtId="17" fontId="10" fillId="41" borderId="1" xfId="6" applyNumberFormat="1" applyFont="1" applyFill="1" applyBorder="1" applyAlignment="1">
      <alignment horizontal="center" vertical="center"/>
    </xf>
    <xf numFmtId="3" fontId="10" fillId="41" borderId="1" xfId="6" applyNumberFormat="1" applyFont="1" applyFill="1" applyBorder="1" applyAlignment="1">
      <alignment horizontal="center" vertical="center"/>
    </xf>
    <xf numFmtId="4" fontId="10" fillId="41" borderId="1" xfId="6" applyNumberFormat="1" applyFont="1" applyFill="1" applyBorder="1" applyAlignment="1">
      <alignment horizontal="center" vertical="center"/>
    </xf>
    <xf numFmtId="2" fontId="10" fillId="41" borderId="1" xfId="6" applyNumberFormat="1" applyFont="1" applyFill="1" applyBorder="1" applyAlignment="1">
      <alignment horizontal="center" vertical="center"/>
    </xf>
    <xf numFmtId="44" fontId="10" fillId="41" borderId="1" xfId="6" applyNumberFormat="1" applyFont="1" applyFill="1" applyBorder="1" applyAlignment="1">
      <alignment vertical="center"/>
    </xf>
    <xf numFmtId="0" fontId="10" fillId="41" borderId="1" xfId="6" applyFont="1" applyFill="1" applyBorder="1" applyAlignment="1">
      <alignment vertical="center"/>
    </xf>
    <xf numFmtId="14" fontId="10" fillId="41" borderId="1" xfId="6" applyNumberFormat="1" applyFont="1" applyFill="1" applyBorder="1" applyAlignment="1">
      <alignment horizontal="center" vertical="center"/>
    </xf>
    <xf numFmtId="44" fontId="10" fillId="41" borderId="1" xfId="6" applyNumberFormat="1" applyFont="1" applyFill="1" applyBorder="1" applyAlignment="1">
      <alignment horizontal="center" vertical="center"/>
    </xf>
    <xf numFmtId="42" fontId="18" fillId="2" borderId="0" xfId="7" applyNumberFormat="1" applyFont="1" applyFill="1" applyAlignment="1">
      <alignment horizontal="center" vertical="center"/>
    </xf>
    <xf numFmtId="0" fontId="20" fillId="42" borderId="1" xfId="0" applyFont="1" applyFill="1" applyBorder="1" applyAlignment="1">
      <alignment horizontal="center" vertical="center"/>
    </xf>
    <xf numFmtId="15" fontId="20" fillId="43" borderId="1" xfId="7" applyNumberFormat="1" applyFont="1" applyFill="1" applyBorder="1" applyAlignment="1">
      <alignment horizontal="center" vertical="center"/>
    </xf>
    <xf numFmtId="15" fontId="20" fillId="43" borderId="1" xfId="0" applyNumberFormat="1" applyFont="1" applyFill="1" applyBorder="1" applyAlignment="1">
      <alignment horizontal="center" vertical="center"/>
    </xf>
    <xf numFmtId="0" fontId="20" fillId="43" borderId="1" xfId="0" applyFont="1" applyFill="1" applyBorder="1" applyAlignment="1">
      <alignment horizontal="center" vertical="center"/>
    </xf>
    <xf numFmtId="0" fontId="20" fillId="43" borderId="1" xfId="0" applyFont="1" applyFill="1" applyBorder="1" applyAlignment="1">
      <alignment horizontal="center" vertical="center" wrapText="1"/>
    </xf>
    <xf numFmtId="17" fontId="20" fillId="43" borderId="1" xfId="0" applyNumberFormat="1" applyFont="1" applyFill="1" applyBorder="1" applyAlignment="1">
      <alignment horizontal="center" vertical="center"/>
    </xf>
    <xf numFmtId="15" fontId="18" fillId="42" borderId="1" xfId="0" applyNumberFormat="1" applyFont="1" applyFill="1" applyBorder="1" applyAlignment="1">
      <alignment vertical="center" wrapText="1"/>
    </xf>
    <xf numFmtId="167" fontId="20" fillId="43" borderId="1" xfId="0" applyNumberFormat="1" applyFont="1" applyFill="1" applyBorder="1" applyAlignment="1">
      <alignment vertical="center"/>
    </xf>
    <xf numFmtId="44" fontId="20" fillId="43" borderId="1" xfId="0" applyNumberFormat="1" applyFont="1" applyFill="1" applyBorder="1" applyAlignment="1">
      <alignment vertical="center"/>
    </xf>
    <xf numFmtId="44" fontId="20" fillId="42" borderId="1" xfId="0" applyNumberFormat="1" applyFont="1" applyFill="1" applyBorder="1" applyAlignment="1">
      <alignment vertical="center"/>
    </xf>
    <xf numFmtId="15" fontId="20" fillId="42" borderId="1" xfId="0" applyNumberFormat="1" applyFont="1" applyFill="1" applyBorder="1" applyAlignment="1">
      <alignment horizontal="center" vertical="center"/>
    </xf>
    <xf numFmtId="0" fontId="18" fillId="42" borderId="10" xfId="7" applyFont="1" applyFill="1" applyBorder="1" applyAlignment="1">
      <alignment horizontal="center" vertical="center"/>
    </xf>
    <xf numFmtId="0" fontId="20" fillId="42" borderId="1" xfId="7" applyFont="1" applyFill="1" applyBorder="1" applyAlignment="1">
      <alignment horizontal="center" vertical="center"/>
    </xf>
    <xf numFmtId="0" fontId="20" fillId="42" borderId="5" xfId="7" applyFont="1" applyFill="1" applyBorder="1" applyAlignment="1">
      <alignment horizontal="center" vertical="center"/>
    </xf>
    <xf numFmtId="15" fontId="20" fillId="43" borderId="5" xfId="7" applyNumberFormat="1" applyFont="1" applyFill="1" applyBorder="1" applyAlignment="1">
      <alignment horizontal="center" vertical="center"/>
    </xf>
    <xf numFmtId="0" fontId="20" fillId="43" borderId="5" xfId="0" applyFont="1" applyFill="1" applyBorder="1" applyAlignment="1">
      <alignment horizontal="center" vertical="center"/>
    </xf>
    <xf numFmtId="0" fontId="20" fillId="42" borderId="5" xfId="0" applyFont="1" applyFill="1" applyBorder="1" applyAlignment="1">
      <alignment horizontal="center" vertical="center"/>
    </xf>
    <xf numFmtId="0" fontId="20" fillId="43" borderId="5" xfId="0" applyFont="1" applyFill="1" applyBorder="1" applyAlignment="1">
      <alignment horizontal="center" vertical="center" wrapText="1"/>
    </xf>
    <xf numFmtId="15" fontId="18" fillId="42" borderId="5" xfId="0" applyNumberFormat="1" applyFont="1" applyFill="1" applyBorder="1" applyAlignment="1">
      <alignment vertical="center" wrapText="1"/>
    </xf>
    <xf numFmtId="167" fontId="20" fillId="43" borderId="5" xfId="0" applyNumberFormat="1" applyFont="1" applyFill="1" applyBorder="1" applyAlignment="1">
      <alignment vertical="center"/>
    </xf>
    <xf numFmtId="44" fontId="20" fillId="43" borderId="5" xfId="0" applyNumberFormat="1" applyFont="1" applyFill="1" applyBorder="1" applyAlignment="1">
      <alignment vertical="center"/>
    </xf>
    <xf numFmtId="44" fontId="20" fillId="42" borderId="5" xfId="0" applyNumberFormat="1" applyFont="1" applyFill="1" applyBorder="1" applyAlignment="1">
      <alignment vertical="center"/>
    </xf>
    <xf numFmtId="15" fontId="20" fillId="42" borderId="5" xfId="0" applyNumberFormat="1" applyFont="1" applyFill="1" applyBorder="1" applyAlignment="1">
      <alignment horizontal="center" vertical="center"/>
    </xf>
    <xf numFmtId="0" fontId="18" fillId="42" borderId="4" xfId="7" applyFont="1" applyFill="1" applyBorder="1" applyAlignment="1">
      <alignment horizontal="center" vertical="center"/>
    </xf>
    <xf numFmtId="0" fontId="20" fillId="24" borderId="1" xfId="7" applyFont="1" applyFill="1" applyBorder="1" applyAlignment="1">
      <alignment horizontal="center" vertical="center"/>
    </xf>
    <xf numFmtId="0" fontId="18" fillId="42" borderId="10" xfId="7" applyFont="1" applyFill="1" applyBorder="1" applyAlignment="1">
      <alignment horizontal="center" vertical="center" wrapText="1"/>
    </xf>
    <xf numFmtId="2" fontId="10" fillId="15" borderId="1" xfId="6" applyNumberFormat="1" applyFont="1" applyFill="1" applyBorder="1" applyAlignment="1">
      <alignment horizontal="center" vertical="center"/>
    </xf>
    <xf numFmtId="14" fontId="10" fillId="15" borderId="1" xfId="6" applyNumberFormat="1" applyFont="1" applyFill="1" applyBorder="1" applyAlignment="1">
      <alignment horizontal="center" vertical="center"/>
    </xf>
    <xf numFmtId="44" fontId="18" fillId="2" borderId="0" xfId="7" applyNumberFormat="1" applyFont="1" applyFill="1" applyAlignment="1">
      <alignment vertical="center" wrapText="1"/>
    </xf>
    <xf numFmtId="167" fontId="18" fillId="2" borderId="0" xfId="2" applyNumberFormat="1" applyFont="1" applyFill="1" applyAlignment="1">
      <alignment vertical="center"/>
    </xf>
    <xf numFmtId="167" fontId="18" fillId="2" borderId="0" xfId="7" applyNumberFormat="1" applyFont="1" applyFill="1" applyAlignment="1">
      <alignment horizontal="center" vertical="center"/>
    </xf>
    <xf numFmtId="0" fontId="10" fillId="44" borderId="1" xfId="6" applyFont="1" applyFill="1" applyBorder="1" applyAlignment="1">
      <alignment horizontal="center" vertical="center"/>
    </xf>
    <xf numFmtId="15" fontId="10" fillId="44" borderId="1" xfId="6" applyNumberFormat="1" applyFont="1" applyFill="1" applyBorder="1" applyAlignment="1">
      <alignment horizontal="center" vertical="center"/>
    </xf>
    <xf numFmtId="0" fontId="10" fillId="44" borderId="1" xfId="6" applyFont="1" applyFill="1" applyBorder="1" applyAlignment="1">
      <alignment horizontal="center" vertical="center" wrapText="1"/>
    </xf>
    <xf numFmtId="3" fontId="10" fillId="44" borderId="1" xfId="6" applyNumberFormat="1" applyFont="1" applyFill="1" applyBorder="1" applyAlignment="1">
      <alignment horizontal="center" vertical="center"/>
    </xf>
    <xf numFmtId="4" fontId="10" fillId="44" borderId="1" xfId="6" applyNumberFormat="1" applyFont="1" applyFill="1" applyBorder="1" applyAlignment="1">
      <alignment horizontal="center" vertical="center"/>
    </xf>
    <xf numFmtId="2" fontId="10" fillId="44" borderId="1" xfId="6" applyNumberFormat="1" applyFont="1" applyFill="1" applyBorder="1" applyAlignment="1">
      <alignment horizontal="center" vertical="center"/>
    </xf>
    <xf numFmtId="44" fontId="10" fillId="44" borderId="1" xfId="6" applyNumberFormat="1" applyFont="1" applyFill="1" applyBorder="1" applyAlignment="1">
      <alignment vertical="center"/>
    </xf>
    <xf numFmtId="0" fontId="10" fillId="44" borderId="1" xfId="6" applyFont="1" applyFill="1" applyBorder="1" applyAlignment="1">
      <alignment vertical="center"/>
    </xf>
    <xf numFmtId="14" fontId="10" fillId="44" borderId="1" xfId="6" applyNumberFormat="1" applyFont="1" applyFill="1" applyBorder="1" applyAlignment="1">
      <alignment horizontal="center" vertical="center"/>
    </xf>
    <xf numFmtId="0" fontId="20" fillId="44" borderId="5" xfId="0" applyFont="1" applyFill="1" applyBorder="1" applyAlignment="1">
      <alignment horizontal="center" vertical="center"/>
    </xf>
    <xf numFmtId="15" fontId="20" fillId="45" borderId="1" xfId="7" applyNumberFormat="1" applyFont="1" applyFill="1" applyBorder="1" applyAlignment="1">
      <alignment horizontal="center" vertical="center"/>
    </xf>
    <xf numFmtId="0" fontId="20" fillId="44" borderId="1" xfId="0" applyFont="1" applyFill="1" applyBorder="1" applyAlignment="1">
      <alignment horizontal="center" vertical="center"/>
    </xf>
    <xf numFmtId="0" fontId="20" fillId="45" borderId="1" xfId="0" applyFont="1" applyFill="1" applyBorder="1" applyAlignment="1">
      <alignment horizontal="center" vertical="center"/>
    </xf>
    <xf numFmtId="0" fontId="20" fillId="45" borderId="1" xfId="0" applyFont="1" applyFill="1" applyBorder="1" applyAlignment="1">
      <alignment horizontal="center" vertical="center" wrapText="1"/>
    </xf>
    <xf numFmtId="17" fontId="20" fillId="45" borderId="1" xfId="0" applyNumberFormat="1" applyFont="1" applyFill="1" applyBorder="1" applyAlignment="1">
      <alignment horizontal="center" vertical="center"/>
    </xf>
    <xf numFmtId="15" fontId="18" fillId="44" borderId="1" xfId="0" applyNumberFormat="1" applyFont="1" applyFill="1" applyBorder="1" applyAlignment="1">
      <alignment vertical="center" wrapText="1"/>
    </xf>
    <xf numFmtId="167" fontId="20" fillId="45" borderId="1" xfId="0" applyNumberFormat="1" applyFont="1" applyFill="1" applyBorder="1" applyAlignment="1">
      <alignment vertical="center"/>
    </xf>
    <xf numFmtId="44" fontId="20" fillId="45" borderId="1" xfId="0" applyNumberFormat="1" applyFont="1" applyFill="1" applyBorder="1" applyAlignment="1">
      <alignment vertical="center"/>
    </xf>
    <xf numFmtId="44" fontId="20" fillId="44" borderId="1" xfId="0" applyNumberFormat="1" applyFont="1" applyFill="1" applyBorder="1" applyAlignment="1">
      <alignment vertical="center"/>
    </xf>
    <xf numFmtId="15" fontId="20" fillId="44" borderId="1" xfId="0" applyNumberFormat="1" applyFont="1" applyFill="1" applyBorder="1" applyAlignment="1">
      <alignment horizontal="center" vertical="center"/>
    </xf>
    <xf numFmtId="0" fontId="18" fillId="44" borderId="10" xfId="7" applyFont="1" applyFill="1" applyBorder="1" applyAlignment="1">
      <alignment horizontal="center" vertical="center"/>
    </xf>
    <xf numFmtId="0" fontId="20" fillId="44" borderId="5" xfId="7" applyFont="1" applyFill="1" applyBorder="1" applyAlignment="1">
      <alignment horizontal="center" vertical="center"/>
    </xf>
    <xf numFmtId="15" fontId="20" fillId="45" borderId="5" xfId="7" applyNumberFormat="1" applyFont="1" applyFill="1" applyBorder="1" applyAlignment="1">
      <alignment horizontal="center" vertical="center"/>
    </xf>
    <xf numFmtId="0" fontId="20" fillId="45" borderId="5" xfId="0" applyFont="1" applyFill="1" applyBorder="1" applyAlignment="1">
      <alignment horizontal="center" vertical="center"/>
    </xf>
    <xf numFmtId="0" fontId="20" fillId="45" borderId="5" xfId="0" applyFont="1" applyFill="1" applyBorder="1" applyAlignment="1">
      <alignment horizontal="center" vertical="center" wrapText="1"/>
    </xf>
    <xf numFmtId="15" fontId="18" fillId="44" borderId="5" xfId="0" applyNumberFormat="1" applyFont="1" applyFill="1" applyBorder="1" applyAlignment="1">
      <alignment vertical="center" wrapText="1"/>
    </xf>
    <xf numFmtId="167" fontId="20" fillId="45" borderId="5" xfId="0" applyNumberFormat="1" applyFont="1" applyFill="1" applyBorder="1" applyAlignment="1">
      <alignment vertical="center"/>
    </xf>
    <xf numFmtId="44" fontId="20" fillId="45" borderId="5" xfId="0" applyNumberFormat="1" applyFont="1" applyFill="1" applyBorder="1" applyAlignment="1">
      <alignment vertical="center"/>
    </xf>
    <xf numFmtId="44" fontId="20" fillId="44" borderId="5" xfId="0" applyNumberFormat="1" applyFont="1" applyFill="1" applyBorder="1" applyAlignment="1">
      <alignment vertical="center"/>
    </xf>
    <xf numFmtId="44" fontId="5" fillId="2" borderId="1" xfId="8" applyNumberFormat="1" applyFont="1" applyFill="1" applyBorder="1" applyAlignment="1">
      <alignment horizontal="center" vertical="center"/>
    </xf>
    <xf numFmtId="0" fontId="20" fillId="41" borderId="1" xfId="7" applyFont="1" applyFill="1" applyBorder="1" applyAlignment="1">
      <alignment horizontal="center" vertical="center"/>
    </xf>
    <xf numFmtId="15" fontId="20" fillId="46" borderId="1" xfId="7" applyNumberFormat="1" applyFont="1" applyFill="1" applyBorder="1" applyAlignment="1">
      <alignment horizontal="center" vertical="center"/>
    </xf>
    <xf numFmtId="0" fontId="20" fillId="46" borderId="1" xfId="0" applyFont="1" applyFill="1" applyBorder="1" applyAlignment="1">
      <alignment horizontal="center" vertical="center"/>
    </xf>
    <xf numFmtId="0" fontId="20" fillId="41" borderId="1" xfId="0" applyFont="1" applyFill="1" applyBorder="1" applyAlignment="1">
      <alignment horizontal="center" vertical="center"/>
    </xf>
    <xf numFmtId="0" fontId="20" fillId="46" borderId="1" xfId="0" applyFont="1" applyFill="1" applyBorder="1" applyAlignment="1">
      <alignment horizontal="center" vertical="center" wrapText="1"/>
    </xf>
    <xf numFmtId="17" fontId="20" fillId="46" borderId="1" xfId="0" applyNumberFormat="1" applyFont="1" applyFill="1" applyBorder="1" applyAlignment="1">
      <alignment horizontal="center" vertical="center"/>
    </xf>
    <xf numFmtId="15" fontId="18" fillId="41" borderId="1" xfId="0" applyNumberFormat="1" applyFont="1" applyFill="1" applyBorder="1" applyAlignment="1">
      <alignment vertical="center" wrapText="1"/>
    </xf>
    <xf numFmtId="167" fontId="20" fillId="46" borderId="1" xfId="0" applyNumberFormat="1" applyFont="1" applyFill="1" applyBorder="1" applyAlignment="1">
      <alignment vertical="center"/>
    </xf>
    <xf numFmtId="44" fontId="20" fillId="46" borderId="1" xfId="0" applyNumberFormat="1" applyFont="1" applyFill="1" applyBorder="1" applyAlignment="1">
      <alignment vertical="center"/>
    </xf>
    <xf numFmtId="44" fontId="20" fillId="41" borderId="1" xfId="0" applyNumberFormat="1" applyFont="1" applyFill="1" applyBorder="1" applyAlignment="1">
      <alignment vertical="center"/>
    </xf>
    <xf numFmtId="15" fontId="20" fillId="41" borderId="1" xfId="0" applyNumberFormat="1" applyFont="1" applyFill="1" applyBorder="1" applyAlignment="1">
      <alignment horizontal="center" vertical="center"/>
    </xf>
    <xf numFmtId="0" fontId="18" fillId="41" borderId="10" xfId="7" applyFont="1" applyFill="1" applyBorder="1" applyAlignment="1">
      <alignment horizontal="center" vertical="center"/>
    </xf>
    <xf numFmtId="0" fontId="20" fillId="41" borderId="5" xfId="0" applyFont="1" applyFill="1" applyBorder="1" applyAlignment="1">
      <alignment horizontal="center" vertical="center"/>
    </xf>
    <xf numFmtId="0" fontId="20" fillId="46" borderId="5" xfId="0" applyFont="1" applyFill="1" applyBorder="1" applyAlignment="1">
      <alignment horizontal="center" vertical="center"/>
    </xf>
    <xf numFmtId="0" fontId="20" fillId="46" borderId="5" xfId="0" applyFont="1" applyFill="1" applyBorder="1" applyAlignment="1">
      <alignment horizontal="center" vertical="center" wrapText="1"/>
    </xf>
    <xf numFmtId="15" fontId="18" fillId="41" borderId="5" xfId="0" applyNumberFormat="1" applyFont="1" applyFill="1" applyBorder="1" applyAlignment="1">
      <alignment vertical="center" wrapText="1"/>
    </xf>
    <xf numFmtId="167" fontId="20" fillId="46" borderId="5" xfId="0" applyNumberFormat="1" applyFont="1" applyFill="1" applyBorder="1" applyAlignment="1">
      <alignment vertical="center"/>
    </xf>
    <xf numFmtId="44" fontId="20" fillId="46" borderId="5" xfId="0" applyNumberFormat="1" applyFont="1" applyFill="1" applyBorder="1" applyAlignment="1">
      <alignment vertical="center"/>
    </xf>
    <xf numFmtId="44" fontId="20" fillId="41" borderId="5" xfId="0" applyNumberFormat="1" applyFont="1" applyFill="1" applyBorder="1" applyAlignment="1">
      <alignment vertical="center"/>
    </xf>
    <xf numFmtId="15" fontId="18" fillId="41" borderId="1" xfId="0" applyNumberFormat="1" applyFont="1" applyFill="1" applyBorder="1" applyAlignment="1">
      <alignment horizontal="center" vertical="center" wrapText="1"/>
    </xf>
    <xf numFmtId="2" fontId="10" fillId="3" borderId="1" xfId="6" applyNumberFormat="1" applyFont="1" applyFill="1" applyBorder="1" applyAlignment="1">
      <alignment horizontal="center" vertical="center"/>
    </xf>
    <xf numFmtId="14" fontId="10" fillId="3" borderId="1" xfId="6" applyNumberFormat="1" applyFont="1" applyFill="1" applyBorder="1" applyAlignment="1">
      <alignment horizontal="center" vertical="center"/>
    </xf>
    <xf numFmtId="0" fontId="18" fillId="41" borderId="10" xfId="7" applyFont="1" applyFill="1" applyBorder="1" applyAlignment="1">
      <alignment horizontal="center" vertical="center" wrapText="1"/>
    </xf>
    <xf numFmtId="164" fontId="5" fillId="2" borderId="0" xfId="1" applyFont="1" applyFill="1" applyBorder="1" applyAlignment="1">
      <alignment horizontal="center" vertical="center"/>
    </xf>
    <xf numFmtId="170" fontId="5" fillId="2" borderId="0" xfId="8" applyNumberFormat="1" applyFont="1" applyFill="1" applyAlignment="1">
      <alignment vertical="center"/>
    </xf>
    <xf numFmtId="164" fontId="5" fillId="2" borderId="0" xfId="1" applyFont="1" applyFill="1" applyBorder="1" applyAlignment="1">
      <alignment vertical="center"/>
    </xf>
    <xf numFmtId="0" fontId="20" fillId="48" borderId="1" xfId="0" applyFont="1" applyFill="1" applyBorder="1" applyAlignment="1">
      <alignment horizontal="center" vertical="center"/>
    </xf>
    <xf numFmtId="0" fontId="20" fillId="47" borderId="1" xfId="0" applyFont="1" applyFill="1" applyBorder="1" applyAlignment="1">
      <alignment horizontal="center" vertical="center"/>
    </xf>
    <xf numFmtId="0" fontId="20" fillId="48" borderId="1" xfId="0" applyFont="1" applyFill="1" applyBorder="1" applyAlignment="1">
      <alignment horizontal="center" vertical="center" wrapText="1"/>
    </xf>
    <xf numFmtId="17" fontId="20" fillId="48" borderId="1" xfId="0" applyNumberFormat="1" applyFont="1" applyFill="1" applyBorder="1" applyAlignment="1">
      <alignment horizontal="center" vertical="center"/>
    </xf>
    <xf numFmtId="167" fontId="20" fillId="48" borderId="1" xfId="0" applyNumberFormat="1" applyFont="1" applyFill="1" applyBorder="1" applyAlignment="1">
      <alignment vertical="center"/>
    </xf>
    <xf numFmtId="44" fontId="20" fillId="48" borderId="1" xfId="0" applyNumberFormat="1" applyFont="1" applyFill="1" applyBorder="1" applyAlignment="1">
      <alignment vertical="center"/>
    </xf>
    <xf numFmtId="44" fontId="20" fillId="47" borderId="1" xfId="0" applyNumberFormat="1" applyFont="1" applyFill="1" applyBorder="1" applyAlignment="1">
      <alignment vertical="center"/>
    </xf>
    <xf numFmtId="15" fontId="20" fillId="47" borderId="1" xfId="0" applyNumberFormat="1" applyFont="1" applyFill="1" applyBorder="1" applyAlignment="1">
      <alignment horizontal="center" vertical="center"/>
    </xf>
    <xf numFmtId="0" fontId="20" fillId="47" borderId="1" xfId="7" applyFont="1" applyFill="1" applyBorder="1" applyAlignment="1">
      <alignment horizontal="center" vertical="center"/>
    </xf>
    <xf numFmtId="15" fontId="20" fillId="48" borderId="1" xfId="7" applyNumberFormat="1" applyFont="1" applyFill="1" applyBorder="1" applyAlignment="1">
      <alignment horizontal="center" vertical="center"/>
    </xf>
    <xf numFmtId="0" fontId="20" fillId="47" borderId="5" xfId="0" applyFont="1" applyFill="1" applyBorder="1" applyAlignment="1">
      <alignment horizontal="center" vertical="center"/>
    </xf>
    <xf numFmtId="0" fontId="20" fillId="48" borderId="5" xfId="0" applyFont="1" applyFill="1" applyBorder="1" applyAlignment="1">
      <alignment horizontal="center" vertical="center"/>
    </xf>
    <xf numFmtId="0" fontId="20" fillId="48" borderId="5" xfId="0" applyFont="1" applyFill="1" applyBorder="1" applyAlignment="1">
      <alignment horizontal="center" vertical="center" wrapText="1"/>
    </xf>
    <xf numFmtId="167" fontId="20" fillId="48" borderId="5" xfId="0" applyNumberFormat="1" applyFont="1" applyFill="1" applyBorder="1" applyAlignment="1">
      <alignment vertical="center"/>
    </xf>
    <xf numFmtId="44" fontId="20" fillId="48" borderId="5" xfId="0" applyNumberFormat="1" applyFont="1" applyFill="1" applyBorder="1" applyAlignment="1">
      <alignment vertical="center"/>
    </xf>
    <xf numFmtId="44" fontId="20" fillId="47" borderId="5" xfId="0" applyNumberFormat="1" applyFont="1" applyFill="1" applyBorder="1" applyAlignment="1">
      <alignment vertical="center"/>
    </xf>
    <xf numFmtId="0" fontId="18" fillId="47" borderId="10" xfId="7" applyFont="1" applyFill="1" applyBorder="1" applyAlignment="1">
      <alignment horizontal="center" vertical="center"/>
    </xf>
    <xf numFmtId="17" fontId="20" fillId="48" borderId="1" xfId="0" applyNumberFormat="1" applyFont="1" applyFill="1" applyBorder="1" applyAlignment="1">
      <alignment horizontal="center" vertical="center" wrapText="1"/>
    </xf>
    <xf numFmtId="0" fontId="18" fillId="47" borderId="10" xfId="0" applyFont="1" applyFill="1" applyBorder="1" applyAlignment="1">
      <alignment horizontal="center" vertical="center" wrapText="1"/>
    </xf>
    <xf numFmtId="15" fontId="18" fillId="47" borderId="5" xfId="0" applyNumberFormat="1" applyFont="1" applyFill="1" applyBorder="1" applyAlignment="1">
      <alignment horizontal="left" vertical="center" wrapText="1"/>
    </xf>
    <xf numFmtId="15" fontId="18" fillId="47" borderId="1" xfId="0" applyNumberFormat="1" applyFont="1" applyFill="1" applyBorder="1" applyAlignment="1">
      <alignment horizontal="left" vertical="center" wrapText="1"/>
    </xf>
    <xf numFmtId="0" fontId="10" fillId="49" borderId="1" xfId="6" applyFont="1" applyFill="1" applyBorder="1" applyAlignment="1">
      <alignment horizontal="center" vertical="center"/>
    </xf>
    <xf numFmtId="15" fontId="10" fillId="49" borderId="1" xfId="6" applyNumberFormat="1" applyFont="1" applyFill="1" applyBorder="1" applyAlignment="1">
      <alignment horizontal="center" vertical="center"/>
    </xf>
    <xf numFmtId="0" fontId="10" fillId="49" borderId="1" xfId="6" applyFont="1" applyFill="1" applyBorder="1" applyAlignment="1">
      <alignment horizontal="center" vertical="center" wrapText="1"/>
    </xf>
    <xf numFmtId="3" fontId="10" fillId="49" borderId="1" xfId="6" applyNumberFormat="1" applyFont="1" applyFill="1" applyBorder="1" applyAlignment="1">
      <alignment horizontal="center" vertical="center"/>
    </xf>
    <xf numFmtId="4" fontId="10" fillId="49" borderId="1" xfId="6" applyNumberFormat="1" applyFont="1" applyFill="1" applyBorder="1" applyAlignment="1">
      <alignment horizontal="center" vertical="center"/>
    </xf>
    <xf numFmtId="2" fontId="10" fillId="49" borderId="1" xfId="6" applyNumberFormat="1" applyFont="1" applyFill="1" applyBorder="1" applyAlignment="1">
      <alignment horizontal="center" vertical="center"/>
    </xf>
    <xf numFmtId="44" fontId="10" fillId="49" borderId="1" xfId="6" applyNumberFormat="1" applyFont="1" applyFill="1" applyBorder="1" applyAlignment="1">
      <alignment vertical="center"/>
    </xf>
    <xf numFmtId="0" fontId="10" fillId="49" borderId="1" xfId="6" applyFont="1" applyFill="1" applyBorder="1" applyAlignment="1">
      <alignment vertical="center"/>
    </xf>
    <xf numFmtId="14" fontId="22" fillId="2" borderId="1" xfId="0" applyNumberFormat="1" applyFont="1" applyFill="1" applyBorder="1" applyAlignment="1">
      <alignment horizontal="center" vertical="center"/>
    </xf>
    <xf numFmtId="164" fontId="22" fillId="2" borderId="1" xfId="1" applyFont="1" applyFill="1" applyBorder="1" applyAlignment="1">
      <alignment horizontal="center" vertical="center"/>
    </xf>
    <xf numFmtId="4" fontId="22" fillId="2" borderId="1" xfId="0" applyNumberFormat="1" applyFont="1" applyFill="1" applyBorder="1" applyAlignment="1">
      <alignment horizontal="center" vertical="center"/>
    </xf>
    <xf numFmtId="3" fontId="22" fillId="2" borderId="1" xfId="0" applyNumberFormat="1" applyFont="1" applyFill="1" applyBorder="1" applyAlignment="1">
      <alignment horizontal="center" vertical="center"/>
    </xf>
    <xf numFmtId="0" fontId="22" fillId="2" borderId="1" xfId="0" applyFont="1" applyFill="1" applyBorder="1" applyAlignment="1">
      <alignment horizontal="center" vertical="center" wrapText="1"/>
    </xf>
    <xf numFmtId="171" fontId="22" fillId="2" borderId="1" xfId="0" applyNumberFormat="1" applyFont="1" applyFill="1" applyBorder="1" applyAlignment="1">
      <alignment horizontal="center" vertical="center"/>
    </xf>
    <xf numFmtId="172" fontId="22" fillId="2" borderId="1" xfId="0" applyNumberFormat="1" applyFont="1" applyFill="1" applyBorder="1" applyAlignment="1">
      <alignment horizontal="center" vertical="center"/>
    </xf>
    <xf numFmtId="164" fontId="22" fillId="2" borderId="5" xfId="1" applyFont="1" applyFill="1" applyBorder="1" applyAlignment="1">
      <alignment horizontal="center" vertical="center"/>
    </xf>
    <xf numFmtId="4" fontId="22" fillId="2" borderId="5" xfId="0" applyNumberFormat="1" applyFont="1" applyFill="1" applyBorder="1" applyAlignment="1">
      <alignment horizontal="center" vertical="center"/>
    </xf>
    <xf numFmtId="3" fontId="22" fillId="2" borderId="5" xfId="0" applyNumberFormat="1" applyFont="1" applyFill="1" applyBorder="1" applyAlignment="1">
      <alignment horizontal="center" vertical="center"/>
    </xf>
    <xf numFmtId="0" fontId="22" fillId="2" borderId="5" xfId="0" applyFont="1" applyFill="1" applyBorder="1" applyAlignment="1">
      <alignment horizontal="center" vertical="center" wrapText="1"/>
    </xf>
    <xf numFmtId="171" fontId="22" fillId="2" borderId="5" xfId="0" applyNumberFormat="1" applyFont="1" applyFill="1" applyBorder="1" applyAlignment="1">
      <alignment horizontal="center" vertical="center"/>
    </xf>
    <xf numFmtId="172" fontId="22" fillId="2" borderId="5" xfId="0" applyNumberFormat="1" applyFont="1" applyFill="1" applyBorder="1" applyAlignment="1">
      <alignment horizontal="center" vertical="center"/>
    </xf>
    <xf numFmtId="15" fontId="18" fillId="42" borderId="5" xfId="0" applyNumberFormat="1" applyFont="1" applyFill="1" applyBorder="1" applyAlignment="1">
      <alignment horizontal="left" vertical="center" wrapText="1"/>
    </xf>
    <xf numFmtId="0" fontId="18" fillId="42" borderId="10" xfId="0" applyFont="1" applyFill="1" applyBorder="1" applyAlignment="1">
      <alignment horizontal="center" vertical="center"/>
    </xf>
    <xf numFmtId="15" fontId="18" fillId="42" borderId="1" xfId="0" applyNumberFormat="1" applyFont="1" applyFill="1" applyBorder="1" applyAlignment="1">
      <alignment horizontal="left" vertical="center" wrapText="1"/>
    </xf>
    <xf numFmtId="0" fontId="18" fillId="42" borderId="10" xfId="0" applyFont="1" applyFill="1" applyBorder="1" applyAlignment="1">
      <alignment horizontal="center" vertical="center" wrapText="1"/>
    </xf>
    <xf numFmtId="0" fontId="10" fillId="42" borderId="1" xfId="6" applyFont="1" applyFill="1" applyBorder="1" applyAlignment="1">
      <alignment horizontal="center" vertical="center"/>
    </xf>
    <xf numFmtId="15" fontId="10" fillId="42" borderId="1" xfId="6" applyNumberFormat="1" applyFont="1" applyFill="1" applyBorder="1" applyAlignment="1">
      <alignment horizontal="center" vertical="center"/>
    </xf>
    <xf numFmtId="0" fontId="10" fillId="42" borderId="1" xfId="6" applyFont="1" applyFill="1" applyBorder="1" applyAlignment="1">
      <alignment horizontal="center" vertical="center" wrapText="1"/>
    </xf>
    <xf numFmtId="3" fontId="10" fillId="42" borderId="1" xfId="6" applyNumberFormat="1" applyFont="1" applyFill="1" applyBorder="1" applyAlignment="1">
      <alignment horizontal="center" vertical="center"/>
    </xf>
    <xf numFmtId="44" fontId="10" fillId="42" borderId="1" xfId="6" applyNumberFormat="1" applyFont="1" applyFill="1" applyBorder="1" applyAlignment="1">
      <alignment vertical="center"/>
    </xf>
    <xf numFmtId="4" fontId="10" fillId="42" borderId="1" xfId="6" applyNumberFormat="1" applyFont="1" applyFill="1" applyBorder="1" applyAlignment="1">
      <alignment horizontal="center" vertical="center"/>
    </xf>
    <xf numFmtId="2" fontId="10" fillId="42" borderId="1" xfId="6" applyNumberFormat="1" applyFont="1" applyFill="1" applyBorder="1" applyAlignment="1">
      <alignment horizontal="center" vertical="center"/>
    </xf>
    <xf numFmtId="0" fontId="10" fillId="42" borderId="1" xfId="6" applyFont="1" applyFill="1" applyBorder="1" applyAlignment="1">
      <alignment vertical="center"/>
    </xf>
    <xf numFmtId="14" fontId="10" fillId="42" borderId="1" xfId="6" applyNumberFormat="1" applyFont="1" applyFill="1" applyBorder="1" applyAlignment="1">
      <alignment horizontal="center" vertical="center"/>
    </xf>
    <xf numFmtId="44" fontId="18" fillId="2" borderId="1" xfId="7" applyNumberFormat="1" applyFont="1" applyFill="1" applyBorder="1" applyAlignment="1">
      <alignment vertical="center"/>
    </xf>
    <xf numFmtId="1" fontId="22" fillId="2" borderId="1" xfId="0" applyNumberFormat="1" applyFont="1" applyFill="1" applyBorder="1" applyAlignment="1">
      <alignment horizontal="center"/>
    </xf>
    <xf numFmtId="14" fontId="10" fillId="49" borderId="1" xfId="6" applyNumberFormat="1" applyFont="1" applyFill="1" applyBorder="1" applyAlignment="1">
      <alignment horizontal="center" vertical="center"/>
    </xf>
    <xf numFmtId="0" fontId="23" fillId="2" borderId="16" xfId="0" applyFont="1" applyFill="1" applyBorder="1" applyAlignment="1">
      <alignment horizontal="center" vertical="center"/>
    </xf>
    <xf numFmtId="164" fontId="23" fillId="2" borderId="1" xfId="1" applyFont="1" applyFill="1" applyBorder="1" applyAlignment="1">
      <alignment horizontal="center" vertical="center"/>
    </xf>
    <xf numFmtId="164" fontId="23" fillId="2" borderId="18" xfId="0" applyNumberFormat="1" applyFont="1" applyFill="1" applyBorder="1" applyAlignment="1">
      <alignment horizontal="center" vertical="center"/>
    </xf>
    <xf numFmtId="44" fontId="18" fillId="2" borderId="18" xfId="7" applyNumberFormat="1" applyFont="1" applyFill="1" applyBorder="1" applyAlignment="1">
      <alignment horizontal="center" vertical="center"/>
    </xf>
    <xf numFmtId="44" fontId="18" fillId="2" borderId="18" xfId="7" applyNumberFormat="1" applyFont="1" applyFill="1" applyBorder="1" applyAlignment="1">
      <alignment vertical="center"/>
    </xf>
    <xf numFmtId="0" fontId="23" fillId="2" borderId="19" xfId="0" applyFont="1" applyFill="1" applyBorder="1" applyAlignment="1">
      <alignment horizontal="center" vertical="center" wrapText="1"/>
    </xf>
    <xf numFmtId="0" fontId="18" fillId="2" borderId="16" xfId="7" applyFont="1" applyFill="1" applyBorder="1" applyAlignment="1">
      <alignment horizontal="center" vertical="center"/>
    </xf>
    <xf numFmtId="0" fontId="18" fillId="2" borderId="29" xfId="7" applyFont="1" applyFill="1" applyBorder="1" applyAlignment="1">
      <alignment horizontal="left" vertical="center" wrapText="1"/>
    </xf>
    <xf numFmtId="0" fontId="18" fillId="2" borderId="17" xfId="7" applyFont="1" applyFill="1" applyBorder="1" applyAlignment="1">
      <alignment horizontal="center" vertical="center"/>
    </xf>
    <xf numFmtId="164" fontId="18" fillId="2" borderId="18" xfId="1" applyFont="1" applyFill="1" applyBorder="1" applyAlignment="1">
      <alignment horizontal="center" vertical="center"/>
    </xf>
    <xf numFmtId="44" fontId="18" fillId="2" borderId="18" xfId="7" applyNumberFormat="1" applyFont="1" applyFill="1" applyBorder="1" applyAlignment="1">
      <alignment horizontal="center" vertical="center" wrapText="1"/>
    </xf>
    <xf numFmtId="0" fontId="18" fillId="2" borderId="19" xfId="7" applyFont="1" applyFill="1" applyBorder="1" applyAlignment="1">
      <alignment vertical="center"/>
    </xf>
    <xf numFmtId="0" fontId="18" fillId="2" borderId="20" xfId="7" applyFont="1" applyFill="1" applyBorder="1" applyAlignment="1">
      <alignment horizontal="center" vertical="center"/>
    </xf>
    <xf numFmtId="44" fontId="18" fillId="2" borderId="13" xfId="7" applyNumberFormat="1" applyFont="1" applyFill="1" applyBorder="1" applyAlignment="1">
      <alignment horizontal="center" vertical="center"/>
    </xf>
    <xf numFmtId="0" fontId="18" fillId="2" borderId="14" xfId="7" applyFont="1" applyFill="1" applyBorder="1" applyAlignment="1">
      <alignment horizontal="center" vertical="center"/>
    </xf>
    <xf numFmtId="0" fontId="18" fillId="2" borderId="15" xfId="7" applyFont="1" applyFill="1" applyBorder="1" applyAlignment="1">
      <alignment horizontal="center" vertical="center"/>
    </xf>
    <xf numFmtId="0" fontId="17" fillId="2" borderId="14" xfId="0" applyFont="1" applyFill="1" applyBorder="1" applyAlignment="1">
      <alignment horizontal="center" vertical="center"/>
    </xf>
    <xf numFmtId="0" fontId="17" fillId="2" borderId="14" xfId="0" applyFont="1" applyFill="1" applyBorder="1" applyAlignment="1">
      <alignment horizontal="center" vertical="center" wrapText="1"/>
    </xf>
    <xf numFmtId="0" fontId="19" fillId="2" borderId="14" xfId="7" applyFont="1" applyFill="1" applyBorder="1" applyAlignment="1">
      <alignment horizontal="center" vertical="center"/>
    </xf>
    <xf numFmtId="0" fontId="23" fillId="2" borderId="26" xfId="0" applyFont="1" applyFill="1" applyBorder="1" applyAlignment="1">
      <alignment horizontal="center" vertical="center"/>
    </xf>
    <xf numFmtId="164" fontId="23" fillId="2" borderId="27" xfId="0" applyNumberFormat="1" applyFont="1" applyFill="1" applyBorder="1" applyAlignment="1">
      <alignment horizontal="center" vertical="center"/>
    </xf>
    <xf numFmtId="0" fontId="5" fillId="2" borderId="26" xfId="7" applyFont="1" applyFill="1" applyBorder="1" applyAlignment="1">
      <alignment horizontal="center" vertical="center"/>
    </xf>
    <xf numFmtId="0" fontId="5" fillId="2" borderId="27" xfId="7" applyFont="1" applyFill="1" applyBorder="1" applyAlignment="1">
      <alignment horizontal="center" vertical="center"/>
    </xf>
    <xf numFmtId="0" fontId="5" fillId="2" borderId="28" xfId="7" applyFont="1" applyFill="1" applyBorder="1" applyAlignment="1">
      <alignment horizontal="center" vertical="center"/>
    </xf>
    <xf numFmtId="0" fontId="5" fillId="2" borderId="16" xfId="8" applyFont="1" applyFill="1" applyBorder="1" applyAlignment="1">
      <alignment horizontal="center" vertical="center"/>
    </xf>
    <xf numFmtId="0" fontId="5" fillId="2" borderId="29" xfId="8" applyFont="1" applyFill="1" applyBorder="1" applyAlignment="1">
      <alignment horizontal="left" vertical="center" wrapText="1"/>
    </xf>
    <xf numFmtId="0" fontId="5" fillId="2" borderId="30" xfId="8" applyFont="1" applyFill="1" applyBorder="1" applyAlignment="1">
      <alignment horizontal="left" vertical="center" wrapText="1"/>
    </xf>
    <xf numFmtId="0" fontId="5" fillId="2" borderId="17" xfId="8" applyFont="1" applyFill="1" applyBorder="1" applyAlignment="1">
      <alignment vertical="center"/>
    </xf>
    <xf numFmtId="164" fontId="5" fillId="2" borderId="18" xfId="1" applyFont="1" applyFill="1" applyBorder="1" applyAlignment="1">
      <alignment vertical="center"/>
    </xf>
    <xf numFmtId="44" fontId="5" fillId="2" borderId="18" xfId="8" applyNumberFormat="1" applyFont="1" applyFill="1" applyBorder="1" applyAlignment="1">
      <alignment vertical="center"/>
    </xf>
    <xf numFmtId="44" fontId="5" fillId="2" borderId="19" xfId="8" applyNumberFormat="1" applyFont="1" applyFill="1" applyBorder="1" applyAlignment="1">
      <alignment vertical="center"/>
    </xf>
    <xf numFmtId="0" fontId="5" fillId="2" borderId="27" xfId="7" applyFont="1" applyFill="1" applyBorder="1" applyAlignment="1">
      <alignment horizontal="center" vertical="center" wrapText="1"/>
    </xf>
    <xf numFmtId="0" fontId="22" fillId="0" borderId="0" xfId="0" applyFont="1" applyAlignment="1">
      <alignment horizontal="center"/>
    </xf>
    <xf numFmtId="0" fontId="0" fillId="0" borderId="25" xfId="0" applyBorder="1" applyAlignment="1">
      <alignment horizontal="center"/>
    </xf>
    <xf numFmtId="14" fontId="22" fillId="2" borderId="1" xfId="0" applyNumberFormat="1" applyFont="1" applyFill="1" applyBorder="1"/>
    <xf numFmtId="0" fontId="22" fillId="2" borderId="10" xfId="0" applyFont="1" applyFill="1" applyBorder="1" applyAlignment="1">
      <alignment horizontal="center" vertical="center"/>
    </xf>
    <xf numFmtId="0" fontId="22" fillId="2" borderId="4" xfId="0" applyFont="1" applyFill="1" applyBorder="1" applyAlignment="1">
      <alignment horizontal="center" vertical="center"/>
    </xf>
    <xf numFmtId="14" fontId="22" fillId="2" borderId="5" xfId="0" applyNumberFormat="1" applyFont="1" applyFill="1" applyBorder="1" applyAlignment="1">
      <alignment horizontal="center" vertical="center"/>
    </xf>
    <xf numFmtId="0" fontId="28" fillId="2" borderId="0" xfId="0" applyFont="1" applyFill="1" applyAlignment="1">
      <alignment horizontal="center"/>
    </xf>
    <xf numFmtId="0" fontId="28" fillId="2" borderId="1" xfId="0" applyFont="1" applyFill="1" applyBorder="1" applyAlignment="1">
      <alignment horizontal="center"/>
    </xf>
    <xf numFmtId="14" fontId="23" fillId="8" borderId="1" xfId="0" applyNumberFormat="1" applyFont="1" applyFill="1" applyBorder="1" applyAlignment="1">
      <alignment horizontal="center"/>
    </xf>
    <xf numFmtId="0" fontId="23" fillId="8" borderId="1" xfId="0" applyFont="1" applyFill="1" applyBorder="1" applyAlignment="1">
      <alignment horizontal="center"/>
    </xf>
    <xf numFmtId="0" fontId="30" fillId="8" borderId="1" xfId="0" applyFont="1" applyFill="1" applyBorder="1" applyAlignment="1">
      <alignment horizontal="center"/>
    </xf>
    <xf numFmtId="14" fontId="23" fillId="2" borderId="1" xfId="0" applyNumberFormat="1" applyFont="1" applyFill="1" applyBorder="1" applyAlignment="1">
      <alignment horizontal="center"/>
    </xf>
    <xf numFmtId="0" fontId="20" fillId="50" borderId="5" xfId="0" applyFont="1" applyFill="1" applyBorder="1" applyAlignment="1">
      <alignment horizontal="center" vertical="center"/>
    </xf>
    <xf numFmtId="0" fontId="20" fillId="51" borderId="5" xfId="0" applyFont="1" applyFill="1" applyBorder="1" applyAlignment="1">
      <alignment horizontal="center" vertical="center"/>
    </xf>
    <xf numFmtId="0" fontId="20" fillId="51" borderId="5" xfId="0" applyFont="1" applyFill="1" applyBorder="1" applyAlignment="1">
      <alignment horizontal="center" vertical="center" wrapText="1"/>
    </xf>
    <xf numFmtId="17" fontId="20" fillId="51" borderId="1" xfId="0" applyNumberFormat="1" applyFont="1" applyFill="1" applyBorder="1" applyAlignment="1">
      <alignment horizontal="center" vertical="center"/>
    </xf>
    <xf numFmtId="15" fontId="18" fillId="50" borderId="5" xfId="0" applyNumberFormat="1" applyFont="1" applyFill="1" applyBorder="1" applyAlignment="1">
      <alignment horizontal="left" vertical="center" wrapText="1"/>
    </xf>
    <xf numFmtId="167" fontId="20" fillId="51" borderId="5" xfId="0" applyNumberFormat="1" applyFont="1" applyFill="1" applyBorder="1" applyAlignment="1">
      <alignment vertical="center"/>
    </xf>
    <xf numFmtId="44" fontId="20" fillId="51" borderId="5" xfId="0" applyNumberFormat="1" applyFont="1" applyFill="1" applyBorder="1" applyAlignment="1">
      <alignment vertical="center"/>
    </xf>
    <xf numFmtId="44" fontId="20" fillId="50" borderId="5" xfId="0" applyNumberFormat="1" applyFont="1" applyFill="1" applyBorder="1" applyAlignment="1">
      <alignment vertical="center"/>
    </xf>
    <xf numFmtId="0" fontId="20" fillId="50" borderId="1" xfId="0" applyFont="1" applyFill="1" applyBorder="1" applyAlignment="1">
      <alignment horizontal="center" vertical="center"/>
    </xf>
    <xf numFmtId="0" fontId="20" fillId="51" borderId="1" xfId="0" applyFont="1" applyFill="1" applyBorder="1" applyAlignment="1">
      <alignment horizontal="center" vertical="center"/>
    </xf>
    <xf numFmtId="0" fontId="20" fillId="51" borderId="1" xfId="0" applyFont="1" applyFill="1" applyBorder="1" applyAlignment="1">
      <alignment horizontal="center" vertical="center" wrapText="1"/>
    </xf>
    <xf numFmtId="15" fontId="18" fillId="50" borderId="1" xfId="0" applyNumberFormat="1" applyFont="1" applyFill="1" applyBorder="1" applyAlignment="1">
      <alignment horizontal="left" vertical="center" wrapText="1"/>
    </xf>
    <xf numFmtId="167" fontId="20" fillId="51" borderId="1" xfId="0" applyNumberFormat="1" applyFont="1" applyFill="1" applyBorder="1" applyAlignment="1">
      <alignment vertical="center"/>
    </xf>
    <xf numFmtId="44" fontId="20" fillId="51" borderId="1" xfId="0" applyNumberFormat="1" applyFont="1" applyFill="1" applyBorder="1" applyAlignment="1">
      <alignment vertical="center"/>
    </xf>
    <xf numFmtId="44" fontId="20" fillId="50" borderId="1" xfId="0" applyNumberFormat="1" applyFont="1" applyFill="1" applyBorder="1" applyAlignment="1">
      <alignment vertical="center"/>
    </xf>
    <xf numFmtId="1" fontId="20" fillId="51" borderId="1" xfId="7" applyNumberFormat="1" applyFont="1" applyFill="1" applyBorder="1" applyAlignment="1">
      <alignment horizontal="center" vertical="center"/>
    </xf>
    <xf numFmtId="15" fontId="20" fillId="51" borderId="1" xfId="7" applyNumberFormat="1" applyFont="1" applyFill="1" applyBorder="1" applyAlignment="1">
      <alignment horizontal="center" vertical="center"/>
    </xf>
    <xf numFmtId="15" fontId="20" fillId="50" borderId="1" xfId="0" applyNumberFormat="1" applyFont="1" applyFill="1" applyBorder="1" applyAlignment="1">
      <alignment horizontal="center" vertical="center"/>
    </xf>
    <xf numFmtId="0" fontId="18" fillId="50" borderId="10" xfId="0" applyFont="1" applyFill="1" applyBorder="1" applyAlignment="1">
      <alignment horizontal="center" vertical="center"/>
    </xf>
    <xf numFmtId="167" fontId="20" fillId="8" borderId="0" xfId="0" applyNumberFormat="1" applyFont="1" applyFill="1" applyAlignment="1">
      <alignment vertical="center"/>
    </xf>
    <xf numFmtId="14" fontId="22" fillId="0" borderId="1" xfId="0" applyNumberFormat="1" applyFont="1" applyBorder="1" applyAlignment="1">
      <alignment horizontal="center"/>
    </xf>
    <xf numFmtId="0" fontId="31" fillId="52" borderId="1" xfId="0" applyFont="1" applyFill="1" applyBorder="1" applyAlignment="1">
      <alignment horizontal="center"/>
    </xf>
    <xf numFmtId="1" fontId="22" fillId="2" borderId="10" xfId="0" applyNumberFormat="1" applyFont="1" applyFill="1" applyBorder="1" applyAlignment="1">
      <alignment horizontal="center" vertical="center"/>
    </xf>
    <xf numFmtId="1" fontId="0" fillId="0" borderId="0" xfId="0" applyNumberFormat="1" applyAlignment="1">
      <alignment horizontal="left" indent="1"/>
    </xf>
    <xf numFmtId="0" fontId="32" fillId="2" borderId="0" xfId="7" applyFont="1" applyFill="1" applyAlignment="1">
      <alignment vertical="center"/>
    </xf>
    <xf numFmtId="164" fontId="23" fillId="2" borderId="9" xfId="1" applyFont="1" applyFill="1" applyBorder="1" applyAlignment="1">
      <alignment horizontal="center" vertical="center"/>
    </xf>
    <xf numFmtId="0" fontId="23" fillId="2" borderId="31" xfId="0" applyFont="1" applyFill="1" applyBorder="1" applyAlignment="1">
      <alignment horizontal="center" vertical="center"/>
    </xf>
    <xf numFmtId="0" fontId="23" fillId="2" borderId="32" xfId="0" applyFont="1" applyFill="1" applyBorder="1" applyAlignment="1">
      <alignment horizontal="center" vertical="center"/>
    </xf>
    <xf numFmtId="0" fontId="10" fillId="3" borderId="22" xfId="6" applyFont="1" applyFill="1" applyBorder="1" applyAlignment="1">
      <alignment horizontal="center" vertical="center"/>
    </xf>
    <xf numFmtId="0" fontId="10" fillId="4" borderId="9" xfId="6" applyFont="1" applyFill="1" applyBorder="1" applyAlignment="1">
      <alignment horizontal="center" vertical="center"/>
    </xf>
    <xf numFmtId="0" fontId="10" fillId="4" borderId="24" xfId="6" applyFont="1" applyFill="1" applyBorder="1" applyAlignment="1">
      <alignment horizontal="center" vertical="center"/>
    </xf>
    <xf numFmtId="0" fontId="8" fillId="2" borderId="22" xfId="8" applyFont="1" applyFill="1" applyBorder="1" applyAlignment="1">
      <alignment horizontal="center" vertical="center"/>
    </xf>
    <xf numFmtId="0" fontId="8" fillId="2" borderId="13" xfId="8" applyFont="1" applyFill="1" applyBorder="1" applyAlignment="1">
      <alignment horizontal="center" vertical="center"/>
    </xf>
    <xf numFmtId="0" fontId="9" fillId="2" borderId="13" xfId="8" applyFont="1" applyFill="1" applyBorder="1" applyAlignment="1">
      <alignment horizontal="center" vertical="center" wrapText="1"/>
    </xf>
    <xf numFmtId="0" fontId="11" fillId="0" borderId="13" xfId="8" applyFont="1" applyBorder="1" applyAlignment="1">
      <alignment horizontal="center" vertical="center" wrapText="1"/>
    </xf>
    <xf numFmtId="0" fontId="11" fillId="2" borderId="23" xfId="8" applyFont="1" applyFill="1" applyBorder="1" applyAlignment="1">
      <alignment horizontal="center" vertical="center" wrapText="1"/>
    </xf>
    <xf numFmtId="3" fontId="10" fillId="5" borderId="5" xfId="6" applyNumberFormat="1" applyFont="1" applyFill="1" applyBorder="1" applyAlignment="1">
      <alignment horizontal="center" vertical="center"/>
    </xf>
    <xf numFmtId="0" fontId="10" fillId="50" borderId="1" xfId="6" applyFont="1" applyFill="1" applyBorder="1" applyAlignment="1">
      <alignment horizontal="center" vertical="center"/>
    </xf>
    <xf numFmtId="0" fontId="0" fillId="0" borderId="1" xfId="0" pivotButton="1" applyBorder="1"/>
    <xf numFmtId="164" fontId="0" fillId="0" borderId="1" xfId="1" applyFont="1" applyBorder="1" applyAlignment="1"/>
    <xf numFmtId="0" fontId="0" fillId="0" borderId="1" xfId="0" applyBorder="1" applyAlignment="1">
      <alignment horizontal="left"/>
    </xf>
    <xf numFmtId="0" fontId="0" fillId="0" borderId="1" xfId="0" applyBorder="1" applyAlignment="1">
      <alignment horizontal="left" indent="1"/>
    </xf>
    <xf numFmtId="1" fontId="10" fillId="17" borderId="1" xfId="6" applyNumberFormat="1" applyFont="1" applyFill="1" applyBorder="1" applyAlignment="1">
      <alignment horizontal="center" vertical="center"/>
    </xf>
    <xf numFmtId="1" fontId="10" fillId="3" borderId="1" xfId="6" applyNumberFormat="1" applyFont="1" applyFill="1" applyBorder="1" applyAlignment="1">
      <alignment horizontal="center" vertical="center"/>
    </xf>
    <xf numFmtId="1" fontId="0" fillId="0" borderId="0" xfId="0" applyNumberFormat="1"/>
    <xf numFmtId="0" fontId="0" fillId="0" borderId="25" xfId="0" applyBorder="1"/>
    <xf numFmtId="1" fontId="0" fillId="0" borderId="0" xfId="0" applyNumberFormat="1" applyAlignment="1">
      <alignment horizontal="left"/>
    </xf>
    <xf numFmtId="1" fontId="20" fillId="21" borderId="1" xfId="7" applyNumberFormat="1" applyFont="1" applyFill="1" applyBorder="1" applyAlignment="1">
      <alignment horizontal="center" vertical="center"/>
    </xf>
    <xf numFmtId="15" fontId="20" fillId="21" borderId="1" xfId="7" applyNumberFormat="1" applyFont="1" applyFill="1" applyBorder="1" applyAlignment="1">
      <alignment horizontal="center" vertical="center"/>
    </xf>
    <xf numFmtId="0" fontId="20" fillId="20" borderId="5" xfId="0" applyFont="1" applyFill="1" applyBorder="1" applyAlignment="1">
      <alignment horizontal="center" vertical="center"/>
    </xf>
    <xf numFmtId="0" fontId="20" fillId="21" borderId="5" xfId="0" applyFont="1" applyFill="1" applyBorder="1" applyAlignment="1">
      <alignment horizontal="center" vertical="center"/>
    </xf>
    <xf numFmtId="0" fontId="20" fillId="21" borderId="5" xfId="0" applyFont="1" applyFill="1" applyBorder="1" applyAlignment="1">
      <alignment horizontal="center" vertical="center" wrapText="1"/>
    </xf>
    <xf numFmtId="44" fontId="20" fillId="20" borderId="5" xfId="0" applyNumberFormat="1" applyFont="1" applyFill="1" applyBorder="1" applyAlignment="1">
      <alignment vertical="center"/>
    </xf>
    <xf numFmtId="0" fontId="18" fillId="20" borderId="10" xfId="0" applyFont="1" applyFill="1" applyBorder="1" applyAlignment="1">
      <alignment horizontal="center" vertical="center"/>
    </xf>
    <xf numFmtId="0" fontId="10" fillId="2" borderId="0" xfId="0" applyFont="1" applyFill="1" applyAlignment="1">
      <alignment horizontal="center" vertical="center"/>
    </xf>
    <xf numFmtId="15" fontId="10" fillId="2" borderId="0" xfId="0" applyNumberFormat="1" applyFont="1" applyFill="1" applyAlignment="1">
      <alignment horizontal="center" vertical="center"/>
    </xf>
    <xf numFmtId="0" fontId="10" fillId="2" borderId="0" xfId="0" applyFont="1" applyFill="1" applyAlignment="1">
      <alignment vertical="center" wrapText="1"/>
    </xf>
    <xf numFmtId="17" fontId="10" fillId="2" borderId="0" xfId="0" applyNumberFormat="1" applyFont="1" applyFill="1" applyAlignment="1">
      <alignment horizontal="center" vertical="center"/>
    </xf>
    <xf numFmtId="3" fontId="10" fillId="2" borderId="0" xfId="0" applyNumberFormat="1" applyFont="1" applyFill="1" applyAlignment="1">
      <alignment horizontal="center" vertical="center"/>
    </xf>
    <xf numFmtId="44" fontId="10" fillId="2" borderId="0" xfId="0" applyNumberFormat="1" applyFont="1" applyFill="1" applyAlignment="1">
      <alignment vertical="center"/>
    </xf>
    <xf numFmtId="0" fontId="10" fillId="2" borderId="0" xfId="0" applyFont="1" applyFill="1" applyAlignment="1">
      <alignment vertical="center"/>
    </xf>
    <xf numFmtId="0" fontId="0" fillId="0" borderId="13" xfId="0" applyBorder="1"/>
    <xf numFmtId="0" fontId="0" fillId="0" borderId="13" xfId="0" pivotButton="1" applyBorder="1"/>
    <xf numFmtId="0" fontId="0" fillId="0" borderId="13" xfId="0" applyBorder="1" applyAlignment="1">
      <alignment horizontal="left"/>
    </xf>
    <xf numFmtId="0" fontId="0" fillId="0" borderId="33" xfId="0" applyBorder="1" applyAlignment="1">
      <alignment horizontal="left" indent="1"/>
    </xf>
    <xf numFmtId="0" fontId="0" fillId="0" borderId="13" xfId="0" applyBorder="1" applyAlignment="1">
      <alignment horizontal="left" indent="1"/>
    </xf>
    <xf numFmtId="44" fontId="33" fillId="2" borderId="33" xfId="0" applyNumberFormat="1" applyFont="1" applyFill="1" applyBorder="1" applyAlignment="1">
      <alignment horizontal="center" vertical="center"/>
    </xf>
    <xf numFmtId="0" fontId="10" fillId="4" borderId="24" xfId="0" applyFont="1" applyFill="1" applyBorder="1" applyAlignment="1">
      <alignment horizontal="center" vertical="center"/>
    </xf>
    <xf numFmtId="0" fontId="10" fillId="4" borderId="5" xfId="0" applyFont="1" applyFill="1" applyBorder="1" applyAlignment="1">
      <alignment horizontal="center" vertical="center"/>
    </xf>
    <xf numFmtId="15" fontId="10" fillId="5" borderId="5" xfId="0" applyNumberFormat="1" applyFont="1" applyFill="1" applyBorder="1" applyAlignment="1">
      <alignment horizontal="center" vertical="center"/>
    </xf>
    <xf numFmtId="0" fontId="10" fillId="5" borderId="5" xfId="0" applyFont="1" applyFill="1" applyBorder="1" applyAlignment="1">
      <alignment horizontal="center" vertical="center"/>
    </xf>
    <xf numFmtId="17" fontId="10" fillId="5" borderId="5" xfId="0" applyNumberFormat="1" applyFont="1" applyFill="1" applyBorder="1" applyAlignment="1">
      <alignment horizontal="center" vertical="center"/>
    </xf>
    <xf numFmtId="3" fontId="10" fillId="5" borderId="5" xfId="0" applyNumberFormat="1" applyFont="1" applyFill="1" applyBorder="1" applyAlignment="1">
      <alignment horizontal="center" vertical="center"/>
    </xf>
    <xf numFmtId="0" fontId="5" fillId="5" borderId="5" xfId="0" applyFont="1" applyFill="1" applyBorder="1" applyAlignment="1">
      <alignment horizontal="center" vertical="center"/>
    </xf>
    <xf numFmtId="15" fontId="10" fillId="7" borderId="5" xfId="0" applyNumberFormat="1" applyFont="1" applyFill="1" applyBorder="1" applyAlignment="1">
      <alignment horizontal="center" vertical="center"/>
    </xf>
    <xf numFmtId="8" fontId="4" fillId="0" borderId="0" xfId="0" applyNumberFormat="1" applyFont="1"/>
    <xf numFmtId="8" fontId="18" fillId="2" borderId="0" xfId="7" applyNumberFormat="1" applyFont="1" applyFill="1" applyAlignment="1">
      <alignment vertical="center"/>
    </xf>
    <xf numFmtId="15" fontId="18" fillId="20" borderId="5" xfId="0" applyNumberFormat="1" applyFont="1" applyFill="1" applyBorder="1" applyAlignment="1">
      <alignment horizontal="center" vertical="center" wrapText="1"/>
    </xf>
    <xf numFmtId="167" fontId="20" fillId="21" borderId="5" xfId="0" applyNumberFormat="1" applyFont="1" applyFill="1" applyBorder="1" applyAlignment="1">
      <alignment horizontal="center" vertical="center"/>
    </xf>
    <xf numFmtId="44" fontId="20" fillId="21" borderId="5" xfId="0" applyNumberFormat="1" applyFont="1" applyFill="1" applyBorder="1" applyAlignment="1">
      <alignment horizontal="center" vertical="center"/>
    </xf>
    <xf numFmtId="15" fontId="18" fillId="20" borderId="1" xfId="0" applyNumberFormat="1" applyFont="1" applyFill="1" applyBorder="1" applyAlignment="1">
      <alignment horizontal="center" vertical="center" wrapText="1"/>
    </xf>
    <xf numFmtId="167" fontId="20" fillId="21" borderId="1" xfId="0" applyNumberFormat="1" applyFont="1" applyFill="1" applyBorder="1" applyAlignment="1">
      <alignment horizontal="center" vertical="center"/>
    </xf>
    <xf numFmtId="44" fontId="20" fillId="21" borderId="1" xfId="0" applyNumberFormat="1" applyFont="1" applyFill="1" applyBorder="1" applyAlignment="1">
      <alignment horizontal="center" vertical="center"/>
    </xf>
    <xf numFmtId="0" fontId="0" fillId="0" borderId="34" xfId="0" applyBorder="1" applyAlignment="1">
      <alignment horizontal="left" indent="1"/>
    </xf>
    <xf numFmtId="0" fontId="3" fillId="0" borderId="0" xfId="0" applyFont="1" applyAlignment="1">
      <alignment horizontal="center" vertical="center"/>
    </xf>
    <xf numFmtId="3" fontId="0" fillId="0" borderId="0" xfId="0" applyNumberFormat="1" applyAlignment="1">
      <alignment horizontal="center" vertical="center"/>
    </xf>
    <xf numFmtId="1" fontId="10" fillId="5" borderId="1" xfId="6" applyNumberFormat="1" applyFont="1" applyFill="1" applyBorder="1" applyAlignment="1">
      <alignment horizontal="center" vertical="center"/>
    </xf>
    <xf numFmtId="1" fontId="20" fillId="53" borderId="1" xfId="7" applyNumberFormat="1" applyFont="1" applyFill="1" applyBorder="1" applyAlignment="1">
      <alignment horizontal="center" vertical="center"/>
    </xf>
    <xf numFmtId="15" fontId="20" fillId="53" borderId="1" xfId="7" applyNumberFormat="1" applyFont="1" applyFill="1" applyBorder="1" applyAlignment="1">
      <alignment horizontal="center" vertical="center"/>
    </xf>
    <xf numFmtId="0" fontId="20" fillId="53" borderId="1" xfId="0" applyFont="1" applyFill="1" applyBorder="1" applyAlignment="1">
      <alignment horizontal="center" vertical="center"/>
    </xf>
    <xf numFmtId="0" fontId="20" fillId="54" borderId="1" xfId="0" applyFont="1" applyFill="1" applyBorder="1" applyAlignment="1">
      <alignment horizontal="center" vertical="center"/>
    </xf>
    <xf numFmtId="0" fontId="20" fillId="53" borderId="1" xfId="0" applyFont="1" applyFill="1" applyBorder="1" applyAlignment="1">
      <alignment horizontal="center" vertical="center" wrapText="1"/>
    </xf>
    <xf numFmtId="17" fontId="20" fillId="53" borderId="1" xfId="0" applyNumberFormat="1" applyFont="1" applyFill="1" applyBorder="1" applyAlignment="1">
      <alignment horizontal="center" vertical="center"/>
    </xf>
    <xf numFmtId="15" fontId="18" fillId="54" borderId="1" xfId="0" applyNumberFormat="1" applyFont="1" applyFill="1" applyBorder="1" applyAlignment="1">
      <alignment horizontal="center" vertical="center" wrapText="1"/>
    </xf>
    <xf numFmtId="167" fontId="20" fillId="53" borderId="1" xfId="0" applyNumberFormat="1" applyFont="1" applyFill="1" applyBorder="1" applyAlignment="1">
      <alignment horizontal="center" vertical="center"/>
    </xf>
    <xf numFmtId="44" fontId="20" fillId="53" borderId="5" xfId="0" applyNumberFormat="1" applyFont="1" applyFill="1" applyBorder="1" applyAlignment="1">
      <alignment horizontal="center" vertical="center"/>
    </xf>
    <xf numFmtId="44" fontId="20" fillId="53" borderId="1" xfId="0" applyNumberFormat="1" applyFont="1" applyFill="1" applyBorder="1" applyAlignment="1">
      <alignment horizontal="center" vertical="center"/>
    </xf>
    <xf numFmtId="44" fontId="20" fillId="54" borderId="1" xfId="0" applyNumberFormat="1" applyFont="1" applyFill="1" applyBorder="1" applyAlignment="1">
      <alignment vertical="center"/>
    </xf>
    <xf numFmtId="15" fontId="20" fillId="54" borderId="1" xfId="0" applyNumberFormat="1" applyFont="1" applyFill="1" applyBorder="1" applyAlignment="1">
      <alignment horizontal="center" vertical="center"/>
    </xf>
    <xf numFmtId="0" fontId="18" fillId="54" borderId="10" xfId="0" applyFont="1" applyFill="1" applyBorder="1" applyAlignment="1">
      <alignment horizontal="center" vertical="center"/>
    </xf>
    <xf numFmtId="0" fontId="20" fillId="54" borderId="5" xfId="0" applyFont="1" applyFill="1" applyBorder="1" applyAlignment="1">
      <alignment horizontal="center" vertical="center"/>
    </xf>
    <xf numFmtId="0" fontId="20" fillId="53" borderId="5" xfId="0" applyFont="1" applyFill="1" applyBorder="1" applyAlignment="1">
      <alignment horizontal="center" vertical="center"/>
    </xf>
    <xf numFmtId="0" fontId="20" fillId="53" borderId="5" xfId="0" applyFont="1" applyFill="1" applyBorder="1" applyAlignment="1">
      <alignment horizontal="center" vertical="center" wrapText="1"/>
    </xf>
    <xf numFmtId="15" fontId="18" fillId="54" borderId="5" xfId="0" applyNumberFormat="1" applyFont="1" applyFill="1" applyBorder="1" applyAlignment="1">
      <alignment horizontal="center" vertical="center" wrapText="1"/>
    </xf>
    <xf numFmtId="167" fontId="20" fillId="53" borderId="5" xfId="0" applyNumberFormat="1" applyFont="1" applyFill="1" applyBorder="1" applyAlignment="1">
      <alignment horizontal="center" vertical="center"/>
    </xf>
    <xf numFmtId="44" fontId="20" fillId="54" borderId="5" xfId="0" applyNumberFormat="1" applyFont="1" applyFill="1" applyBorder="1" applyAlignment="1">
      <alignment vertical="center"/>
    </xf>
    <xf numFmtId="0" fontId="20" fillId="2" borderId="0" xfId="0" applyFont="1" applyFill="1" applyAlignment="1">
      <alignment horizontal="center" vertical="center"/>
    </xf>
    <xf numFmtId="15" fontId="20" fillId="8" borderId="0" xfId="0" applyNumberFormat="1" applyFont="1" applyFill="1" applyAlignment="1">
      <alignment horizontal="center" vertical="center"/>
    </xf>
    <xf numFmtId="0" fontId="20" fillId="8" borderId="0" xfId="0" applyFont="1" applyFill="1" applyAlignment="1">
      <alignment horizontal="center" vertical="center"/>
    </xf>
    <xf numFmtId="0" fontId="20" fillId="8" borderId="0" xfId="0" applyFont="1" applyFill="1" applyAlignment="1">
      <alignment horizontal="center" vertical="center" wrapText="1"/>
    </xf>
    <xf numFmtId="17" fontId="20" fillId="8" borderId="0" xfId="0" applyNumberFormat="1" applyFont="1" applyFill="1" applyAlignment="1">
      <alignment horizontal="center" vertical="center"/>
    </xf>
    <xf numFmtId="15" fontId="18" fillId="2" borderId="0" xfId="0" applyNumberFormat="1" applyFont="1" applyFill="1" applyAlignment="1">
      <alignment vertical="center" wrapText="1"/>
    </xf>
    <xf numFmtId="44" fontId="20" fillId="8" borderId="0" xfId="0" applyNumberFormat="1" applyFont="1" applyFill="1" applyAlignment="1">
      <alignment vertical="center"/>
    </xf>
    <xf numFmtId="44" fontId="20" fillId="2" borderId="0" xfId="0" applyNumberFormat="1" applyFont="1" applyFill="1" applyAlignment="1">
      <alignment vertical="center"/>
    </xf>
    <xf numFmtId="15" fontId="20" fillId="2" borderId="0" xfId="0" applyNumberFormat="1" applyFont="1" applyFill="1" applyAlignment="1">
      <alignment horizontal="center" vertical="center"/>
    </xf>
    <xf numFmtId="0" fontId="18" fillId="2" borderId="0" xfId="0" applyFont="1" applyFill="1" applyAlignment="1">
      <alignment horizontal="center" vertical="center"/>
    </xf>
    <xf numFmtId="1" fontId="27" fillId="7" borderId="1" xfId="7" applyNumberFormat="1" applyFont="1" applyFill="1" applyBorder="1" applyAlignment="1">
      <alignment horizontal="center" vertical="center"/>
    </xf>
    <xf numFmtId="15" fontId="20" fillId="7" borderId="1" xfId="7" applyNumberFormat="1" applyFont="1" applyFill="1" applyBorder="1" applyAlignment="1">
      <alignment horizontal="center" vertical="center"/>
    </xf>
    <xf numFmtId="0" fontId="18" fillId="5" borderId="10" xfId="0" applyFont="1" applyFill="1" applyBorder="1" applyAlignment="1">
      <alignment horizontal="center" vertical="center"/>
    </xf>
    <xf numFmtId="15" fontId="18" fillId="5" borderId="1" xfId="0" applyNumberFormat="1" applyFont="1" applyFill="1" applyBorder="1" applyAlignment="1">
      <alignment horizontal="center" vertical="center" wrapText="1"/>
    </xf>
    <xf numFmtId="0" fontId="10" fillId="2" borderId="13" xfId="0" applyFont="1" applyFill="1" applyBorder="1" applyAlignment="1">
      <alignment horizontal="center" vertical="center"/>
    </xf>
    <xf numFmtId="0" fontId="18" fillId="2" borderId="31" xfId="7" applyFont="1" applyFill="1" applyBorder="1" applyAlignment="1">
      <alignment horizontal="center" vertical="center"/>
    </xf>
    <xf numFmtId="44" fontId="18" fillId="2" borderId="5" xfId="7" applyNumberFormat="1" applyFont="1" applyFill="1" applyBorder="1" applyAlignment="1">
      <alignment horizontal="center" vertical="center"/>
    </xf>
    <xf numFmtId="44" fontId="18" fillId="2" borderId="5" xfId="7" applyNumberFormat="1" applyFont="1" applyFill="1" applyBorder="1" applyAlignment="1">
      <alignment horizontal="center" vertical="center" wrapText="1"/>
    </xf>
    <xf numFmtId="0" fontId="23" fillId="2" borderId="29" xfId="0" applyFont="1" applyFill="1" applyBorder="1" applyAlignment="1">
      <alignment horizontal="left" vertical="center" wrapText="1"/>
    </xf>
    <xf numFmtId="0" fontId="23" fillId="2" borderId="28" xfId="0" applyFont="1" applyFill="1" applyBorder="1" applyAlignment="1">
      <alignment horizontal="left" vertical="center" wrapText="1"/>
    </xf>
    <xf numFmtId="2" fontId="10" fillId="20" borderId="1" xfId="6" applyNumberFormat="1" applyFont="1" applyFill="1" applyBorder="1" applyAlignment="1">
      <alignment horizontal="center" vertical="center"/>
    </xf>
    <xf numFmtId="0" fontId="10" fillId="20" borderId="5" xfId="6" applyFont="1" applyFill="1" applyBorder="1" applyAlignment="1">
      <alignment horizontal="center" vertical="center"/>
    </xf>
    <xf numFmtId="15" fontId="10" fillId="20" borderId="5" xfId="6" applyNumberFormat="1" applyFont="1" applyFill="1" applyBorder="1" applyAlignment="1">
      <alignment horizontal="center" vertical="center"/>
    </xf>
    <xf numFmtId="0" fontId="5" fillId="20" borderId="5" xfId="8" applyFont="1" applyFill="1" applyBorder="1" applyAlignment="1">
      <alignment horizontal="center" vertical="center"/>
    </xf>
    <xf numFmtId="0" fontId="10" fillId="20" borderId="5" xfId="6" applyFont="1" applyFill="1" applyBorder="1" applyAlignment="1">
      <alignment horizontal="center" vertical="center" wrapText="1"/>
    </xf>
    <xf numFmtId="3" fontId="10" fillId="20" borderId="5" xfId="6" applyNumberFormat="1" applyFont="1" applyFill="1" applyBorder="1" applyAlignment="1">
      <alignment horizontal="center" vertical="center"/>
    </xf>
    <xf numFmtId="4" fontId="10" fillId="20" borderId="5" xfId="6" applyNumberFormat="1" applyFont="1" applyFill="1" applyBorder="1" applyAlignment="1">
      <alignment horizontal="center" vertical="center"/>
    </xf>
    <xf numFmtId="2" fontId="10" fillId="20" borderId="5" xfId="6" applyNumberFormat="1" applyFont="1" applyFill="1" applyBorder="1" applyAlignment="1">
      <alignment horizontal="center" vertical="center"/>
    </xf>
    <xf numFmtId="44" fontId="10" fillId="20" borderId="5" xfId="6" applyNumberFormat="1" applyFont="1" applyFill="1" applyBorder="1" applyAlignment="1">
      <alignment vertical="center"/>
    </xf>
    <xf numFmtId="0" fontId="10" fillId="20" borderId="5" xfId="6" applyFont="1" applyFill="1" applyBorder="1" applyAlignment="1">
      <alignment vertical="center"/>
    </xf>
    <xf numFmtId="15" fontId="10" fillId="41" borderId="5" xfId="6" applyNumberFormat="1" applyFont="1" applyFill="1" applyBorder="1" applyAlignment="1">
      <alignment horizontal="center" vertical="center"/>
    </xf>
    <xf numFmtId="0" fontId="28" fillId="41" borderId="1" xfId="8" applyFont="1" applyFill="1" applyBorder="1" applyAlignment="1">
      <alignment horizontal="center" vertical="center"/>
    </xf>
    <xf numFmtId="0" fontId="10" fillId="41" borderId="5" xfId="6" applyFont="1" applyFill="1" applyBorder="1" applyAlignment="1">
      <alignment horizontal="center" vertical="center"/>
    </xf>
    <xf numFmtId="0" fontId="10" fillId="41" borderId="5" xfId="6" applyFont="1" applyFill="1" applyBorder="1" applyAlignment="1">
      <alignment horizontal="center" vertical="center" wrapText="1"/>
    </xf>
    <xf numFmtId="3" fontId="10" fillId="41" borderId="5" xfId="6" applyNumberFormat="1" applyFont="1" applyFill="1" applyBorder="1" applyAlignment="1">
      <alignment horizontal="center" vertical="center"/>
    </xf>
    <xf numFmtId="0" fontId="28" fillId="30" borderId="1" xfId="8" applyFont="1" applyFill="1" applyBorder="1" applyAlignment="1">
      <alignment horizontal="center" vertical="center"/>
    </xf>
    <xf numFmtId="0" fontId="10" fillId="30" borderId="5" xfId="6" applyFont="1" applyFill="1" applyBorder="1" applyAlignment="1">
      <alignment horizontal="center" vertical="center"/>
    </xf>
    <xf numFmtId="0" fontId="10" fillId="30" borderId="5" xfId="6" applyFont="1" applyFill="1" applyBorder="1" applyAlignment="1">
      <alignment horizontal="center" vertical="center" wrapText="1"/>
    </xf>
    <xf numFmtId="3" fontId="10" fillId="30" borderId="5" xfId="6" applyNumberFormat="1" applyFont="1" applyFill="1" applyBorder="1" applyAlignment="1">
      <alignment horizontal="center" vertical="center"/>
    </xf>
    <xf numFmtId="1" fontId="20" fillId="55" borderId="1" xfId="7" applyNumberFormat="1" applyFont="1" applyFill="1" applyBorder="1" applyAlignment="1">
      <alignment horizontal="center" vertical="center"/>
    </xf>
    <xf numFmtId="15" fontId="20" fillId="55" borderId="1" xfId="7" applyNumberFormat="1" applyFont="1" applyFill="1" applyBorder="1" applyAlignment="1">
      <alignment horizontal="center" vertical="center"/>
    </xf>
    <xf numFmtId="0" fontId="20" fillId="55" borderId="1" xfId="0" applyFont="1" applyFill="1" applyBorder="1" applyAlignment="1">
      <alignment horizontal="center" vertical="center"/>
    </xf>
    <xf numFmtId="0" fontId="20" fillId="56" borderId="1" xfId="0" applyFont="1" applyFill="1" applyBorder="1" applyAlignment="1">
      <alignment horizontal="center" vertical="center"/>
    </xf>
    <xf numFmtId="0" fontId="20" fillId="55" borderId="1" xfId="0" applyFont="1" applyFill="1" applyBorder="1" applyAlignment="1">
      <alignment horizontal="center" vertical="center" wrapText="1"/>
    </xf>
    <xf numFmtId="17" fontId="20" fillId="55" borderId="1" xfId="0" applyNumberFormat="1" applyFont="1" applyFill="1" applyBorder="1" applyAlignment="1">
      <alignment horizontal="center" vertical="center"/>
    </xf>
    <xf numFmtId="15" fontId="18" fillId="56" borderId="1" xfId="0" applyNumberFormat="1" applyFont="1" applyFill="1" applyBorder="1" applyAlignment="1">
      <alignment horizontal="center" vertical="center" wrapText="1"/>
    </xf>
    <xf numFmtId="167" fontId="20" fillId="55" borderId="1" xfId="0" applyNumberFormat="1" applyFont="1" applyFill="1" applyBorder="1" applyAlignment="1">
      <alignment horizontal="center" vertical="center"/>
    </xf>
    <xf numFmtId="44" fontId="20" fillId="55" borderId="5" xfId="0" applyNumberFormat="1" applyFont="1" applyFill="1" applyBorder="1" applyAlignment="1">
      <alignment horizontal="center" vertical="center"/>
    </xf>
    <xf numFmtId="44" fontId="20" fillId="55" borderId="1" xfId="0" applyNumberFormat="1" applyFont="1" applyFill="1" applyBorder="1" applyAlignment="1">
      <alignment horizontal="center" vertical="center"/>
    </xf>
    <xf numFmtId="44" fontId="20" fillId="56" borderId="1" xfId="0" applyNumberFormat="1" applyFont="1" applyFill="1" applyBorder="1" applyAlignment="1">
      <alignment vertical="center"/>
    </xf>
    <xf numFmtId="15" fontId="20" fillId="56" borderId="1" xfId="0" applyNumberFormat="1" applyFont="1" applyFill="1" applyBorder="1" applyAlignment="1">
      <alignment horizontal="center" vertical="center"/>
    </xf>
    <xf numFmtId="0" fontId="18" fillId="56" borderId="10" xfId="0" applyFont="1" applyFill="1" applyBorder="1" applyAlignment="1">
      <alignment horizontal="center" vertical="center"/>
    </xf>
    <xf numFmtId="0" fontId="20" fillId="56" borderId="5" xfId="0" applyFont="1" applyFill="1" applyBorder="1" applyAlignment="1">
      <alignment horizontal="center" vertical="center"/>
    </xf>
    <xf numFmtId="0" fontId="20" fillId="55" borderId="5" xfId="0" applyFont="1" applyFill="1" applyBorder="1" applyAlignment="1">
      <alignment horizontal="center" vertical="center"/>
    </xf>
    <xf numFmtId="0" fontId="20" fillId="55" borderId="5" xfId="0" applyFont="1" applyFill="1" applyBorder="1" applyAlignment="1">
      <alignment horizontal="center" vertical="center" wrapText="1"/>
    </xf>
    <xf numFmtId="15" fontId="18" fillId="56" borderId="5" xfId="0" applyNumberFormat="1" applyFont="1" applyFill="1" applyBorder="1" applyAlignment="1">
      <alignment horizontal="center" vertical="center" wrapText="1"/>
    </xf>
    <xf numFmtId="167" fontId="20" fillId="55" borderId="5" xfId="0" applyNumberFormat="1" applyFont="1" applyFill="1" applyBorder="1" applyAlignment="1">
      <alignment horizontal="center" vertical="center"/>
    </xf>
    <xf numFmtId="44" fontId="20" fillId="56" borderId="5" xfId="0" applyNumberFormat="1" applyFont="1" applyFill="1" applyBorder="1" applyAlignment="1">
      <alignment vertical="center"/>
    </xf>
    <xf numFmtId="1" fontId="27" fillId="55" borderId="1" xfId="7" applyNumberFormat="1" applyFont="1" applyFill="1" applyBorder="1" applyAlignment="1">
      <alignment horizontal="center" vertical="center"/>
    </xf>
    <xf numFmtId="167" fontId="20" fillId="55" borderId="1" xfId="0" applyNumberFormat="1" applyFont="1" applyFill="1" applyBorder="1" applyAlignment="1">
      <alignment vertical="center"/>
    </xf>
    <xf numFmtId="44" fontId="20" fillId="55" borderId="1" xfId="0" applyNumberFormat="1" applyFont="1" applyFill="1" applyBorder="1" applyAlignment="1">
      <alignment vertical="center"/>
    </xf>
    <xf numFmtId="0" fontId="28" fillId="18" borderId="1" xfId="8" applyFont="1" applyFill="1" applyBorder="1" applyAlignment="1">
      <alignment horizontal="center" vertical="center"/>
    </xf>
    <xf numFmtId="0" fontId="10" fillId="18" borderId="5" xfId="6" applyFont="1" applyFill="1" applyBorder="1" applyAlignment="1">
      <alignment horizontal="center" vertical="center"/>
    </xf>
    <xf numFmtId="2" fontId="10" fillId="18" borderId="1" xfId="6" applyNumberFormat="1" applyFont="1" applyFill="1" applyBorder="1" applyAlignment="1">
      <alignment horizontal="center" vertical="center"/>
    </xf>
    <xf numFmtId="0" fontId="10" fillId="18" borderId="5" xfId="6" applyFont="1" applyFill="1" applyBorder="1" applyAlignment="1">
      <alignment horizontal="center" vertical="center" wrapText="1"/>
    </xf>
    <xf numFmtId="3" fontId="10" fillId="18" borderId="5" xfId="6" applyNumberFormat="1" applyFont="1" applyFill="1" applyBorder="1" applyAlignment="1">
      <alignment horizontal="center" vertical="center"/>
    </xf>
    <xf numFmtId="0" fontId="22" fillId="10" borderId="1" xfId="0" applyFont="1" applyFill="1" applyBorder="1" applyAlignment="1">
      <alignment horizontal="center"/>
    </xf>
    <xf numFmtId="0" fontId="22" fillId="4" borderId="1" xfId="0" applyFont="1" applyFill="1" applyBorder="1" applyAlignment="1">
      <alignment horizontal="center"/>
    </xf>
    <xf numFmtId="0" fontId="21" fillId="52" borderId="1" xfId="0" applyFont="1" applyFill="1" applyBorder="1" applyAlignment="1">
      <alignment horizontal="center"/>
    </xf>
    <xf numFmtId="1" fontId="20" fillId="27" borderId="1" xfId="7" applyNumberFormat="1" applyFont="1" applyFill="1" applyBorder="1" applyAlignment="1">
      <alignment horizontal="center" vertical="center"/>
    </xf>
    <xf numFmtId="15" fontId="20" fillId="27" borderId="1" xfId="7" applyNumberFormat="1" applyFont="1" applyFill="1" applyBorder="1" applyAlignment="1">
      <alignment horizontal="center" vertical="center"/>
    </xf>
    <xf numFmtId="0" fontId="20" fillId="27" borderId="1" xfId="0" applyFont="1" applyFill="1" applyBorder="1" applyAlignment="1">
      <alignment horizontal="center" vertical="center"/>
    </xf>
    <xf numFmtId="0" fontId="20" fillId="27" borderId="5" xfId="0" applyFont="1" applyFill="1" applyBorder="1" applyAlignment="1">
      <alignment horizontal="center" vertical="center"/>
    </xf>
    <xf numFmtId="0" fontId="20" fillId="27" borderId="5" xfId="0" applyFont="1" applyFill="1" applyBorder="1" applyAlignment="1">
      <alignment horizontal="center" vertical="center" wrapText="1"/>
    </xf>
    <xf numFmtId="17" fontId="20" fillId="27" borderId="1" xfId="0" applyNumberFormat="1" applyFont="1" applyFill="1" applyBorder="1" applyAlignment="1">
      <alignment horizontal="center" vertical="center"/>
    </xf>
    <xf numFmtId="15" fontId="18" fillId="27" borderId="5" xfId="0" applyNumberFormat="1" applyFont="1" applyFill="1" applyBorder="1" applyAlignment="1">
      <alignment horizontal="center" vertical="center" wrapText="1"/>
    </xf>
    <xf numFmtId="167" fontId="20" fillId="27" borderId="5" xfId="0" applyNumberFormat="1" applyFont="1" applyFill="1" applyBorder="1" applyAlignment="1">
      <alignment horizontal="center" vertical="center"/>
    </xf>
    <xf numFmtId="44" fontId="20" fillId="27" borderId="5" xfId="0" applyNumberFormat="1" applyFont="1" applyFill="1" applyBorder="1" applyAlignment="1">
      <alignment horizontal="center" vertical="center"/>
    </xf>
    <xf numFmtId="44" fontId="20" fillId="27" borderId="5" xfId="0" applyNumberFormat="1" applyFont="1" applyFill="1" applyBorder="1" applyAlignment="1">
      <alignment vertical="center"/>
    </xf>
    <xf numFmtId="44" fontId="20" fillId="27" borderId="1" xfId="0" applyNumberFormat="1" applyFont="1" applyFill="1" applyBorder="1" applyAlignment="1">
      <alignment vertical="center"/>
    </xf>
    <xf numFmtId="15" fontId="20" fillId="27" borderId="1" xfId="0" applyNumberFormat="1" applyFont="1" applyFill="1" applyBorder="1" applyAlignment="1">
      <alignment horizontal="center" vertical="center"/>
    </xf>
    <xf numFmtId="0" fontId="18" fillId="27" borderId="10" xfId="0" applyFont="1" applyFill="1" applyBorder="1" applyAlignment="1">
      <alignment horizontal="center" vertical="center"/>
    </xf>
    <xf numFmtId="0" fontId="20" fillId="57" borderId="1" xfId="0" applyFont="1" applyFill="1" applyBorder="1" applyAlignment="1">
      <alignment horizontal="center" vertical="center"/>
    </xf>
    <xf numFmtId="0" fontId="20" fillId="57" borderId="1" xfId="0" applyFont="1" applyFill="1" applyBorder="1" applyAlignment="1">
      <alignment horizontal="center" vertical="center" wrapText="1"/>
    </xf>
    <xf numFmtId="17" fontId="20" fillId="57" borderId="1" xfId="0" applyNumberFormat="1" applyFont="1" applyFill="1" applyBorder="1" applyAlignment="1">
      <alignment horizontal="center" vertical="center"/>
    </xf>
    <xf numFmtId="15" fontId="18" fillId="27" borderId="1" xfId="0" applyNumberFormat="1" applyFont="1" applyFill="1" applyBorder="1" applyAlignment="1">
      <alignment horizontal="center" vertical="center" wrapText="1"/>
    </xf>
    <xf numFmtId="167" fontId="20" fillId="57" borderId="1" xfId="0" applyNumberFormat="1" applyFont="1" applyFill="1" applyBorder="1" applyAlignment="1">
      <alignment horizontal="center" vertical="center"/>
    </xf>
    <xf numFmtId="44" fontId="20" fillId="57" borderId="5" xfId="0" applyNumberFormat="1" applyFont="1" applyFill="1" applyBorder="1" applyAlignment="1">
      <alignment horizontal="center" vertical="center"/>
    </xf>
    <xf numFmtId="44" fontId="20" fillId="57" borderId="1" xfId="0" applyNumberFormat="1" applyFont="1" applyFill="1" applyBorder="1" applyAlignment="1">
      <alignment horizontal="center" vertical="center"/>
    </xf>
    <xf numFmtId="0" fontId="20" fillId="57" borderId="5" xfId="0" applyFont="1" applyFill="1" applyBorder="1" applyAlignment="1">
      <alignment horizontal="center" vertical="center"/>
    </xf>
    <xf numFmtId="167" fontId="20" fillId="57" borderId="1" xfId="0" applyNumberFormat="1" applyFont="1" applyFill="1" applyBorder="1" applyAlignment="1">
      <alignment vertical="center"/>
    </xf>
    <xf numFmtId="44" fontId="20" fillId="57" borderId="1" xfId="0" applyNumberFormat="1" applyFont="1" applyFill="1" applyBorder="1" applyAlignment="1">
      <alignment vertical="center"/>
    </xf>
    <xf numFmtId="14" fontId="20" fillId="50" borderId="1" xfId="0" applyNumberFormat="1" applyFont="1" applyFill="1" applyBorder="1" applyAlignment="1">
      <alignment horizontal="center" vertical="center"/>
    </xf>
    <xf numFmtId="0" fontId="28" fillId="18" borderId="5" xfId="8" applyFont="1" applyFill="1" applyBorder="1" applyAlignment="1">
      <alignment horizontal="center" vertical="center"/>
    </xf>
    <xf numFmtId="4" fontId="10" fillId="18" borderId="5" xfId="6" applyNumberFormat="1" applyFont="1" applyFill="1" applyBorder="1" applyAlignment="1">
      <alignment horizontal="center" vertical="center"/>
    </xf>
    <xf numFmtId="2" fontId="10" fillId="18" borderId="5" xfId="6" applyNumberFormat="1" applyFont="1" applyFill="1" applyBorder="1" applyAlignment="1">
      <alignment horizontal="center" vertical="center"/>
    </xf>
    <xf numFmtId="0" fontId="10" fillId="18" borderId="5" xfId="6" applyFont="1" applyFill="1" applyBorder="1" applyAlignment="1">
      <alignment vertical="center"/>
    </xf>
    <xf numFmtId="44" fontId="10" fillId="18" borderId="5" xfId="6" applyNumberFormat="1" applyFont="1" applyFill="1" applyBorder="1" applyAlignment="1">
      <alignment vertical="center"/>
    </xf>
    <xf numFmtId="0" fontId="28" fillId="44" borderId="1" xfId="8" applyFont="1" applyFill="1" applyBorder="1" applyAlignment="1">
      <alignment horizontal="center" vertical="center"/>
    </xf>
    <xf numFmtId="173" fontId="18" fillId="2" borderId="0" xfId="7" applyNumberFormat="1" applyFont="1" applyFill="1" applyAlignment="1">
      <alignment vertical="center"/>
    </xf>
    <xf numFmtId="15" fontId="20" fillId="57" borderId="1" xfId="7" applyNumberFormat="1" applyFont="1" applyFill="1" applyBorder="1" applyAlignment="1">
      <alignment horizontal="center" vertical="center"/>
    </xf>
    <xf numFmtId="174" fontId="23" fillId="2" borderId="27" xfId="0" applyNumberFormat="1" applyFont="1" applyFill="1" applyBorder="1" applyAlignment="1">
      <alignment horizontal="center" vertical="center"/>
    </xf>
    <xf numFmtId="164" fontId="18" fillId="2" borderId="18" xfId="1" applyFont="1" applyFill="1" applyBorder="1" applyAlignment="1">
      <alignment vertical="center"/>
    </xf>
    <xf numFmtId="0" fontId="28" fillId="20" borderId="1" xfId="8" applyFont="1" applyFill="1" applyBorder="1" applyAlignment="1">
      <alignment horizontal="center" vertical="center"/>
    </xf>
    <xf numFmtId="0" fontId="20" fillId="20" borderId="5" xfId="0" applyFont="1" applyFill="1" applyBorder="1" applyAlignment="1">
      <alignment horizontal="center" vertical="center" wrapText="1"/>
    </xf>
    <xf numFmtId="17" fontId="20" fillId="20" borderId="1" xfId="0" applyNumberFormat="1" applyFont="1" applyFill="1" applyBorder="1" applyAlignment="1">
      <alignment horizontal="center" vertical="center"/>
    </xf>
    <xf numFmtId="167" fontId="20" fillId="20" borderId="5" xfId="0" applyNumberFormat="1" applyFont="1" applyFill="1" applyBorder="1" applyAlignment="1">
      <alignment horizontal="center" vertical="center"/>
    </xf>
    <xf numFmtId="44" fontId="20" fillId="20" borderId="5" xfId="0" applyNumberFormat="1" applyFont="1" applyFill="1" applyBorder="1" applyAlignment="1">
      <alignment horizontal="center" vertical="center"/>
    </xf>
    <xf numFmtId="1" fontId="20" fillId="20" borderId="1" xfId="7" applyNumberFormat="1" applyFont="1" applyFill="1" applyBorder="1" applyAlignment="1">
      <alignment horizontal="center" vertical="center"/>
    </xf>
    <xf numFmtId="15" fontId="20" fillId="21" borderId="5" xfId="0" applyNumberFormat="1" applyFont="1" applyFill="1" applyBorder="1" applyAlignment="1">
      <alignment horizontal="center" vertical="center"/>
    </xf>
    <xf numFmtId="17" fontId="20" fillId="21" borderId="5" xfId="0" applyNumberFormat="1" applyFont="1" applyFill="1" applyBorder="1" applyAlignment="1">
      <alignment horizontal="center" vertical="center"/>
    </xf>
    <xf numFmtId="15" fontId="18" fillId="20" borderId="5" xfId="0" applyNumberFormat="1" applyFont="1" applyFill="1" applyBorder="1" applyAlignment="1">
      <alignment vertical="center" wrapText="1"/>
    </xf>
    <xf numFmtId="167" fontId="20" fillId="21" borderId="5" xfId="0" applyNumberFormat="1" applyFont="1" applyFill="1" applyBorder="1" applyAlignment="1">
      <alignment vertical="center"/>
    </xf>
    <xf numFmtId="44" fontId="20" fillId="21" borderId="5" xfId="0" applyNumberFormat="1" applyFont="1" applyFill="1" applyBorder="1" applyAlignment="1">
      <alignment vertical="center"/>
    </xf>
    <xf numFmtId="15" fontId="20" fillId="20" borderId="5" xfId="0" applyNumberFormat="1" applyFont="1" applyFill="1" applyBorder="1" applyAlignment="1">
      <alignment horizontal="center" vertical="center"/>
    </xf>
    <xf numFmtId="0" fontId="18" fillId="20" borderId="4" xfId="0" applyFont="1" applyFill="1" applyBorder="1" applyAlignment="1">
      <alignment horizontal="center" vertical="center"/>
    </xf>
    <xf numFmtId="44" fontId="5" fillId="2" borderId="0" xfId="8" applyNumberFormat="1" applyFont="1" applyFill="1" applyAlignment="1">
      <alignment horizontal="center" vertical="center"/>
    </xf>
    <xf numFmtId="1" fontId="20" fillId="42" borderId="1" xfId="7" applyNumberFormat="1" applyFont="1" applyFill="1" applyBorder="1" applyAlignment="1">
      <alignment horizontal="center" vertical="center"/>
    </xf>
    <xf numFmtId="15" fontId="18" fillId="42" borderId="1" xfId="0" applyNumberFormat="1" applyFont="1" applyFill="1" applyBorder="1" applyAlignment="1">
      <alignment horizontal="center" vertical="center" wrapText="1"/>
    </xf>
    <xf numFmtId="44" fontId="20" fillId="43" borderId="5" xfId="0" applyNumberFormat="1" applyFont="1" applyFill="1" applyBorder="1" applyAlignment="1">
      <alignment horizontal="center" vertical="center"/>
    </xf>
    <xf numFmtId="167" fontId="20" fillId="43" borderId="1" xfId="0" applyNumberFormat="1" applyFont="1" applyFill="1" applyBorder="1" applyAlignment="1">
      <alignment horizontal="center" vertical="center"/>
    </xf>
    <xf numFmtId="0" fontId="20" fillId="42" borderId="5" xfId="0" applyFont="1" applyFill="1" applyBorder="1" applyAlignment="1">
      <alignment horizontal="center" vertical="center" wrapText="1"/>
    </xf>
    <xf numFmtId="15" fontId="18" fillId="42" borderId="5" xfId="0" applyNumberFormat="1" applyFont="1" applyFill="1" applyBorder="1" applyAlignment="1">
      <alignment horizontal="center" vertical="center" wrapText="1"/>
    </xf>
    <xf numFmtId="167" fontId="20" fillId="42" borderId="5" xfId="0" applyNumberFormat="1" applyFont="1" applyFill="1" applyBorder="1" applyAlignment="1">
      <alignment horizontal="center" vertical="center"/>
    </xf>
    <xf numFmtId="1" fontId="27" fillId="42" borderId="1" xfId="7" applyNumberFormat="1" applyFont="1" applyFill="1" applyBorder="1" applyAlignment="1">
      <alignment horizontal="center" vertical="center"/>
    </xf>
    <xf numFmtId="0" fontId="28" fillId="56" borderId="1" xfId="8" applyFont="1" applyFill="1" applyBorder="1" applyAlignment="1">
      <alignment horizontal="center" vertical="center"/>
    </xf>
    <xf numFmtId="0" fontId="10" fillId="56" borderId="1" xfId="6" applyFont="1" applyFill="1" applyBorder="1" applyAlignment="1">
      <alignment horizontal="center" vertical="center"/>
    </xf>
    <xf numFmtId="0" fontId="10" fillId="56" borderId="1" xfId="6" applyFont="1" applyFill="1" applyBorder="1" applyAlignment="1">
      <alignment horizontal="center" vertical="center" wrapText="1"/>
    </xf>
    <xf numFmtId="3" fontId="10" fillId="56" borderId="1" xfId="6" applyNumberFormat="1" applyFont="1" applyFill="1" applyBorder="1" applyAlignment="1">
      <alignment horizontal="center" vertical="center"/>
    </xf>
    <xf numFmtId="4" fontId="10" fillId="56" borderId="1" xfId="6" applyNumberFormat="1" applyFont="1" applyFill="1" applyBorder="1" applyAlignment="1">
      <alignment horizontal="center" vertical="center"/>
    </xf>
    <xf numFmtId="2" fontId="10" fillId="56" borderId="1" xfId="6" applyNumberFormat="1" applyFont="1" applyFill="1" applyBorder="1" applyAlignment="1">
      <alignment horizontal="center" vertical="center"/>
    </xf>
    <xf numFmtId="44" fontId="10" fillId="56" borderId="1" xfId="6" applyNumberFormat="1" applyFont="1" applyFill="1" applyBorder="1" applyAlignment="1">
      <alignment vertical="center"/>
    </xf>
    <xf numFmtId="0" fontId="10" fillId="56" borderId="1" xfId="6" applyFont="1" applyFill="1" applyBorder="1" applyAlignment="1">
      <alignment vertical="center"/>
    </xf>
    <xf numFmtId="14" fontId="10" fillId="56" borderId="1" xfId="6" applyNumberFormat="1" applyFont="1" applyFill="1" applyBorder="1" applyAlignment="1">
      <alignment horizontal="center" vertical="center"/>
    </xf>
    <xf numFmtId="15" fontId="10" fillId="56" borderId="1" xfId="6" applyNumberFormat="1" applyFont="1" applyFill="1" applyBorder="1" applyAlignment="1">
      <alignment horizontal="center" vertical="center"/>
    </xf>
    <xf numFmtId="44" fontId="5" fillId="3" borderId="13" xfId="5" applyFont="1" applyFill="1" applyBorder="1" applyAlignment="1">
      <alignment horizontal="center" vertical="center"/>
    </xf>
    <xf numFmtId="44" fontId="10" fillId="3" borderId="13" xfId="6" applyNumberFormat="1" applyFont="1" applyFill="1" applyBorder="1" applyAlignment="1">
      <alignment horizontal="center" vertical="center"/>
    </xf>
    <xf numFmtId="44" fontId="5" fillId="3" borderId="23" xfId="8" applyNumberFormat="1" applyFont="1" applyFill="1" applyBorder="1" applyAlignment="1">
      <alignment horizontal="center" vertical="center"/>
    </xf>
    <xf numFmtId="0" fontId="5" fillId="3" borderId="0" xfId="8" applyFont="1" applyFill="1" applyAlignment="1">
      <alignment horizontal="center" vertical="center"/>
    </xf>
    <xf numFmtId="44" fontId="10" fillId="4" borderId="1" xfId="6" applyNumberFormat="1" applyFont="1" applyFill="1" applyBorder="1" applyAlignment="1">
      <alignment horizontal="center" vertical="center"/>
    </xf>
    <xf numFmtId="44" fontId="5" fillId="2" borderId="10" xfId="8" applyNumberFormat="1" applyFont="1" applyFill="1" applyBorder="1" applyAlignment="1">
      <alignment horizontal="center" vertical="center"/>
    </xf>
    <xf numFmtId="44" fontId="10" fillId="5" borderId="5" xfId="6" applyNumberFormat="1" applyFont="1" applyFill="1" applyBorder="1" applyAlignment="1">
      <alignment horizontal="center" vertical="center"/>
    </xf>
    <xf numFmtId="44" fontId="5" fillId="2" borderId="4" xfId="8" applyNumberFormat="1" applyFont="1" applyFill="1" applyBorder="1" applyAlignment="1">
      <alignment horizontal="center" vertical="center"/>
    </xf>
    <xf numFmtId="0" fontId="5" fillId="2" borderId="5" xfId="8" applyFont="1" applyFill="1" applyBorder="1" applyAlignment="1">
      <alignment horizontal="center" vertical="center"/>
    </xf>
    <xf numFmtId="44" fontId="10" fillId="4" borderId="5" xfId="6" applyNumberFormat="1" applyFont="1" applyFill="1" applyBorder="1" applyAlignment="1">
      <alignment horizontal="center" vertical="center"/>
    </xf>
    <xf numFmtId="0" fontId="5" fillId="2" borderId="5" xfId="0" applyFont="1" applyFill="1" applyBorder="1" applyAlignment="1">
      <alignment horizontal="center" vertical="center"/>
    </xf>
    <xf numFmtId="44" fontId="10" fillId="4" borderId="5" xfId="0" applyNumberFormat="1" applyFont="1" applyFill="1" applyBorder="1" applyAlignment="1">
      <alignment horizontal="center" vertical="center"/>
    </xf>
    <xf numFmtId="44" fontId="10" fillId="5" borderId="5" xfId="0" applyNumberFormat="1" applyFont="1" applyFill="1" applyBorder="1" applyAlignment="1">
      <alignment horizontal="center" vertical="center"/>
    </xf>
    <xf numFmtId="44" fontId="5" fillId="2" borderId="4" xfId="0" applyNumberFormat="1" applyFont="1" applyFill="1" applyBorder="1" applyAlignment="1">
      <alignment horizontal="center" vertical="center"/>
    </xf>
    <xf numFmtId="0" fontId="5" fillId="2" borderId="27" xfId="8" applyFont="1" applyFill="1" applyBorder="1" applyAlignment="1">
      <alignment horizontal="center" vertical="center"/>
    </xf>
    <xf numFmtId="0" fontId="5" fillId="2" borderId="17" xfId="8" applyFont="1" applyFill="1" applyBorder="1" applyAlignment="1">
      <alignment horizontal="center" vertical="center"/>
    </xf>
    <xf numFmtId="164" fontId="5" fillId="2" borderId="18" xfId="1" applyFont="1" applyFill="1" applyBorder="1" applyAlignment="1">
      <alignment horizontal="center" vertical="center"/>
    </xf>
    <xf numFmtId="44" fontId="5" fillId="2" borderId="18" xfId="8" applyNumberFormat="1" applyFont="1" applyFill="1" applyBorder="1" applyAlignment="1">
      <alignment horizontal="center" vertical="center"/>
    </xf>
    <xf numFmtId="0" fontId="5" fillId="2" borderId="19" xfId="8" applyFont="1" applyFill="1" applyBorder="1" applyAlignment="1">
      <alignment horizontal="center" vertical="center"/>
    </xf>
    <xf numFmtId="164" fontId="5" fillId="2" borderId="0" xfId="8" applyNumberFormat="1" applyFont="1" applyFill="1" applyAlignment="1">
      <alignment horizontal="center" vertical="center"/>
    </xf>
    <xf numFmtId="1" fontId="22" fillId="2" borderId="21" xfId="0" applyNumberFormat="1" applyFont="1" applyFill="1" applyBorder="1" applyAlignment="1">
      <alignment horizontal="center" vertical="center"/>
    </xf>
    <xf numFmtId="1" fontId="22" fillId="2" borderId="1" xfId="0" applyNumberFormat="1" applyFont="1" applyFill="1" applyBorder="1" applyAlignment="1">
      <alignment horizontal="center" vertical="center"/>
    </xf>
    <xf numFmtId="14" fontId="23" fillId="52" borderId="1" xfId="0" applyNumberFormat="1" applyFont="1" applyFill="1" applyBorder="1" applyAlignment="1">
      <alignment horizontal="center"/>
    </xf>
    <xf numFmtId="0" fontId="23" fillId="52" borderId="1" xfId="0" applyFont="1" applyFill="1" applyBorder="1" applyAlignment="1">
      <alignment horizontal="center"/>
    </xf>
    <xf numFmtId="0" fontId="30" fillId="52" borderId="1" xfId="0" applyFont="1" applyFill="1" applyBorder="1" applyAlignment="1">
      <alignment horizontal="center"/>
    </xf>
    <xf numFmtId="14" fontId="23" fillId="0" borderId="1" xfId="0" applyNumberFormat="1" applyFont="1" applyBorder="1" applyAlignment="1">
      <alignment horizontal="center"/>
    </xf>
    <xf numFmtId="0" fontId="34" fillId="52" borderId="1" xfId="0" applyFont="1" applyFill="1" applyBorder="1" applyAlignment="1">
      <alignment horizontal="center"/>
    </xf>
    <xf numFmtId="3" fontId="0" fillId="0" borderId="0" xfId="0" applyNumberFormat="1"/>
    <xf numFmtId="1" fontId="20" fillId="44" borderId="1" xfId="7" applyNumberFormat="1" applyFont="1" applyFill="1" applyBorder="1" applyAlignment="1">
      <alignment horizontal="center" vertical="center"/>
    </xf>
    <xf numFmtId="15" fontId="18" fillId="44" borderId="1" xfId="0" applyNumberFormat="1" applyFont="1" applyFill="1" applyBorder="1" applyAlignment="1">
      <alignment horizontal="center" vertical="center" wrapText="1"/>
    </xf>
    <xf numFmtId="167" fontId="20" fillId="45" borderId="1" xfId="0" applyNumberFormat="1" applyFont="1" applyFill="1" applyBorder="1" applyAlignment="1">
      <alignment horizontal="center" vertical="center"/>
    </xf>
    <xf numFmtId="44" fontId="20" fillId="45" borderId="5" xfId="0" applyNumberFormat="1" applyFont="1" applyFill="1" applyBorder="1" applyAlignment="1">
      <alignment horizontal="center" vertical="center"/>
    </xf>
    <xf numFmtId="0" fontId="18" fillId="44" borderId="10" xfId="0" applyFont="1" applyFill="1" applyBorder="1" applyAlignment="1">
      <alignment horizontal="center" vertical="center"/>
    </xf>
    <xf numFmtId="0" fontId="20" fillId="44" borderId="5" xfId="0" applyFont="1" applyFill="1" applyBorder="1" applyAlignment="1">
      <alignment horizontal="center" vertical="center" wrapText="1"/>
    </xf>
    <xf numFmtId="15" fontId="18" fillId="44" borderId="5" xfId="0" applyNumberFormat="1" applyFont="1" applyFill="1" applyBorder="1" applyAlignment="1">
      <alignment horizontal="center" vertical="center" wrapText="1"/>
    </xf>
    <xf numFmtId="167" fontId="20" fillId="44" borderId="5" xfId="0" applyNumberFormat="1" applyFont="1" applyFill="1" applyBorder="1" applyAlignment="1">
      <alignment horizontal="center" vertical="center"/>
    </xf>
    <xf numFmtId="44" fontId="10" fillId="41" borderId="5" xfId="6" applyNumberFormat="1" applyFont="1" applyFill="1" applyBorder="1" applyAlignment="1">
      <alignment vertical="center"/>
    </xf>
    <xf numFmtId="0" fontId="10" fillId="58" borderId="1" xfId="6" applyFont="1" applyFill="1" applyBorder="1" applyAlignment="1">
      <alignment horizontal="center" vertical="center"/>
    </xf>
    <xf numFmtId="15" fontId="10" fillId="58" borderId="1" xfId="6" applyNumberFormat="1" applyFont="1" applyFill="1" applyBorder="1" applyAlignment="1">
      <alignment horizontal="center" vertical="center"/>
    </xf>
    <xf numFmtId="0" fontId="28" fillId="58" borderId="1" xfId="8" applyFont="1" applyFill="1" applyBorder="1" applyAlignment="1">
      <alignment horizontal="center" vertical="center"/>
    </xf>
    <xf numFmtId="0" fontId="10" fillId="58" borderId="1" xfId="6" applyFont="1" applyFill="1" applyBorder="1" applyAlignment="1">
      <alignment horizontal="center" vertical="center" wrapText="1"/>
    </xf>
    <xf numFmtId="3" fontId="10" fillId="58" borderId="1" xfId="6" applyNumberFormat="1" applyFont="1" applyFill="1" applyBorder="1" applyAlignment="1">
      <alignment horizontal="center" vertical="center"/>
    </xf>
    <xf numFmtId="4" fontId="10" fillId="58" borderId="1" xfId="6" applyNumberFormat="1" applyFont="1" applyFill="1" applyBorder="1" applyAlignment="1">
      <alignment horizontal="center" vertical="center"/>
    </xf>
    <xf numFmtId="2" fontId="10" fillId="58" borderId="1" xfId="6" applyNumberFormat="1" applyFont="1" applyFill="1" applyBorder="1" applyAlignment="1">
      <alignment horizontal="center" vertical="center"/>
    </xf>
    <xf numFmtId="44" fontId="10" fillId="58" borderId="1" xfId="6" applyNumberFormat="1" applyFont="1" applyFill="1" applyBorder="1" applyAlignment="1">
      <alignment vertical="center"/>
    </xf>
    <xf numFmtId="0" fontId="10" fillId="58" borderId="1" xfId="6" applyFont="1" applyFill="1" applyBorder="1" applyAlignment="1">
      <alignment vertical="center"/>
    </xf>
    <xf numFmtId="14" fontId="10" fillId="58" borderId="1" xfId="6" applyNumberFormat="1" applyFont="1" applyFill="1" applyBorder="1" applyAlignment="1">
      <alignment horizontal="center" vertical="center"/>
    </xf>
    <xf numFmtId="14" fontId="31" fillId="0" borderId="1" xfId="0" applyNumberFormat="1" applyFont="1" applyBorder="1" applyAlignment="1">
      <alignment horizontal="center"/>
    </xf>
    <xf numFmtId="0" fontId="35" fillId="52" borderId="1" xfId="0" applyFont="1" applyFill="1" applyBorder="1" applyAlignment="1">
      <alignment horizontal="center"/>
    </xf>
    <xf numFmtId="164" fontId="35" fillId="52" borderId="1" xfId="1" applyFont="1" applyFill="1" applyBorder="1" applyAlignment="1">
      <alignment horizontal="center"/>
    </xf>
    <xf numFmtId="2" fontId="22" fillId="2" borderId="10" xfId="0" applyNumberFormat="1" applyFont="1" applyFill="1" applyBorder="1" applyAlignment="1">
      <alignment horizontal="center" vertical="center"/>
    </xf>
    <xf numFmtId="1" fontId="20" fillId="24" borderId="1" xfId="7" applyNumberFormat="1" applyFont="1" applyFill="1" applyBorder="1" applyAlignment="1">
      <alignment horizontal="center" vertical="center"/>
    </xf>
    <xf numFmtId="0" fontId="18" fillId="24" borderId="10" xfId="0" applyFont="1" applyFill="1" applyBorder="1" applyAlignment="1">
      <alignment horizontal="center" vertical="center"/>
    </xf>
    <xf numFmtId="15" fontId="18" fillId="24" borderId="1" xfId="0" applyNumberFormat="1" applyFont="1" applyFill="1" applyBorder="1" applyAlignment="1">
      <alignment horizontal="center" vertical="center" wrapText="1"/>
    </xf>
    <xf numFmtId="167" fontId="20" fillId="32" borderId="1" xfId="0" applyNumberFormat="1" applyFont="1" applyFill="1" applyBorder="1" applyAlignment="1">
      <alignment horizontal="center" vertical="center"/>
    </xf>
    <xf numFmtId="44" fontId="20" fillId="32" borderId="5" xfId="0" applyNumberFormat="1" applyFont="1" applyFill="1" applyBorder="1" applyAlignment="1">
      <alignment horizontal="center" vertical="center"/>
    </xf>
    <xf numFmtId="0" fontId="20" fillId="24" borderId="5" xfId="0" applyFont="1" applyFill="1" applyBorder="1" applyAlignment="1">
      <alignment horizontal="center" vertical="center" wrapText="1"/>
    </xf>
    <xf numFmtId="15" fontId="18" fillId="24" borderId="5" xfId="0" applyNumberFormat="1" applyFont="1" applyFill="1" applyBorder="1" applyAlignment="1">
      <alignment horizontal="center" vertical="center" wrapText="1"/>
    </xf>
    <xf numFmtId="167" fontId="20" fillId="24" borderId="5" xfId="0" applyNumberFormat="1" applyFont="1" applyFill="1" applyBorder="1" applyAlignment="1">
      <alignment horizontal="center" vertical="center"/>
    </xf>
    <xf numFmtId="0" fontId="28" fillId="2" borderId="0" xfId="8" applyFont="1" applyFill="1" applyAlignment="1">
      <alignment vertical="center"/>
    </xf>
    <xf numFmtId="44" fontId="28" fillId="2" borderId="0" xfId="8" applyNumberFormat="1" applyFont="1" applyFill="1" applyAlignment="1">
      <alignment vertical="center"/>
    </xf>
    <xf numFmtId="0" fontId="36" fillId="44" borderId="1" xfId="6" applyFont="1" applyFill="1" applyBorder="1" applyAlignment="1">
      <alignment horizontal="center" vertical="center"/>
    </xf>
    <xf numFmtId="15" fontId="36" fillId="44" borderId="1" xfId="6" applyNumberFormat="1" applyFont="1" applyFill="1" applyBorder="1" applyAlignment="1">
      <alignment horizontal="center" vertical="center"/>
    </xf>
    <xf numFmtId="0" fontId="37" fillId="44" borderId="1" xfId="8" applyFont="1" applyFill="1" applyBorder="1" applyAlignment="1">
      <alignment horizontal="center" vertical="center"/>
    </xf>
    <xf numFmtId="0" fontId="36" fillId="44" borderId="1" xfId="6" applyFont="1" applyFill="1" applyBorder="1" applyAlignment="1">
      <alignment horizontal="center" vertical="center" wrapText="1"/>
    </xf>
    <xf numFmtId="3" fontId="36" fillId="44" borderId="1" xfId="6" applyNumberFormat="1" applyFont="1" applyFill="1" applyBorder="1" applyAlignment="1">
      <alignment horizontal="center" vertical="center"/>
    </xf>
    <xf numFmtId="4" fontId="36" fillId="44" borderId="1" xfId="6" applyNumberFormat="1" applyFont="1" applyFill="1" applyBorder="1" applyAlignment="1">
      <alignment horizontal="center" vertical="center"/>
    </xf>
    <xf numFmtId="2" fontId="36" fillId="44" borderId="1" xfId="6" applyNumberFormat="1" applyFont="1" applyFill="1" applyBorder="1" applyAlignment="1">
      <alignment horizontal="center" vertical="center"/>
    </xf>
    <xf numFmtId="44" fontId="36" fillId="44" borderId="1" xfId="6" applyNumberFormat="1" applyFont="1" applyFill="1" applyBorder="1" applyAlignment="1">
      <alignment vertical="center"/>
    </xf>
    <xf numFmtId="0" fontId="36" fillId="44" borderId="1" xfId="6" applyFont="1" applyFill="1" applyBorder="1" applyAlignment="1">
      <alignment vertical="center"/>
    </xf>
    <xf numFmtId="14" fontId="36" fillId="44" borderId="1" xfId="6" applyNumberFormat="1" applyFont="1" applyFill="1" applyBorder="1" applyAlignment="1">
      <alignment horizontal="center" vertical="center"/>
    </xf>
    <xf numFmtId="0" fontId="0" fillId="0" borderId="33" xfId="0" applyBorder="1"/>
    <xf numFmtId="164" fontId="30" fillId="52" borderId="1" xfId="1" applyFont="1" applyFill="1" applyBorder="1" applyAlignment="1">
      <alignment horizontal="center"/>
    </xf>
    <xf numFmtId="43" fontId="22" fillId="2" borderId="1" xfId="9" applyFont="1" applyFill="1" applyBorder="1" applyAlignment="1">
      <alignment horizontal="center"/>
    </xf>
    <xf numFmtId="0" fontId="34" fillId="52" borderId="10" xfId="0" applyFont="1" applyFill="1" applyBorder="1" applyAlignment="1">
      <alignment horizontal="center"/>
    </xf>
    <xf numFmtId="0" fontId="30" fillId="52" borderId="9" xfId="0" applyFont="1" applyFill="1" applyBorder="1" applyAlignment="1">
      <alignment horizontal="center"/>
    </xf>
    <xf numFmtId="43" fontId="0" fillId="0" borderId="0" xfId="0" applyNumberFormat="1" applyAlignment="1">
      <alignment horizontal="left" indent="1"/>
    </xf>
    <xf numFmtId="164" fontId="2" fillId="0" borderId="0" xfId="1" applyFont="1" applyAlignment="1"/>
    <xf numFmtId="0" fontId="0" fillId="0" borderId="1" xfId="0" applyBorder="1" applyAlignment="1">
      <alignment horizontal="center"/>
    </xf>
    <xf numFmtId="0" fontId="5" fillId="2" borderId="0" xfId="8" applyFont="1" applyFill="1" applyAlignment="1">
      <alignment horizontal="left" vertical="center" wrapText="1"/>
    </xf>
    <xf numFmtId="44" fontId="5" fillId="2" borderId="0" xfId="8" applyNumberFormat="1" applyFont="1" applyFill="1" applyAlignment="1">
      <alignment horizontal="center" vertical="center"/>
    </xf>
    <xf numFmtId="0" fontId="5" fillId="2" borderId="0" xfId="8" applyFont="1" applyFill="1" applyAlignment="1">
      <alignment horizontal="center" vertical="center"/>
    </xf>
    <xf numFmtId="0" fontId="26" fillId="0" borderId="1" xfId="0" applyFont="1" applyBorder="1" applyAlignment="1">
      <alignment horizontal="center" vertical="center"/>
    </xf>
    <xf numFmtId="0" fontId="0" fillId="0" borderId="1" xfId="0" applyBorder="1" applyAlignment="1">
      <alignment horizontal="center" vertical="center" wrapText="1"/>
    </xf>
    <xf numFmtId="0" fontId="3" fillId="0" borderId="0" xfId="0" applyFont="1" applyAlignment="1">
      <alignment horizontal="center" vertical="center"/>
    </xf>
    <xf numFmtId="0" fontId="0" fillId="0" borderId="0" xfId="0" applyAlignment="1">
      <alignment horizontal="center" vertical="center"/>
    </xf>
    <xf numFmtId="0" fontId="26" fillId="0" borderId="10" xfId="0" applyFont="1" applyBorder="1" applyAlignment="1">
      <alignment horizontal="center" vertical="center"/>
    </xf>
    <xf numFmtId="0" fontId="26" fillId="0" borderId="21" xfId="0" applyFont="1" applyBorder="1" applyAlignment="1">
      <alignment horizontal="center" vertical="center"/>
    </xf>
    <xf numFmtId="0" fontId="26" fillId="0" borderId="9" xfId="0" applyFont="1" applyBorder="1" applyAlignment="1">
      <alignment horizontal="center" vertical="center"/>
    </xf>
    <xf numFmtId="1" fontId="20" fillId="50" borderId="1" xfId="7" applyNumberFormat="1" applyFont="1" applyFill="1" applyBorder="1" applyAlignment="1">
      <alignment horizontal="center" vertical="center"/>
    </xf>
    <xf numFmtId="15" fontId="18" fillId="50" borderId="1" xfId="0" applyNumberFormat="1" applyFont="1" applyFill="1" applyBorder="1" applyAlignment="1">
      <alignment vertical="center" wrapText="1"/>
    </xf>
  </cellXfs>
  <cellStyles count="18">
    <cellStyle name="Millares" xfId="9" builtinId="3"/>
    <cellStyle name="Millares 2" xfId="16" xr:uid="{7155F47E-BDC8-42EE-A4C6-BF378228902F}"/>
    <cellStyle name="Moneda" xfId="1" builtinId="4"/>
    <cellStyle name="Moneda [0]" xfId="2" builtinId="7"/>
    <cellStyle name="Moneda [0] 2" xfId="3" xr:uid="{00000000-0005-0000-0000-000031000000}"/>
    <cellStyle name="Moneda [0] 2 2" xfId="4" xr:uid="{00000000-0005-0000-0000-000032000000}"/>
    <cellStyle name="Moneda [0] 3" xfId="12" xr:uid="{64B320CE-5F98-4EC4-AD52-174D4AE6072D}"/>
    <cellStyle name="Moneda 2" xfId="5" xr:uid="{00000000-0005-0000-0000-000033000000}"/>
    <cellStyle name="Moneda 2 2" xfId="13" xr:uid="{05725E78-875E-4A6D-A7B5-FB928EC3F71A}"/>
    <cellStyle name="Moneda 3" xfId="11" xr:uid="{48A8084C-CFFB-4810-9B9E-FFF96A8AC7EC}"/>
    <cellStyle name="Moneda 4" xfId="15" xr:uid="{9BC8EBF1-9173-4AC2-A315-209C789DDC95}"/>
    <cellStyle name="Moneda 5" xfId="17" xr:uid="{6784144A-CEF2-4E3D-BE9E-DCC00AA7C176}"/>
    <cellStyle name="Normal" xfId="0" builtinId="0"/>
    <cellStyle name="Normal 2" xfId="6" xr:uid="{00000000-0005-0000-0000-000034000000}"/>
    <cellStyle name="Normal 2 2" xfId="7" xr:uid="{00000000-0005-0000-0000-000035000000}"/>
    <cellStyle name="Normal 2 2 2" xfId="8" xr:uid="{00000000-0005-0000-0000-000036000000}"/>
    <cellStyle name="Normal 2 3" xfId="14" xr:uid="{C735CB2C-23B3-4997-AD9C-E7B55AFED582}"/>
    <cellStyle name="Normal 3" xfId="10" xr:uid="{150335BE-1368-434A-A797-F71203F49C22}"/>
  </cellStyles>
  <dxfs count="223">
    <dxf>
      <font>
        <b val="0"/>
        <i val="0"/>
        <strike val="0"/>
        <condense val="0"/>
        <extend val="0"/>
        <outline val="0"/>
        <shadow val="0"/>
        <u val="none"/>
        <vertAlign val="baseline"/>
        <sz val="9"/>
        <color auto="1"/>
        <name val="Calibri"/>
        <family val="2"/>
        <scheme val="minor"/>
      </font>
      <fill>
        <patternFill patternType="solid">
          <fgColor indexed="64"/>
          <bgColor theme="4" tint="0.79998168889431442"/>
        </patternFill>
      </fill>
      <alignment horizontal="center" vertical="center" textRotation="0" wrapText="0" indent="0" justifyLastLine="0" shrinkToFit="0" readingOrder="0"/>
      <border diagonalUp="0" diagonalDown="0" outline="0">
        <left style="thin">
          <color auto="1"/>
        </left>
        <right/>
        <top style="thin">
          <color auto="1"/>
        </top>
        <bottom/>
      </border>
    </dxf>
    <dxf>
      <font>
        <b val="0"/>
        <i val="0"/>
        <strike val="0"/>
        <condense val="0"/>
        <extend val="0"/>
        <outline val="0"/>
        <shadow val="0"/>
        <u val="none"/>
        <vertAlign val="baseline"/>
        <sz val="9"/>
        <color auto="1"/>
        <name val="Calibri"/>
        <family val="2"/>
        <scheme val="minor"/>
      </font>
      <fill>
        <patternFill patternType="solid">
          <fgColor indexed="64"/>
          <bgColor rgb="FFD9F3DB"/>
        </patternFill>
      </fill>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9"/>
        <color auto="1"/>
        <name val="Calibri"/>
        <family val="2"/>
        <scheme val="none"/>
      </font>
      <numFmt numFmtId="34" formatCode="_-&quot;$&quot;\ * #,##0.00_-;\-&quot;$&quot;\ * #,##0.00_-;_-&quot;$&quot;\ * &quot;-&quot;??_-;_-@_-"/>
      <fill>
        <patternFill patternType="solid">
          <fgColor indexed="64"/>
          <bgColor theme="4" tint="0.79998168889431442"/>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auto="1"/>
        <name val="Calibri"/>
        <family val="2"/>
        <scheme val="none"/>
      </font>
      <numFmt numFmtId="34" formatCode="_-&quot;$&quot;\ * #,##0.00_-;\-&quot;$&quot;\ * #,##0.00_-;_-&quot;$&quot;\ * &quot;-&quot;??_-;_-@_-"/>
      <fill>
        <patternFill patternType="solid">
          <fgColor indexed="64"/>
          <bgColor rgb="FFD9F3DB"/>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Calibri"/>
        <family val="2"/>
        <scheme val="none"/>
      </font>
      <numFmt numFmtId="20" formatCode="d\-mmm\-yy"/>
      <fill>
        <patternFill patternType="solid">
          <fgColor indexed="64"/>
          <bgColor theme="4"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auto="1"/>
        <name val="Calibri"/>
        <family val="2"/>
        <scheme val="none"/>
      </font>
      <numFmt numFmtId="20" formatCode="d\-mmm\-yy"/>
      <fill>
        <patternFill patternType="solid">
          <fgColor indexed="64"/>
          <bgColor rgb="FFD9F3DB"/>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Calibri"/>
        <family val="2"/>
        <scheme val="none"/>
      </font>
      <fill>
        <patternFill patternType="solid">
          <fgColor indexed="64"/>
          <bgColor theme="4"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auto="1"/>
        <name val="Calibri"/>
        <family val="2"/>
        <scheme val="none"/>
      </font>
      <fill>
        <patternFill patternType="solid">
          <fgColor indexed="64"/>
          <bgColor rgb="FFD9F3DB"/>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Calibri"/>
        <family val="2"/>
        <scheme val="none"/>
      </font>
      <fill>
        <patternFill patternType="solid">
          <fgColor indexed="64"/>
          <bgColor theme="4"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auto="1"/>
        <name val="Calibri"/>
        <family val="2"/>
        <scheme val="none"/>
      </font>
      <fill>
        <patternFill patternType="solid">
          <fgColor indexed="64"/>
          <bgColor rgb="FFD9F3DB"/>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Calibri"/>
        <family val="2"/>
        <scheme val="none"/>
      </font>
      <numFmt numFmtId="34" formatCode="_-&quot;$&quot;\ * #,##0.00_-;\-&quot;$&quot;\ * #,##0.00_-;_-&quot;$&quot;\ * &quot;-&quot;??_-;_-@_-"/>
      <fill>
        <patternFill patternType="solid">
          <fgColor indexed="64"/>
          <bgColor theme="4" tint="0.79998168889431442"/>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auto="1"/>
        <name val="Calibri"/>
        <family val="2"/>
        <scheme val="none"/>
      </font>
      <numFmt numFmtId="34" formatCode="_-&quot;$&quot;\ * #,##0.00_-;\-&quot;$&quot;\ * #,##0.00_-;_-&quot;$&quot;\ * &quot;-&quot;??_-;_-@_-"/>
      <fill>
        <patternFill patternType="solid">
          <fgColor indexed="64"/>
          <bgColor rgb="FFD9F3DB"/>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Calibri"/>
        <family val="2"/>
        <scheme val="none"/>
      </font>
      <numFmt numFmtId="34" formatCode="_-&quot;$&quot;\ * #,##0.00_-;\-&quot;$&quot;\ * #,##0.00_-;_-&quot;$&quot;\ * &quot;-&quot;??_-;_-@_-"/>
      <fill>
        <patternFill patternType="solid">
          <fgColor indexed="64"/>
          <bgColor theme="4" tint="0.79998168889431442"/>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auto="1"/>
        <name val="Calibri"/>
        <family val="2"/>
        <scheme val="none"/>
      </font>
      <numFmt numFmtId="34" formatCode="_-&quot;$&quot;\ * #,##0.00_-;\-&quot;$&quot;\ * #,##0.00_-;_-&quot;$&quot;\ * &quot;-&quot;??_-;_-@_-"/>
      <fill>
        <patternFill patternType="solid">
          <fgColor indexed="64"/>
          <bgColor rgb="FFD9F3DB"/>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Calibri"/>
        <family val="2"/>
        <scheme val="none"/>
      </font>
      <numFmt numFmtId="34" formatCode="_-&quot;$&quot;\ * #,##0.00_-;\-&quot;$&quot;\ * #,##0.00_-;_-&quot;$&quot;\ * &quot;-&quot;??_-;_-@_-"/>
      <fill>
        <patternFill patternType="solid">
          <fgColor indexed="64"/>
          <bgColor theme="4" tint="0.79998168889431442"/>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auto="1"/>
        <name val="Calibri"/>
        <family val="2"/>
        <scheme val="none"/>
      </font>
      <numFmt numFmtId="34" formatCode="_-&quot;$&quot;\ * #,##0.00_-;\-&quot;$&quot;\ * #,##0.00_-;_-&quot;$&quot;\ * &quot;-&quot;??_-;_-@_-"/>
      <fill>
        <patternFill patternType="solid">
          <fgColor indexed="64"/>
          <bgColor rgb="FFD9F3DB"/>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Calibri"/>
        <family val="2"/>
        <scheme val="none"/>
      </font>
      <numFmt numFmtId="34" formatCode="_-&quot;$&quot;\ * #,##0.00_-;\-&quot;$&quot;\ * #,##0.00_-;_-&quot;$&quot;\ * &quot;-&quot;??_-;_-@_-"/>
      <fill>
        <patternFill patternType="solid">
          <fgColor rgb="FF000000"/>
          <bgColor theme="4" tint="0.79998168889431442"/>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auto="1"/>
        <name val="Calibri"/>
        <family val="2"/>
        <scheme val="none"/>
      </font>
      <numFmt numFmtId="34" formatCode="_-&quot;$&quot;\ * #,##0.00_-;\-&quot;$&quot;\ * #,##0.00_-;_-&quot;$&quot;\ * &quot;-&quot;??_-;_-@_-"/>
      <fill>
        <patternFill patternType="solid">
          <fgColor rgb="FF000000"/>
          <bgColor rgb="FFD9F3DB"/>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Calibri"/>
        <family val="2"/>
        <scheme val="none"/>
      </font>
      <numFmt numFmtId="34" formatCode="_-&quot;$&quot;\ * #,##0.00_-;\-&quot;$&quot;\ * #,##0.00_-;_-&quot;$&quot;\ * &quot;-&quot;??_-;_-@_-"/>
      <fill>
        <patternFill patternType="solid">
          <fgColor rgb="FF000000"/>
          <bgColor theme="4" tint="0.79998168889431442"/>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auto="1"/>
        <name val="Calibri"/>
        <family val="2"/>
        <scheme val="none"/>
      </font>
      <numFmt numFmtId="34" formatCode="_-&quot;$&quot;\ * #,##0.00_-;\-&quot;$&quot;\ * #,##0.00_-;_-&quot;$&quot;\ * &quot;-&quot;??_-;_-@_-"/>
      <fill>
        <patternFill patternType="solid">
          <fgColor rgb="FF000000"/>
          <bgColor rgb="FFD9F3DB"/>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Calibri"/>
        <family val="2"/>
        <scheme val="none"/>
      </font>
      <numFmt numFmtId="167" formatCode="_-&quot;$&quot;\ * #,##0.00_-;\-&quot;$&quot;\ * #,##0.00_-;_-&quot;$&quot;\ * &quot;-&quot;_-;_-@_-"/>
      <fill>
        <patternFill patternType="solid">
          <fgColor rgb="FF000000"/>
          <bgColor theme="4" tint="0.79998168889431442"/>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auto="1"/>
        <name val="Calibri"/>
        <family val="2"/>
        <scheme val="none"/>
      </font>
      <numFmt numFmtId="167" formatCode="_-&quot;$&quot;\ * #,##0.00_-;\-&quot;$&quot;\ * #,##0.00_-;_-&quot;$&quot;\ * &quot;-&quot;_-;_-@_-"/>
      <fill>
        <patternFill patternType="solid">
          <fgColor rgb="FF000000"/>
          <bgColor theme="7" tint="0.39997558519241921"/>
        </patternFill>
      </fill>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Calibri"/>
        <family val="2"/>
        <scheme val="minor"/>
      </font>
      <numFmt numFmtId="20" formatCode="d\-mmm\-yy"/>
      <fill>
        <patternFill patternType="solid">
          <fgColor indexed="64"/>
          <bgColor theme="4" tint="0.79998168889431442"/>
        </patternFill>
      </fill>
      <alignment horizontal="general" vertical="center"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auto="1"/>
        <name val="Calibri"/>
        <family val="2"/>
        <scheme val="minor"/>
      </font>
      <numFmt numFmtId="20" formatCode="d\-mmm\-yy"/>
      <fill>
        <patternFill patternType="solid">
          <fgColor indexed="64"/>
          <bgColor rgb="FFD9F3DB"/>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Calibri"/>
        <family val="2"/>
        <scheme val="none"/>
      </font>
      <numFmt numFmtId="22" formatCode="mmm\-yy"/>
      <fill>
        <patternFill patternType="solid">
          <fgColor rgb="FF000000"/>
          <bgColor theme="4"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auto="1"/>
        <name val="Calibri"/>
        <family val="2"/>
        <scheme val="none"/>
      </font>
      <numFmt numFmtId="22" formatCode="mmm\-yy"/>
      <fill>
        <patternFill patternType="solid">
          <fgColor rgb="FF000000"/>
          <bgColor rgb="FFD9F3DB"/>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Calibri"/>
        <family val="2"/>
        <scheme val="none"/>
      </font>
      <fill>
        <patternFill patternType="solid">
          <fgColor rgb="FF000000"/>
          <bgColor theme="4"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auto="1"/>
        <name val="Calibri"/>
        <family val="2"/>
        <scheme val="none"/>
      </font>
      <fill>
        <patternFill patternType="solid">
          <fgColor rgb="FF000000"/>
          <bgColor rgb="FFD9F3DB"/>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Calibri"/>
        <family val="2"/>
        <scheme val="none"/>
      </font>
      <fill>
        <patternFill patternType="solid">
          <fgColor rgb="FF000000"/>
          <bgColor theme="4"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auto="1"/>
        <name val="Calibri"/>
        <family val="2"/>
        <scheme val="none"/>
      </font>
      <fill>
        <patternFill patternType="solid">
          <fgColor rgb="FF000000"/>
          <bgColor rgb="FFD9F3DB"/>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Calibri"/>
        <family val="2"/>
        <scheme val="none"/>
      </font>
      <fill>
        <patternFill patternType="solid">
          <fgColor indexed="64"/>
          <bgColor theme="4"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auto="1"/>
        <name val="Calibri"/>
        <family val="2"/>
        <scheme val="none"/>
      </font>
      <fill>
        <patternFill patternType="solid">
          <fgColor indexed="64"/>
          <bgColor rgb="FFD9F3DB"/>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Calibri"/>
        <family val="2"/>
        <scheme val="none"/>
      </font>
      <fill>
        <patternFill patternType="solid">
          <fgColor indexed="64"/>
          <bgColor theme="4"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auto="1"/>
        <name val="Calibri"/>
        <family val="2"/>
        <scheme val="none"/>
      </font>
      <fill>
        <patternFill patternType="solid">
          <fgColor indexed="64"/>
          <bgColor rgb="FFD9F3DB"/>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Calibri"/>
        <family val="2"/>
        <scheme val="none"/>
      </font>
      <fill>
        <patternFill patternType="solid">
          <fgColor rgb="FF000000"/>
          <bgColor theme="4"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auto="1"/>
        <name val="Calibri"/>
        <family val="2"/>
        <scheme val="none"/>
      </font>
      <fill>
        <patternFill patternType="solid">
          <fgColor rgb="FF000000"/>
          <bgColor rgb="FFD9F3DB"/>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Calibri"/>
        <family val="2"/>
        <scheme val="none"/>
      </font>
      <numFmt numFmtId="20" formatCode="d\-mmm\-yy"/>
      <fill>
        <patternFill patternType="solid">
          <fgColor rgb="FF000000"/>
          <bgColor theme="4"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auto="1"/>
        <name val="Calibri"/>
        <family val="2"/>
        <scheme val="none"/>
      </font>
      <numFmt numFmtId="20" formatCode="d\-mmm\-yy"/>
      <fill>
        <patternFill patternType="solid">
          <fgColor rgb="FF000000"/>
          <bgColor rgb="FFD9F3DB"/>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Calibri"/>
        <family val="2"/>
        <scheme val="none"/>
      </font>
      <numFmt numFmtId="20" formatCode="d\-mmm\-yy"/>
      <fill>
        <patternFill patternType="solid">
          <fgColor rgb="FF000000"/>
          <bgColor theme="4"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auto="1"/>
        <name val="Calibri"/>
        <family val="2"/>
        <scheme val="none"/>
      </font>
      <numFmt numFmtId="20" formatCode="d\-mmm\-yy"/>
      <fill>
        <patternFill patternType="solid">
          <fgColor rgb="FF000000"/>
          <bgColor rgb="FFD9F3DB"/>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Calibri"/>
        <family val="2"/>
        <scheme val="none"/>
      </font>
      <fill>
        <patternFill patternType="solid">
          <fgColor indexed="64"/>
          <bgColor theme="4"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auto="1"/>
        <name val="Calibri"/>
        <family val="2"/>
        <scheme val="none"/>
      </font>
      <fill>
        <patternFill patternType="solid">
          <fgColor indexed="64"/>
          <bgColor rgb="FFD9F3DB"/>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tint="0.14999847407452621"/>
        <name val="Calibri"/>
        <family val="2"/>
        <scheme val="minor"/>
      </font>
      <numFmt numFmtId="34" formatCode="_-&quot;$&quot;\ * #,##0.00_-;\-&quot;$&quot;\ * #,##0.00_-;_-&quot;$&quot;\ * &quot;-&quot;??_-;_-@_-"/>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8"/>
        <color auto="1"/>
        <name val="Calibri"/>
        <family val="2"/>
        <scheme val="none"/>
      </font>
      <numFmt numFmtId="34" formatCode="_-&quot;$&quot;\ * #,##0.00_-;\-&quot;$&quot;\ * #,##0.00_-;_-&quot;$&quot;\ *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bottom style="thin">
          <color auto="1"/>
        </bottom>
      </border>
    </dxf>
    <dxf>
      <font>
        <b val="0"/>
        <i val="0"/>
        <strike val="0"/>
        <condense val="0"/>
        <extend val="0"/>
        <outline val="0"/>
        <shadow val="0"/>
        <u val="none"/>
        <vertAlign val="baseline"/>
        <sz val="8"/>
        <color auto="1"/>
        <name val="Calibri"/>
        <family val="2"/>
        <scheme val="none"/>
      </font>
      <numFmt numFmtId="34" formatCode="_-&quot;$&quot;\ * #,##0.00_-;\-&quot;$&quot;\ * #,##0.00_-;_-&quot;$&quot;\ *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numFmt numFmtId="34" formatCode="_-&quot;$&quot;\ * #,##0.00_-;\-&quot;$&quot;\ * #,##0.00_-;_-&quot;$&quot;\ *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numFmt numFmtId="34" formatCode="_-&quot;$&quot;\ * #,##0.00_-;\-&quot;$&quot;\ * #,##0.00_-;_-&quot;$&quot;\ *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numFmt numFmtId="34" formatCode="_-&quot;$&quot;\ * #,##0.00_-;\-&quot;$&quot;\ * #,##0.00_-;_-&quot;$&quot;\ *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numFmt numFmtId="34" formatCode="_-&quot;$&quot;\ * #,##0.00_-;\-&quot;$&quot;\ * #,##0.00_-;_-&quot;$&quot;\ *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numFmt numFmtId="34" formatCode="_-&quot;$&quot;\ * #,##0.00_-;\-&quot;$&quot;\ * #,##0.00_-;_-&quot;$&quot;\ *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numFmt numFmtId="22" formatCode="mmm\-yy"/>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8"/>
        <color auto="1"/>
        <name val="Calibri"/>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numFmt numFmtId="20" formatCode="d\-mmm\-yy"/>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auto="1"/>
        <name val="Calibri"/>
        <family val="2"/>
        <scheme val="minor"/>
      </font>
      <numFmt numFmtId="34" formatCode="_-&quot;$&quot;\ * #,##0.00_-;\-&quot;$&quot;\ * #,##0.00_-;_-&quot;$&quot;\ * &quot;-&quot;??_-;_-@_-"/>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top style="thin">
          <color auto="1"/>
        </top>
        <bottom/>
      </border>
    </dxf>
    <dxf>
      <font>
        <b val="0"/>
        <i val="0"/>
        <strike val="0"/>
        <condense val="0"/>
        <extend val="0"/>
        <outline val="0"/>
        <shadow val="0"/>
        <u val="none"/>
        <vertAlign val="baseline"/>
        <sz val="8"/>
        <color auto="1"/>
        <name val="Calibri"/>
        <family val="2"/>
        <scheme val="none"/>
      </font>
      <numFmt numFmtId="20" formatCode="d\-mmm\-yy"/>
      <fill>
        <patternFill patternType="solid">
          <fgColor rgb="FF000000"/>
          <bgColor rgb="FFDDEBF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8"/>
        <color auto="1"/>
        <name val="Calibri"/>
        <family val="2"/>
        <scheme val="minor"/>
      </font>
      <fill>
        <patternFill patternType="solid">
          <fgColor indexed="64"/>
          <bgColor rgb="FFDDEBF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8"/>
        <color auto="1"/>
        <name val="Calibri"/>
        <family val="2"/>
        <scheme val="minor"/>
      </font>
      <fill>
        <patternFill patternType="solid">
          <fgColor indexed="64"/>
          <bgColor rgb="FFDDEBF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8"/>
        <color auto="1"/>
        <name val="Calibri"/>
        <family val="2"/>
        <scheme val="none"/>
      </font>
      <numFmt numFmtId="34" formatCode="_-&quot;$&quot;\ * #,##0.00_-;\-&quot;$&quot;\ * #,##0.00_-;_-&quot;$&quot;\ * &quot;-&quot;??_-;_-@_-"/>
      <fill>
        <patternFill patternType="solid">
          <fgColor indexed="64"/>
          <bgColor rgb="FFDDEBF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8"/>
        <color auto="1"/>
        <name val="Calibri"/>
        <family val="2"/>
        <scheme val="none"/>
      </font>
      <numFmt numFmtId="34" formatCode="_-&quot;$&quot;\ * #,##0.00_-;\-&quot;$&quot;\ * #,##0.00_-;_-&quot;$&quot;\ * &quot;-&quot;??_-;_-@_-"/>
      <fill>
        <patternFill patternType="solid">
          <fgColor indexed="64"/>
          <bgColor rgb="FFDDEBF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8"/>
        <color auto="1"/>
        <name val="Calibri"/>
        <family val="2"/>
        <scheme val="none"/>
      </font>
      <numFmt numFmtId="34" formatCode="_-&quot;$&quot;\ * #,##0.00_-;\-&quot;$&quot;\ * #,##0.00_-;_-&quot;$&quot;\ * &quot;-&quot;??_-;_-@_-"/>
      <fill>
        <patternFill patternType="solid">
          <fgColor indexed="64"/>
          <bgColor rgb="FFDDEBF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8"/>
        <color auto="1"/>
        <name val="Calibri"/>
        <family val="2"/>
        <scheme val="none"/>
      </font>
      <numFmt numFmtId="34" formatCode="_-&quot;$&quot;\ * #,##0.00_-;\-&quot;$&quot;\ * #,##0.00_-;_-&quot;$&quot;\ * &quot;-&quot;??_-;_-@_-"/>
      <fill>
        <patternFill patternType="solid">
          <fgColor indexed="64"/>
          <bgColor rgb="FFDDEBF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8"/>
        <color auto="1"/>
        <name val="Calibri"/>
        <family val="2"/>
        <scheme val="none"/>
      </font>
      <numFmt numFmtId="34" formatCode="_-&quot;$&quot;\ * #,##0.00_-;\-&quot;$&quot;\ * #,##0.00_-;_-&quot;$&quot;\ * &quot;-&quot;??_-;_-@_-"/>
      <fill>
        <patternFill patternType="solid">
          <fgColor indexed="64"/>
          <bgColor rgb="FFDDEBF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8"/>
        <color auto="1"/>
        <name val="Calibri"/>
        <family val="2"/>
        <scheme val="none"/>
      </font>
      <numFmt numFmtId="34" formatCode="_-&quot;$&quot;\ * #,##0.00_-;\-&quot;$&quot;\ * #,##0.00_-;_-&quot;$&quot;\ * &quot;-&quot;??_-;_-@_-"/>
      <fill>
        <patternFill patternType="solid">
          <fgColor indexed="64"/>
          <bgColor rgb="FFDDEBF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8"/>
        <color auto="1"/>
        <name val="Calibri"/>
        <family val="2"/>
        <scheme val="none"/>
      </font>
      <numFmt numFmtId="34" formatCode="_-&quot;$&quot;\ * #,##0.00_-;\-&quot;$&quot;\ * #,##0.00_-;_-&quot;$&quot;\ * &quot;-&quot;??_-;_-@_-"/>
      <fill>
        <patternFill patternType="solid">
          <fgColor indexed="64"/>
          <bgColor rgb="FFDDEBF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8"/>
        <color auto="1"/>
        <name val="Calibri"/>
        <family val="2"/>
        <scheme val="none"/>
      </font>
      <numFmt numFmtId="3" formatCode="#,##0"/>
      <fill>
        <patternFill patternType="solid">
          <fgColor indexed="64"/>
          <bgColor rgb="FFDDEBF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8"/>
        <color auto="1"/>
        <name val="Calibri"/>
        <family val="2"/>
        <scheme val="none"/>
      </font>
      <fill>
        <patternFill patternType="solid">
          <fgColor indexed="64"/>
          <bgColor rgb="FFDDEBF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8"/>
        <color auto="1"/>
        <name val="Calibri"/>
        <family val="2"/>
        <scheme val="none"/>
      </font>
      <numFmt numFmtId="22" formatCode="mmm\-yy"/>
      <fill>
        <patternFill patternType="solid">
          <fgColor indexed="64"/>
          <bgColor rgb="FFDDEBF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8"/>
        <color auto="1"/>
        <name val="Calibri"/>
        <family val="2"/>
        <scheme val="none"/>
      </font>
      <numFmt numFmtId="34" formatCode="_-&quot;$&quot;\ * #,##0.00_-;\-&quot;$&quot;\ * #,##0.00_-;_-&quot;$&quot;\ * &quot;-&quot;??_-;_-@_-"/>
      <fill>
        <patternFill patternType="solid">
          <fgColor indexed="64"/>
          <bgColor rgb="FFFFFFFF"/>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8"/>
        <color auto="1"/>
        <name val="Calibri"/>
        <family val="2"/>
        <scheme val="none"/>
      </font>
      <fill>
        <patternFill patternType="solid">
          <fgColor indexed="64"/>
          <bgColor rgb="FFDDEBF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8"/>
        <color auto="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8"/>
        <color auto="1"/>
        <name val="Calibri"/>
        <family val="2"/>
        <scheme val="none"/>
      </font>
      <numFmt numFmtId="20" formatCode="d\-mmm\-yy"/>
      <fill>
        <patternFill patternType="solid">
          <fgColor indexed="64"/>
          <bgColor rgb="FFDDEBF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8"/>
        <color auto="1"/>
        <name val="Calibri"/>
        <family val="2"/>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8"/>
        <color auto="1"/>
        <name val="Calibri"/>
        <family val="2"/>
        <scheme val="none"/>
      </font>
      <fill>
        <patternFill patternType="solid">
          <fgColor indexed="64"/>
          <bgColor rgb="FFFFFFFF"/>
        </patternFill>
      </fill>
      <alignment horizontal="center" vertical="center" textRotation="0" wrapText="0" indent="0" justifyLastLine="0" shrinkToFit="0" readingOrder="0"/>
      <border diagonalUp="0" diagonalDown="0" outline="0">
        <left/>
        <right style="thin">
          <color auto="1"/>
        </right>
        <top style="thin">
          <color auto="1"/>
        </top>
        <bottom/>
      </border>
    </dxf>
    <dxf>
      <font>
        <b val="0"/>
        <i val="0"/>
        <strike val="0"/>
        <condense val="0"/>
        <extend val="0"/>
        <outline val="0"/>
        <shadow val="0"/>
        <u val="none"/>
        <vertAlign val="baseline"/>
        <sz val="8"/>
        <color auto="1"/>
        <name val="Calibri"/>
        <family val="2"/>
        <scheme val="minor"/>
      </font>
      <numFmt numFmtId="34" formatCode="_-&quot;$&quot;\ * #,##0.00_-;\-&quot;$&quot;\ * #,##0.00_-;_-&quot;$&quot;\ * &quot;-&quot;??_-;_-@_-"/>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8"/>
        <color auto="1"/>
        <name val="Calibri"/>
        <family val="2"/>
        <scheme val="none"/>
      </font>
      <numFmt numFmtId="20" formatCode="d\-mmm\-yy"/>
      <fill>
        <patternFill patternType="solid">
          <fgColor rgb="FF000000"/>
          <bgColor rgb="FFDDEBF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auto="1"/>
        <name val="Calibri"/>
        <family val="2"/>
        <scheme val="minor"/>
      </font>
      <fill>
        <patternFill patternType="solid">
          <fgColor indexed="64"/>
          <bgColor rgb="FFDDEBF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auto="1"/>
        <name val="Calibri"/>
        <family val="2"/>
        <scheme val="minor"/>
      </font>
      <fill>
        <patternFill patternType="solid">
          <fgColor indexed="64"/>
          <bgColor rgb="FFDDEBF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auto="1"/>
        <name val="Calibri"/>
        <family val="2"/>
        <scheme val="none"/>
      </font>
      <numFmt numFmtId="34" formatCode="_-&quot;$&quot;\ * #,##0.00_-;\-&quot;$&quot;\ * #,##0.00_-;_-&quot;$&quot;\ * &quot;-&quot;??_-;_-@_-"/>
      <fill>
        <patternFill patternType="solid">
          <fgColor indexed="64"/>
          <bgColor rgb="FFDDEBF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auto="1"/>
        <name val="Calibri"/>
        <family val="2"/>
        <scheme val="none"/>
      </font>
      <numFmt numFmtId="34" formatCode="_-&quot;$&quot;\ * #,##0.00_-;\-&quot;$&quot;\ * #,##0.00_-;_-&quot;$&quot;\ * &quot;-&quot;??_-;_-@_-"/>
      <fill>
        <patternFill patternType="solid">
          <fgColor indexed="64"/>
          <bgColor rgb="FFDDEBF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auto="1"/>
        <name val="Calibri"/>
        <family val="2"/>
        <scheme val="none"/>
      </font>
      <numFmt numFmtId="34" formatCode="_-&quot;$&quot;\ * #,##0.00_-;\-&quot;$&quot;\ * #,##0.00_-;_-&quot;$&quot;\ * &quot;-&quot;??_-;_-@_-"/>
      <fill>
        <patternFill patternType="solid">
          <fgColor indexed="64"/>
          <bgColor rgb="FFDDEBF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auto="1"/>
        <name val="Calibri"/>
        <family val="2"/>
        <scheme val="none"/>
      </font>
      <numFmt numFmtId="34" formatCode="_-&quot;$&quot;\ * #,##0.00_-;\-&quot;$&quot;\ * #,##0.00_-;_-&quot;$&quot;\ * &quot;-&quot;??_-;_-@_-"/>
      <fill>
        <patternFill patternType="solid">
          <fgColor indexed="64"/>
          <bgColor rgb="FFDDEBF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auto="1"/>
        <name val="Calibri"/>
        <family val="2"/>
        <scheme val="none"/>
      </font>
      <numFmt numFmtId="34" formatCode="_-&quot;$&quot;\ * #,##0.00_-;\-&quot;$&quot;\ * #,##0.00_-;_-&quot;$&quot;\ * &quot;-&quot;??_-;_-@_-"/>
      <fill>
        <patternFill patternType="solid">
          <fgColor indexed="64"/>
          <bgColor rgb="FFDDEBF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auto="1"/>
        <name val="Calibri"/>
        <family val="2"/>
        <scheme val="none"/>
      </font>
      <numFmt numFmtId="34" formatCode="_-&quot;$&quot;\ * #,##0.00_-;\-&quot;$&quot;\ * #,##0.00_-;_-&quot;$&quot;\ * &quot;-&quot;??_-;_-@_-"/>
      <fill>
        <patternFill patternType="solid">
          <fgColor indexed="64"/>
          <bgColor rgb="FFDDEBF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auto="1"/>
        <name val="Calibri"/>
        <family val="2"/>
        <scheme val="none"/>
      </font>
      <numFmt numFmtId="34" formatCode="_-&quot;$&quot;\ * #,##0.00_-;\-&quot;$&quot;\ * #,##0.00_-;_-&quot;$&quot;\ * &quot;-&quot;??_-;_-@_-"/>
      <fill>
        <patternFill patternType="solid">
          <fgColor indexed="64"/>
          <bgColor rgb="FFDDEBF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auto="1"/>
        <name val="Calibri"/>
        <family val="2"/>
        <scheme val="none"/>
      </font>
      <numFmt numFmtId="3" formatCode="#,##0"/>
      <fill>
        <patternFill patternType="solid">
          <fgColor indexed="64"/>
          <bgColor rgb="FFDDEBF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auto="1"/>
        <name val="Calibri"/>
        <family val="2"/>
        <scheme val="none"/>
      </font>
      <fill>
        <patternFill patternType="solid">
          <fgColor indexed="64"/>
          <bgColor rgb="FFDDEBF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auto="1"/>
        <name val="Calibri"/>
        <family val="2"/>
        <scheme val="none"/>
      </font>
      <numFmt numFmtId="22" formatCode="mmm\-yy"/>
      <fill>
        <patternFill patternType="solid">
          <fgColor indexed="64"/>
          <bgColor rgb="FFDDEBF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auto="1"/>
        <name val="Calibri"/>
        <family val="2"/>
        <scheme val="none"/>
      </font>
      <numFmt numFmtId="34" formatCode="_-&quot;$&quot;\ * #,##0.00_-;\-&quot;$&quot;\ * #,##0.00_-;_-&quot;$&quot;\ * &quot;-&quot;??_-;_-@_-"/>
      <fill>
        <patternFill patternType="solid">
          <fgColor indexed="64"/>
          <bgColor rgb="FFFFFFFF"/>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auto="1"/>
        <name val="Calibri"/>
        <family val="2"/>
        <scheme val="none"/>
      </font>
      <fill>
        <patternFill patternType="solid">
          <fgColor indexed="64"/>
          <bgColor rgb="FFDDEBF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auto="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auto="1"/>
        <name val="Calibri"/>
        <family val="2"/>
        <scheme val="none"/>
      </font>
      <numFmt numFmtId="20" formatCode="d\-mmm\-yy"/>
      <fill>
        <patternFill patternType="solid">
          <fgColor indexed="64"/>
          <bgColor rgb="FFDDEBF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auto="1"/>
        <name val="Calibri"/>
        <family val="2"/>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auto="1"/>
        <name val="Calibri"/>
        <family val="2"/>
        <scheme val="none"/>
      </font>
      <fill>
        <patternFill patternType="solid">
          <fgColor indexed="64"/>
          <bgColor rgb="FFFFFFFF"/>
        </patternFill>
      </fill>
      <alignment horizontal="center" vertical="center" textRotation="0" wrapText="0" indent="0" justifyLastLine="0" shrinkToFit="0" readingOrder="0"/>
      <border diagonalUp="0" diagonalDown="0" outline="0">
        <left/>
        <right style="thin">
          <color auto="1"/>
        </right>
        <top style="thin">
          <color auto="1"/>
        </top>
        <bottom style="thin">
          <color auto="1"/>
        </bottom>
      </border>
    </dxf>
    <dxf>
      <numFmt numFmtId="168" formatCode="_-* #,##0_-;\-* #,##0_-;_-* &quot;-&quot;??_-;_-@_-"/>
    </dxf>
    <dxf>
      <numFmt numFmtId="168" formatCode="_-* #,##0_-;\-* #,##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 formatCode="0"/>
    </dxf>
    <dxf>
      <numFmt numFmtId="1" formatCode="0"/>
    </dxf>
    <dxf>
      <numFmt numFmtId="164" formatCode="_(&quot;$&quot;* #,##0.00_);_(&quot;$&quot;* \(#,##0.00\);_(&quot;$&quot;* &quot;-&quot;??_);_(@_)"/>
    </dxf>
    <dxf>
      <border diagonalUp="0" diagonalDown="0" outline="0">
        <left/>
        <right/>
        <top style="thin">
          <color auto="1"/>
        </top>
        <bottom/>
      </border>
    </dxf>
    <dxf>
      <fill>
        <patternFill>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right/>
        <top style="thin">
          <color auto="1"/>
        </top>
        <bottom/>
      </border>
    </dxf>
    <dxf>
      <fill>
        <patternFill>
          <bgColor theme="0"/>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alignment horizontal="center" vertical="bottom" textRotation="0" wrapText="0" indent="0" justifyLastLine="0" shrinkToFit="0" readingOrder="0"/>
      <border diagonalUp="0" diagonalDown="0" outline="0">
        <left/>
        <right/>
        <top style="thin">
          <color auto="1"/>
        </top>
        <bottom/>
      </border>
    </dxf>
    <dxf>
      <font>
        <b val="0"/>
        <i val="0"/>
        <strike val="0"/>
        <condense val="0"/>
        <extend val="0"/>
        <outline val="0"/>
        <shadow val="0"/>
        <u val="none"/>
        <vertAlign val="baseline"/>
        <sz val="9"/>
        <color theme="1"/>
        <name val="Calibri"/>
        <family val="2"/>
        <scheme val="minor"/>
      </font>
      <fill>
        <patternFill>
          <bgColor theme="0"/>
        </patternFill>
      </fill>
      <alignment horizontal="center" vertical="center" textRotation="0" wrapText="0" indent="0" justifyLastLine="0" shrinkToFit="0" readingOrder="0"/>
      <border diagonalUp="0" diagonalDown="0" outline="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auto="1"/>
        </left>
        <right/>
        <top style="thin">
          <color auto="1"/>
        </top>
        <bottom/>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theme="1"/>
        <name val="Calibri"/>
        <family val="2"/>
        <scheme val="minor"/>
      </font>
      <numFmt numFmtId="19" formatCode="d/mm/yyyy"/>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theme="1"/>
        <name val="Calibri"/>
        <family val="2"/>
        <scheme val="minor"/>
      </font>
      <numFmt numFmtId="19" formatCode="d/mm/yyyy"/>
      <fill>
        <patternFill patternType="solid">
          <fgColor indexed="64"/>
          <bgColor theme="0"/>
        </patternFill>
      </fill>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numFmt numFmtId="19" formatCode="d/mm/yyyy"/>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theme="1"/>
        <name val="Calibri"/>
        <family val="2"/>
        <scheme val="minor"/>
      </font>
      <numFmt numFmtId="19" formatCode="d/mm/yyyy"/>
      <fill>
        <patternFill>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theme="1"/>
        <name val="Calibri"/>
        <family val="2"/>
        <scheme val="minor"/>
      </font>
      <numFmt numFmtId="0" formatCode="General"/>
      <fill>
        <patternFill>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theme="1"/>
        <name val="Calibri"/>
        <family val="2"/>
        <scheme val="minor"/>
      </font>
      <numFmt numFmtId="164" formatCode="_(&quot;$&quot;* #,##0.00_);_(&quot;$&quot;* \(#,##0.00\);_(&quot;$&quot;* &quot;-&quot;??_);_(@_)"/>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theme="1"/>
        <name val="Calibri"/>
        <family val="2"/>
        <scheme val="minor"/>
      </font>
      <numFmt numFmtId="19" formatCode="d/mm/yyyy"/>
      <fill>
        <patternFill patternType="solid">
          <fgColor indexed="64"/>
          <bgColor theme="0"/>
        </patternFill>
      </fill>
      <alignment horizontal="center" vertical="bottom" textRotation="0" wrapText="0" indent="0" justifyLastLine="0" shrinkToFit="0" readingOrder="0"/>
      <border diagonalUp="0" diagonalDown="0" outline="0">
        <left/>
        <right style="thin">
          <color auto="1"/>
        </right>
        <top style="thin">
          <color auto="1"/>
        </top>
        <bottom/>
      </border>
    </dxf>
    <dxf>
      <font>
        <b val="0"/>
        <i val="0"/>
        <strike val="0"/>
        <condense val="0"/>
        <extend val="0"/>
        <outline val="0"/>
        <shadow val="0"/>
        <u val="none"/>
        <vertAlign val="baseline"/>
        <sz val="9"/>
        <color theme="1"/>
        <name val="Calibri"/>
        <family val="2"/>
        <scheme val="minor"/>
      </font>
      <numFmt numFmtId="19" formatCode="d/mm/yyyy"/>
      <fill>
        <patternFill patternType="solid">
          <fgColor indexed="64"/>
          <bgColor theme="0"/>
        </patternFill>
      </fill>
      <alignment horizontal="center" vertical="bottom" textRotation="0" wrapText="0"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ill>
        <patternFill>
          <bgColor theme="0"/>
        </patternFill>
      </fill>
    </dxf>
    <dxf>
      <border outline="0">
        <bottom style="thin">
          <color auto="1"/>
        </bottom>
      </border>
    </dxf>
    <dxf>
      <font>
        <b/>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numFmt numFmtId="164" formatCode="_(&quot;$&quot;* #,##0.00_);_(&quot;$&quot;* \(#,##0.00\);_(&quot;$&quot;* &quot;-&quot;??_);_(@_)"/>
    </dxf>
    <dxf>
      <numFmt numFmtId="164" formatCode="_(&quot;$&quot;* #,##0.00_);_(&quot;$&quot;* \(#,##0.00\);_(&quot;$&quot;* &quot;-&quot;??_);_(@_)"/>
    </dxf>
    <dxf>
      <numFmt numFmtId="35" formatCode="_-* #,##0.00_-;\-* #,##0.00_-;_-* &quot;-&quot;??_-;_-@_-"/>
    </dxf>
    <dxf>
      <numFmt numFmtId="35" formatCode="_-* #,##0.00_-;\-* #,##0.00_-;_-* &quot;-&quot;??_-;_-@_-"/>
    </dxf>
    <dxf>
      <numFmt numFmtId="3" formatCode="#,##0"/>
    </dxf>
    <dxf>
      <numFmt numFmtId="3" formatCode="#,##0"/>
    </dxf>
    <dxf>
      <numFmt numFmtId="3" formatCode="#,##0"/>
    </dxf>
    <dxf>
      <numFmt numFmtId="3" formatCode="#,##0"/>
    </dxf>
    <dxf>
      <font>
        <b val="0"/>
        <i val="0"/>
        <strike val="0"/>
        <condense val="0"/>
        <extend val="0"/>
        <outline val="0"/>
        <shadow val="0"/>
        <u val="none"/>
        <vertAlign val="baseline"/>
        <sz val="9"/>
        <color theme="1"/>
        <name val="Calibri"/>
        <family val="2"/>
        <scheme val="minor"/>
      </font>
      <fill>
        <patternFill patternType="solid">
          <fgColor indexed="64"/>
          <bgColor theme="9" tint="0.59999389629810485"/>
        </patternFill>
      </fill>
      <alignment horizontal="center" vertical="center"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numFmt numFmtId="19" formatCode="d/mm/yy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numFmt numFmtId="19" formatCode="d/mm/yy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numFmt numFmtId="0" formatCode="General"/>
      <alignment horizontal="center" vertical="center" textRotation="0" wrapText="0" indent="0" justifyLastLine="0" shrinkToFit="0" readingOrder="0"/>
      <border diagonalUp="0" diagonalDown="0">
        <left/>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numFmt numFmtId="0" formatCode="General"/>
      <alignment horizontal="center" vertical="center" textRotation="0" wrapText="0" indent="0" justifyLastLine="0" shrinkToFit="0" readingOrder="0"/>
      <border diagonalUp="0" diagonalDown="0">
        <left/>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border diagonalUp="0" diagonalDown="0" outline="0">
        <left style="thin">
          <color auto="1"/>
        </left>
        <right style="thin">
          <color auto="1"/>
        </right>
        <top/>
        <bottom/>
      </border>
    </dxf>
    <dxf>
      <alignment horizontal="center" vertical="center" textRotation="0" indent="0" justifyLastLine="0" shrinkToFit="0" readingOrder="0"/>
    </dxf>
    <dxf>
      <border outline="0">
        <left style="thin">
          <color auto="1"/>
        </left>
        <right style="thin">
          <color auto="1"/>
        </right>
        <top style="thin">
          <color auto="1"/>
        </top>
        <bottom style="thin">
          <color auto="1"/>
        </bottom>
      </border>
    </dxf>
    <dxf>
      <alignment horizontal="center" vertical="center" textRotation="0" indent="0" justifyLastLine="0" shrinkToFit="0" readingOrder="0"/>
    </dxf>
    <dxf>
      <border outline="0">
        <bottom style="thin">
          <color auto="1"/>
        </bottom>
      </border>
    </dxf>
    <dxf>
      <alignment horizontal="center" vertical="center" textRotation="0" indent="0" justifyLastLine="0" shrinkToFit="0" readingOrder="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outline="0">
        <bottom style="thin">
          <color auto="1"/>
        </bottom>
      </border>
    </dxf>
    <dxf>
      <numFmt numFmtId="164" formatCode="_(&quot;$&quot;* #,##0.00_);_(&quot;$&quot;* \(#,##0.00\);_(&quot;$&quot;* &quot;-&quot;??_);_(@_)"/>
    </dxf>
    <dxf>
      <numFmt numFmtId="169" formatCode="&quot;$&quot;\ #,##0.00"/>
    </dxf>
    <dxf>
      <numFmt numFmtId="169" formatCode="&quot;$&quot;\ #,##0.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outline="0">
        <top style="thin">
          <color auto="1"/>
        </top>
      </border>
    </dxf>
    <dxf>
      <border outline="0">
        <right style="thin">
          <color auto="1"/>
        </right>
        <top style="thin">
          <color auto="1"/>
        </top>
        <bottom style="thin">
          <color auto="1"/>
        </bottom>
      </border>
    </dxf>
    <dxf>
      <border outline="0">
        <bottom style="thin">
          <color auto="1"/>
        </bottom>
      </border>
    </dxf>
  </dxfs>
  <tableStyles count="1" defaultTableStyle="TableStyleMedium2" defaultPivotStyle="PivotStyleLight16">
    <tableStyle name="Estilo de tabla 1" pivot="0" count="0" xr9:uid="{B946930A-A62A-45BE-8267-437A8E84F269}"/>
  </tableStyles>
  <colors>
    <mruColors>
      <color rgb="FFD4ECF8"/>
      <color rgb="FFFFCC99"/>
      <color rgb="FFFFCCCC"/>
      <color rgb="FFD9F3DB"/>
      <color rgb="FF99CCFF"/>
      <color rgb="FFDDEBF7"/>
      <color rgb="FFF8D4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microsoft.com/office/2007/relationships/slicerCache" Target="slicerCaches/slicerCache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6.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07/relationships/slicerCache" Target="slicerCaches/slicerCache5.xml"/><Relationship Id="rId28"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4.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[Informe recaudos septiembre 202.xlsx]Tabla Inm.!TablaDinámica2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Valor</a:t>
            </a:r>
            <a:r>
              <a:rPr lang="es-CO" baseline="0"/>
              <a:t> a consignar - Valor pagado Año</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 Inm.'!$G$2</c:f>
              <c:strCache>
                <c:ptCount val="1"/>
                <c:pt idx="0">
                  <c:v>Suma de Valor a Consignar a la ANI</c:v>
                </c:pt>
              </c:strCache>
            </c:strRef>
          </c:tx>
          <c:spPr>
            <a:solidFill>
              <a:schemeClr val="accent1"/>
            </a:solidFill>
            <a:ln>
              <a:noFill/>
            </a:ln>
            <a:effectLst/>
          </c:spPr>
          <c:invertIfNegative val="0"/>
          <c:cat>
            <c:multiLvlStrRef>
              <c:f>'Tabla Inm.'!$F$3:$F$11</c:f>
              <c:multiLvlStrCache>
                <c:ptCount val="4"/>
                <c:lvl>
                  <c:pt idx="0">
                    <c:v>2025</c:v>
                  </c:pt>
                  <c:pt idx="1">
                    <c:v>2025</c:v>
                  </c:pt>
                  <c:pt idx="2">
                    <c:v>2025</c:v>
                  </c:pt>
                  <c:pt idx="3">
                    <c:v>2025</c:v>
                  </c:pt>
                </c:lvl>
                <c:lvl>
                  <c:pt idx="0">
                    <c:v>CEMENTOS ARGOS</c:v>
                  </c:pt>
                  <c:pt idx="1">
                    <c:v>Fideicomiso Sociedad  Fiduciaria de occidente</c:v>
                  </c:pt>
                  <c:pt idx="2">
                    <c:v>Turistren </c:v>
                  </c:pt>
                  <c:pt idx="3">
                    <c:v>JE JAIMES Ingenieros S.A.S</c:v>
                  </c:pt>
                </c:lvl>
              </c:multiLvlStrCache>
            </c:multiLvlStrRef>
          </c:cat>
          <c:val>
            <c:numRef>
              <c:f>'Tabla Inm.'!$G$3:$G$11</c:f>
              <c:numCache>
                <c:formatCode>"$"\ #,##0.00</c:formatCode>
                <c:ptCount val="4"/>
                <c:pt idx="0">
                  <c:v>229642007.1344538</c:v>
                </c:pt>
                <c:pt idx="1">
                  <c:v>95007126.243697479</c:v>
                </c:pt>
                <c:pt idx="2">
                  <c:v>318508228.79999995</c:v>
                </c:pt>
                <c:pt idx="3">
                  <c:v>25516994.302521016</c:v>
                </c:pt>
              </c:numCache>
            </c:numRef>
          </c:val>
          <c:extLst>
            <c:ext xmlns:c16="http://schemas.microsoft.com/office/drawing/2014/chart" uri="{C3380CC4-5D6E-409C-BE32-E72D297353CC}">
              <c16:uniqueId val="{00000000-AE51-41F6-AA17-92EBAD60DA68}"/>
            </c:ext>
          </c:extLst>
        </c:ser>
        <c:dLbls>
          <c:showLegendKey val="0"/>
          <c:showVal val="0"/>
          <c:showCatName val="0"/>
          <c:showSerName val="0"/>
          <c:showPercent val="0"/>
          <c:showBubbleSize val="0"/>
        </c:dLbls>
        <c:gapWidth val="219"/>
        <c:overlap val="-27"/>
        <c:axId val="1422343168"/>
        <c:axId val="1422343648"/>
      </c:barChart>
      <c:lineChart>
        <c:grouping val="standard"/>
        <c:varyColors val="0"/>
        <c:ser>
          <c:idx val="1"/>
          <c:order val="1"/>
          <c:tx>
            <c:strRef>
              <c:f>'Tabla Inm.'!$H$2</c:f>
              <c:strCache>
                <c:ptCount val="1"/>
                <c:pt idx="0">
                  <c:v>Suma de Valor Pagado</c:v>
                </c:pt>
              </c:strCache>
            </c:strRef>
          </c:tx>
          <c:spPr>
            <a:ln w="28575" cap="rnd">
              <a:solidFill>
                <a:schemeClr val="accent2"/>
              </a:solidFill>
              <a:round/>
            </a:ln>
            <a:effectLst/>
          </c:spPr>
          <c:marker>
            <c:symbol val="none"/>
          </c:marker>
          <c:cat>
            <c:multiLvlStrRef>
              <c:f>'Tabla Inm.'!$F$3:$F$11</c:f>
              <c:multiLvlStrCache>
                <c:ptCount val="4"/>
                <c:lvl>
                  <c:pt idx="0">
                    <c:v>2025</c:v>
                  </c:pt>
                  <c:pt idx="1">
                    <c:v>2025</c:v>
                  </c:pt>
                  <c:pt idx="2">
                    <c:v>2025</c:v>
                  </c:pt>
                  <c:pt idx="3">
                    <c:v>2025</c:v>
                  </c:pt>
                </c:lvl>
                <c:lvl>
                  <c:pt idx="0">
                    <c:v>CEMENTOS ARGOS</c:v>
                  </c:pt>
                  <c:pt idx="1">
                    <c:v>Fideicomiso Sociedad  Fiduciaria de occidente</c:v>
                  </c:pt>
                  <c:pt idx="2">
                    <c:v>Turistren </c:v>
                  </c:pt>
                  <c:pt idx="3">
                    <c:v>JE JAIMES Ingenieros S.A.S</c:v>
                  </c:pt>
                </c:lvl>
              </c:multiLvlStrCache>
            </c:multiLvlStrRef>
          </c:cat>
          <c:val>
            <c:numRef>
              <c:f>'Tabla Inm.'!$H$3:$H$11</c:f>
              <c:numCache>
                <c:formatCode>"$"\ #,##0.00</c:formatCode>
                <c:ptCount val="4"/>
                <c:pt idx="0">
                  <c:v>74473616.966386557</c:v>
                </c:pt>
                <c:pt idx="1">
                  <c:v>45546709.088416144</c:v>
                </c:pt>
                <c:pt idx="2">
                  <c:v>106169409.60000001</c:v>
                </c:pt>
              </c:numCache>
            </c:numRef>
          </c:val>
          <c:smooth val="0"/>
          <c:extLst>
            <c:ext xmlns:c16="http://schemas.microsoft.com/office/drawing/2014/chart" uri="{C3380CC4-5D6E-409C-BE32-E72D297353CC}">
              <c16:uniqueId val="{00000001-AE51-41F6-AA17-92EBAD60DA68}"/>
            </c:ext>
          </c:extLst>
        </c:ser>
        <c:dLbls>
          <c:showLegendKey val="0"/>
          <c:showVal val="0"/>
          <c:showCatName val="0"/>
          <c:showSerName val="0"/>
          <c:showPercent val="0"/>
          <c:showBubbleSize val="0"/>
        </c:dLbls>
        <c:marker val="1"/>
        <c:smooth val="0"/>
        <c:axId val="1422343168"/>
        <c:axId val="1422343648"/>
      </c:lineChart>
      <c:catAx>
        <c:axId val="142234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22343648"/>
        <c:crosses val="autoZero"/>
        <c:auto val="1"/>
        <c:lblAlgn val="ctr"/>
        <c:lblOffset val="100"/>
        <c:noMultiLvlLbl val="0"/>
      </c:catAx>
      <c:valAx>
        <c:axId val="14223436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223431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[Informe recaudos septiembre 202.xlsx]Tabla Inm.!TablaDinámica1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kern="1200" spc="0" baseline="0">
                <a:solidFill>
                  <a:sysClr val="windowText" lastClr="000000">
                    <a:lumMod val="65000"/>
                    <a:lumOff val="35000"/>
                  </a:sysClr>
                </a:solidFill>
              </a:rPr>
              <a:t>Valor a consignar - Valor pagado 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 Inm.'!$B$2</c:f>
              <c:strCache>
                <c:ptCount val="1"/>
                <c:pt idx="0">
                  <c:v>Suma de Valor a Consignar a la ANI</c:v>
                </c:pt>
              </c:strCache>
            </c:strRef>
          </c:tx>
          <c:spPr>
            <a:solidFill>
              <a:schemeClr val="accent1"/>
            </a:solidFill>
            <a:ln>
              <a:noFill/>
            </a:ln>
            <a:effectLst/>
          </c:spPr>
          <c:invertIfNegative val="0"/>
          <c:cat>
            <c:multiLvlStrRef>
              <c:f>'Tabla Inm.'!$A$3:$A$21</c:f>
              <c:multiLvlStrCache>
                <c:ptCount val="9"/>
                <c:lvl>
                  <c:pt idx="0">
                    <c:v>2025</c:v>
                  </c:pt>
                  <c:pt idx="1">
                    <c:v>2025</c:v>
                  </c:pt>
                  <c:pt idx="2">
                    <c:v>2025</c:v>
                  </c:pt>
                  <c:pt idx="3">
                    <c:v>2025</c:v>
                  </c:pt>
                  <c:pt idx="4">
                    <c:v>2025</c:v>
                  </c:pt>
                  <c:pt idx="5">
                    <c:v>2025</c:v>
                  </c:pt>
                  <c:pt idx="6">
                    <c:v>2025</c:v>
                  </c:pt>
                  <c:pt idx="7">
                    <c:v>2025</c:v>
                  </c:pt>
                  <c:pt idx="8">
                    <c:v>2025</c:v>
                  </c:pt>
                </c:lvl>
                <c:lvl>
                  <c:pt idx="0">
                    <c:v>ENE</c:v>
                  </c:pt>
                  <c:pt idx="1">
                    <c:v>FEB</c:v>
                  </c:pt>
                  <c:pt idx="2">
                    <c:v>MAR</c:v>
                  </c:pt>
                  <c:pt idx="3">
                    <c:v>ABR</c:v>
                  </c:pt>
                  <c:pt idx="4">
                    <c:v>MAY</c:v>
                  </c:pt>
                  <c:pt idx="5">
                    <c:v>JUN</c:v>
                  </c:pt>
                  <c:pt idx="6">
                    <c:v>JUL</c:v>
                  </c:pt>
                  <c:pt idx="7">
                    <c:v>AGO</c:v>
                  </c:pt>
                  <c:pt idx="8">
                    <c:v>SEP</c:v>
                  </c:pt>
                </c:lvl>
              </c:multiLvlStrCache>
            </c:multiLvlStrRef>
          </c:cat>
          <c:val>
            <c:numRef>
              <c:f>'Tabla Inm.'!$B$3:$B$21</c:f>
              <c:numCache>
                <c:formatCode>_("$"* #,##0.00_);_("$"* \(#,##0.00\);_("$"* "-"??_);_(@_)</c:formatCode>
                <c:ptCount val="9"/>
                <c:pt idx="0">
                  <c:v>71784133.939495802</c:v>
                </c:pt>
                <c:pt idx="1">
                  <c:v>71784133.939495802</c:v>
                </c:pt>
                <c:pt idx="2">
                  <c:v>85107636.863865554</c:v>
                </c:pt>
                <c:pt idx="3">
                  <c:v>79067067.200000018</c:v>
                </c:pt>
                <c:pt idx="4">
                  <c:v>79067067.200000018</c:v>
                </c:pt>
                <c:pt idx="5">
                  <c:v>73510423.8722689</c:v>
                </c:pt>
                <c:pt idx="6">
                  <c:v>71074948.242016807</c:v>
                </c:pt>
                <c:pt idx="7">
                  <c:v>68639472.611764699</c:v>
                </c:pt>
                <c:pt idx="8">
                  <c:v>68639472.611764699</c:v>
                </c:pt>
              </c:numCache>
            </c:numRef>
          </c:val>
          <c:extLst>
            <c:ext xmlns:c16="http://schemas.microsoft.com/office/drawing/2014/chart" uri="{C3380CC4-5D6E-409C-BE32-E72D297353CC}">
              <c16:uniqueId val="{00000000-01C6-4676-83A1-17517B69FDF2}"/>
            </c:ext>
          </c:extLst>
        </c:ser>
        <c:ser>
          <c:idx val="1"/>
          <c:order val="1"/>
          <c:tx>
            <c:strRef>
              <c:f>'Tabla Inm.'!$C$2</c:f>
              <c:strCache>
                <c:ptCount val="1"/>
                <c:pt idx="0">
                  <c:v>Suma de Valor Pagado</c:v>
                </c:pt>
              </c:strCache>
            </c:strRef>
          </c:tx>
          <c:spPr>
            <a:solidFill>
              <a:schemeClr val="accent2"/>
            </a:solidFill>
            <a:ln>
              <a:noFill/>
            </a:ln>
            <a:effectLst/>
          </c:spPr>
          <c:invertIfNegative val="0"/>
          <c:cat>
            <c:multiLvlStrRef>
              <c:f>'Tabla Inm.'!$A$3:$A$21</c:f>
              <c:multiLvlStrCache>
                <c:ptCount val="9"/>
                <c:lvl>
                  <c:pt idx="0">
                    <c:v>2025</c:v>
                  </c:pt>
                  <c:pt idx="1">
                    <c:v>2025</c:v>
                  </c:pt>
                  <c:pt idx="2">
                    <c:v>2025</c:v>
                  </c:pt>
                  <c:pt idx="3">
                    <c:v>2025</c:v>
                  </c:pt>
                  <c:pt idx="4">
                    <c:v>2025</c:v>
                  </c:pt>
                  <c:pt idx="5">
                    <c:v>2025</c:v>
                  </c:pt>
                  <c:pt idx="6">
                    <c:v>2025</c:v>
                  </c:pt>
                  <c:pt idx="7">
                    <c:v>2025</c:v>
                  </c:pt>
                  <c:pt idx="8">
                    <c:v>2025</c:v>
                  </c:pt>
                </c:lvl>
                <c:lvl>
                  <c:pt idx="0">
                    <c:v>ENE</c:v>
                  </c:pt>
                  <c:pt idx="1">
                    <c:v>FEB</c:v>
                  </c:pt>
                  <c:pt idx="2">
                    <c:v>MAR</c:v>
                  </c:pt>
                  <c:pt idx="3">
                    <c:v>ABR</c:v>
                  </c:pt>
                  <c:pt idx="4">
                    <c:v>MAY</c:v>
                  </c:pt>
                  <c:pt idx="5">
                    <c:v>JUN</c:v>
                  </c:pt>
                  <c:pt idx="6">
                    <c:v>JUL</c:v>
                  </c:pt>
                  <c:pt idx="7">
                    <c:v>AGO</c:v>
                  </c:pt>
                  <c:pt idx="8">
                    <c:v>SEP</c:v>
                  </c:pt>
                </c:lvl>
              </c:multiLvlStrCache>
            </c:multiLvlStrRef>
          </c:cat>
          <c:val>
            <c:numRef>
              <c:f>'Tabla Inm.'!$C$3:$C$21</c:f>
              <c:numCache>
                <c:formatCode>_("$"* #,##0.00_);_("$"* \(#,##0.00\);_("$"* "-"??_);_(@_)</c:formatCode>
                <c:ptCount val="9"/>
                <c:pt idx="0">
                  <c:v>71385120.537827909</c:v>
                </c:pt>
                <c:pt idx="1">
                  <c:v>71784133.939495802</c:v>
                </c:pt>
                <c:pt idx="2">
                  <c:v>72584733.636974797</c:v>
                </c:pt>
                <c:pt idx="3">
                  <c:v>10435747.540504202</c:v>
                </c:pt>
              </c:numCache>
            </c:numRef>
          </c:val>
          <c:extLst>
            <c:ext xmlns:c16="http://schemas.microsoft.com/office/drawing/2014/chart" uri="{C3380CC4-5D6E-409C-BE32-E72D297353CC}">
              <c16:uniqueId val="{00000001-01C6-4676-83A1-17517B69FDF2}"/>
            </c:ext>
          </c:extLst>
        </c:ser>
        <c:dLbls>
          <c:showLegendKey val="0"/>
          <c:showVal val="0"/>
          <c:showCatName val="0"/>
          <c:showSerName val="0"/>
          <c:showPercent val="0"/>
          <c:showBubbleSize val="0"/>
        </c:dLbls>
        <c:gapWidth val="219"/>
        <c:overlap val="-27"/>
        <c:axId val="1496387632"/>
        <c:axId val="1496398672"/>
      </c:barChart>
      <c:catAx>
        <c:axId val="149638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96398672"/>
        <c:crosses val="autoZero"/>
        <c:auto val="1"/>
        <c:lblAlgn val="ctr"/>
        <c:lblOffset val="100"/>
        <c:noMultiLvlLbl val="0"/>
      </c:catAx>
      <c:valAx>
        <c:axId val="149639867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963876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700" b="0"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[Informe recaudos septiembre 202.xlsx]Material rodante base!TablaDinámica1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'Material rodante base'!$B$3</c:f>
              <c:strCache>
                <c:ptCount val="1"/>
                <c:pt idx="0">
                  <c:v>Suma de Valor a Consignar a la ANI</c:v>
                </c:pt>
              </c:strCache>
            </c:strRef>
          </c:tx>
          <c:spPr>
            <a:solidFill>
              <a:schemeClr val="accent1"/>
            </a:solidFill>
            <a:ln>
              <a:noFill/>
            </a:ln>
            <a:effectLst/>
          </c:spPr>
          <c:invertIfNegative val="0"/>
          <c:cat>
            <c:multiLvlStrRef>
              <c:f>'Material rodante base'!$A$4:$A$10</c:f>
              <c:multiLvlStrCache>
                <c:ptCount val="3"/>
                <c:lvl>
                  <c:pt idx="0">
                    <c:v>Consorcio CTSA-INGERAL</c:v>
                  </c:pt>
                  <c:pt idx="1">
                    <c:v>Consorcio CTSA-INGERAL</c:v>
                  </c:pt>
                  <c:pt idx="2">
                    <c:v>Consorcio CTSA-INGERAL</c:v>
                  </c:pt>
                </c:lvl>
                <c:lvl>
                  <c:pt idx="0">
                    <c:v>2023</c:v>
                  </c:pt>
                  <c:pt idx="1">
                    <c:v>2024</c:v>
                  </c:pt>
                  <c:pt idx="2">
                    <c:v>2025</c:v>
                  </c:pt>
                </c:lvl>
              </c:multiLvlStrCache>
            </c:multiLvlStrRef>
          </c:cat>
          <c:val>
            <c:numRef>
              <c:f>'Material rodante base'!$B$4:$B$10</c:f>
              <c:numCache>
                <c:formatCode>_("$"* #,##0.00_);_("$"* \(#,##0.00\);_("$"* "-"??_);_(@_)</c:formatCode>
                <c:ptCount val="3"/>
                <c:pt idx="0">
                  <c:v>106801642.82352939</c:v>
                </c:pt>
                <c:pt idx="1">
                  <c:v>186352791.38396084</c:v>
                </c:pt>
                <c:pt idx="2">
                  <c:v>19178664.062184878</c:v>
                </c:pt>
              </c:numCache>
            </c:numRef>
          </c:val>
          <c:extLst>
            <c:ext xmlns:c16="http://schemas.microsoft.com/office/drawing/2014/chart" uri="{C3380CC4-5D6E-409C-BE32-E72D297353CC}">
              <c16:uniqueId val="{00000000-3ACF-4BE1-A7DE-B28C13905C41}"/>
            </c:ext>
          </c:extLst>
        </c:ser>
        <c:ser>
          <c:idx val="1"/>
          <c:order val="1"/>
          <c:tx>
            <c:strRef>
              <c:f>'Material rodante base'!$C$3</c:f>
              <c:strCache>
                <c:ptCount val="1"/>
                <c:pt idx="0">
                  <c:v>Suma de Valor Pagado</c:v>
                </c:pt>
              </c:strCache>
            </c:strRef>
          </c:tx>
          <c:spPr>
            <a:solidFill>
              <a:schemeClr val="accent2"/>
            </a:solidFill>
            <a:ln>
              <a:noFill/>
            </a:ln>
            <a:effectLst/>
          </c:spPr>
          <c:invertIfNegative val="0"/>
          <c:cat>
            <c:multiLvlStrRef>
              <c:f>'Material rodante base'!$A$4:$A$10</c:f>
              <c:multiLvlStrCache>
                <c:ptCount val="3"/>
                <c:lvl>
                  <c:pt idx="0">
                    <c:v>Consorcio CTSA-INGERAL</c:v>
                  </c:pt>
                  <c:pt idx="1">
                    <c:v>Consorcio CTSA-INGERAL</c:v>
                  </c:pt>
                  <c:pt idx="2">
                    <c:v>Consorcio CTSA-INGERAL</c:v>
                  </c:pt>
                </c:lvl>
                <c:lvl>
                  <c:pt idx="0">
                    <c:v>2023</c:v>
                  </c:pt>
                  <c:pt idx="1">
                    <c:v>2024</c:v>
                  </c:pt>
                  <c:pt idx="2">
                    <c:v>2025</c:v>
                  </c:pt>
                </c:lvl>
              </c:multiLvlStrCache>
            </c:multiLvlStrRef>
          </c:cat>
          <c:val>
            <c:numRef>
              <c:f>'Material rodante base'!$C$4:$C$10</c:f>
              <c:numCache>
                <c:formatCode>_("$"* #,##0.00_);_("$"* \(#,##0.00\);_("$"* "-"??_);_(@_)</c:formatCode>
                <c:ptCount val="3"/>
                <c:pt idx="0">
                  <c:v>106801642.82352939</c:v>
                </c:pt>
                <c:pt idx="1">
                  <c:v>151708247.47841457</c:v>
                </c:pt>
              </c:numCache>
            </c:numRef>
          </c:val>
          <c:extLst>
            <c:ext xmlns:c16="http://schemas.microsoft.com/office/drawing/2014/chart" uri="{C3380CC4-5D6E-409C-BE32-E72D297353CC}">
              <c16:uniqueId val="{00000001-3ACF-4BE1-A7DE-B28C13905C41}"/>
            </c:ext>
          </c:extLst>
        </c:ser>
        <c:dLbls>
          <c:showLegendKey val="0"/>
          <c:showVal val="0"/>
          <c:showCatName val="0"/>
          <c:showSerName val="0"/>
          <c:showPercent val="0"/>
          <c:showBubbleSize val="0"/>
        </c:dLbls>
        <c:gapWidth val="219"/>
        <c:overlap val="-27"/>
        <c:axId val="1349912351"/>
        <c:axId val="1349912831"/>
      </c:barChart>
      <c:catAx>
        <c:axId val="134991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49912831"/>
        <c:crosses val="autoZero"/>
        <c:auto val="1"/>
        <c:lblAlgn val="ctr"/>
        <c:lblOffset val="100"/>
        <c:noMultiLvlLbl val="0"/>
      </c:catAx>
      <c:valAx>
        <c:axId val="134991283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499123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[Informe recaudos septiembre 202.xlsx]Tablas dinamicas O.P!TablaDinámica1</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s-CO"/>
              <a:t>Valor de alquiler de material rodante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O"/>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 dinamicas O.P'!$D$1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'Tablas dinamicas O.P'!$C$2:$C$3</c:f>
              <c:strCache>
                <c:ptCount val="1"/>
                <c:pt idx="0">
                  <c:v>SEP</c:v>
                </c:pt>
              </c:strCache>
            </c:strRef>
          </c:cat>
          <c:val>
            <c:numRef>
              <c:f>'Tablas dinamicas O.P'!$D$2:$D$3</c:f>
              <c:numCache>
                <c:formatCode>_("$"* #,##0.00_);_("$"* \(#,##0.00\);_("$"* "-"??_);_(@_)</c:formatCode>
                <c:ptCount val="1"/>
                <c:pt idx="0">
                  <c:v>15014884.507563025</c:v>
                </c:pt>
              </c:numCache>
            </c:numRef>
          </c:val>
          <c:extLst>
            <c:ext xmlns:c16="http://schemas.microsoft.com/office/drawing/2014/chart" uri="{C3380CC4-5D6E-409C-BE32-E72D297353CC}">
              <c16:uniqueId val="{00000001-A28C-4752-83BB-44809BBAEE2B}"/>
            </c:ext>
          </c:extLst>
        </c:ser>
        <c:dLbls>
          <c:showLegendKey val="0"/>
          <c:showVal val="1"/>
          <c:showCatName val="0"/>
          <c:showSerName val="0"/>
          <c:showPercent val="0"/>
          <c:showBubbleSize val="0"/>
        </c:dLbls>
        <c:gapWidth val="315"/>
        <c:overlap val="-40"/>
        <c:axId val="120499599"/>
        <c:axId val="120489039"/>
      </c:barChart>
      <c:valAx>
        <c:axId val="120489039"/>
        <c:scaling>
          <c:orientation val="minMax"/>
        </c:scaling>
        <c:delete val="0"/>
        <c:axPos val="r"/>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20499599"/>
        <c:crosses val="max"/>
        <c:crossBetween val="between"/>
      </c:valAx>
      <c:catAx>
        <c:axId val="12049959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204890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[Informe recaudos septiembre 202.xlsx]Tablas dinamicas O.P!TablaDinámica2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Toneladas Transportadas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O"/>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4103889187764578E-2"/>
          <c:y val="0.26532188684747737"/>
          <c:w val="0.87829086581568605"/>
          <c:h val="0.44914078448527267"/>
        </c:manualLayout>
      </c:layout>
      <c:bar3DChart>
        <c:barDir val="col"/>
        <c:grouping val="standard"/>
        <c:varyColors val="0"/>
        <c:ser>
          <c:idx val="0"/>
          <c:order val="0"/>
          <c:tx>
            <c:strRef>
              <c:f>'Tablas dinamicas O.P'!$H$1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'Tablas dinamicas O.P'!$G$2:$G$4</c:f>
              <c:multiLvlStrCache>
                <c:ptCount val="1"/>
                <c:lvl>
                  <c:pt idx="0">
                    <c:v>SEP</c:v>
                  </c:pt>
                </c:lvl>
                <c:lvl>
                  <c:pt idx="0">
                    <c:v>OC028</c:v>
                  </c:pt>
                </c:lvl>
              </c:multiLvlStrCache>
            </c:multiLvlStrRef>
          </c:cat>
          <c:val>
            <c:numRef>
              <c:f>'Tablas dinamicas O.P'!$H$2:$H$4</c:f>
              <c:numCache>
                <c:formatCode>General</c:formatCode>
                <c:ptCount val="1"/>
                <c:pt idx="0">
                  <c:v>4338.1499999999996</c:v>
                </c:pt>
              </c:numCache>
            </c:numRef>
          </c:val>
          <c:extLst>
            <c:ext xmlns:c16="http://schemas.microsoft.com/office/drawing/2014/chart" uri="{C3380CC4-5D6E-409C-BE32-E72D297353CC}">
              <c16:uniqueId val="{00000000-302F-45B9-84B9-81A313C767B7}"/>
            </c:ext>
          </c:extLst>
        </c:ser>
        <c:dLbls>
          <c:showLegendKey val="0"/>
          <c:showVal val="1"/>
          <c:showCatName val="0"/>
          <c:showSerName val="0"/>
          <c:showPercent val="0"/>
          <c:showBubbleSize val="0"/>
        </c:dLbls>
        <c:gapWidth val="150"/>
        <c:shape val="box"/>
        <c:axId val="1320006431"/>
        <c:axId val="1319987711"/>
        <c:axId val="234805823"/>
      </c:bar3DChart>
      <c:catAx>
        <c:axId val="1320006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1319987711"/>
        <c:crosses val="autoZero"/>
        <c:auto val="1"/>
        <c:lblAlgn val="ctr"/>
        <c:lblOffset val="100"/>
        <c:noMultiLvlLbl val="0"/>
      </c:catAx>
      <c:valAx>
        <c:axId val="131998771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1320006431"/>
        <c:crosses val="autoZero"/>
        <c:crossBetween val="between"/>
      </c:valAx>
      <c:serAx>
        <c:axId val="234805823"/>
        <c:scaling>
          <c:orientation val="minMax"/>
        </c:scaling>
        <c:delete val="1"/>
        <c:axPos val="b"/>
        <c:majorTickMark val="none"/>
        <c:minorTickMark val="none"/>
        <c:tickLblPos val="nextTo"/>
        <c:crossAx val="131998771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[Informe recaudos septiembre 202.xlsx]Tablas dinamicas O.P!TablaDinámica3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CO"/>
              <a:t>Alquiler</a:t>
            </a:r>
            <a:r>
              <a:rPr lang="es-CO" baseline="0"/>
              <a:t> locomotoras- Alquiler plataformas</a:t>
            </a:r>
            <a:endParaRPr lang="es-CO"/>
          </a:p>
        </c:rich>
      </c:tx>
      <c:layout>
        <c:manualLayout>
          <c:xMode val="edge"/>
          <c:yMode val="edge"/>
          <c:x val="0.18644444444444444"/>
          <c:y val="0.1286089238845144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CO"/>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'Tablas dinamicas O.P'!$L$1</c:f>
              <c:strCache>
                <c:ptCount val="1"/>
                <c:pt idx="0">
                  <c:v>Suma de V/r Alquiler locomotoras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'Tablas dinamicas O.P'!$K$2:$K$3</c:f>
              <c:strCache>
                <c:ptCount val="1"/>
                <c:pt idx="0">
                  <c:v>SEP</c:v>
                </c:pt>
              </c:strCache>
            </c:strRef>
          </c:cat>
          <c:val>
            <c:numRef>
              <c:f>'Tablas dinamicas O.P'!$L$2:$L$3</c:f>
              <c:numCache>
                <c:formatCode>_("$"* #,##0.00_);_("$"* \(#,##0.00\);_("$"* "-"??_);_(@_)</c:formatCode>
                <c:ptCount val="1"/>
                <c:pt idx="0">
                  <c:v>9257081.5966386553</c:v>
                </c:pt>
              </c:numCache>
            </c:numRef>
          </c:val>
          <c:extLst>
            <c:ext xmlns:c16="http://schemas.microsoft.com/office/drawing/2014/chart" uri="{C3380CC4-5D6E-409C-BE32-E72D297353CC}">
              <c16:uniqueId val="{00000000-581E-4883-830C-189FEB6584B3}"/>
            </c:ext>
          </c:extLst>
        </c:ser>
        <c:ser>
          <c:idx val="1"/>
          <c:order val="1"/>
          <c:tx>
            <c:strRef>
              <c:f>'Tablas dinamicas O.P'!$M$1</c:f>
              <c:strCache>
                <c:ptCount val="1"/>
                <c:pt idx="0">
                  <c:v>Suma de V/r Alquiler plataformas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'Tablas dinamicas O.P'!$K$2:$K$3</c:f>
              <c:strCache>
                <c:ptCount val="1"/>
                <c:pt idx="0">
                  <c:v>SEP</c:v>
                </c:pt>
              </c:strCache>
            </c:strRef>
          </c:cat>
          <c:val>
            <c:numRef>
              <c:f>'Tablas dinamicas O.P'!$M$2:$M$3</c:f>
              <c:numCache>
                <c:formatCode>_("$"* #,##0.00_);_("$"* \(#,##0.00\);_("$"* "-"??_);_(@_)</c:formatCode>
                <c:ptCount val="1"/>
                <c:pt idx="0">
                  <c:v>5757802.9109243695</c:v>
                </c:pt>
              </c:numCache>
            </c:numRef>
          </c:val>
          <c:extLst>
            <c:ext xmlns:c16="http://schemas.microsoft.com/office/drawing/2014/chart" uri="{C3380CC4-5D6E-409C-BE32-E72D297353CC}">
              <c16:uniqueId val="{00000001-581E-4883-830C-189FEB6584B3}"/>
            </c:ext>
          </c:extLst>
        </c:ser>
        <c:dLbls>
          <c:dLblPos val="outEnd"/>
          <c:showLegendKey val="0"/>
          <c:showVal val="1"/>
          <c:showCatName val="0"/>
          <c:showSerName val="0"/>
          <c:showPercent val="0"/>
          <c:showBubbleSize val="0"/>
        </c:dLbls>
        <c:gapWidth val="115"/>
        <c:overlap val="-20"/>
        <c:axId val="1444478143"/>
        <c:axId val="2088479087"/>
      </c:barChart>
      <c:catAx>
        <c:axId val="14444781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CO"/>
          </a:p>
        </c:txPr>
        <c:crossAx val="2088479087"/>
        <c:crosses val="autoZero"/>
        <c:auto val="1"/>
        <c:lblAlgn val="ctr"/>
        <c:lblOffset val="100"/>
        <c:noMultiLvlLbl val="0"/>
      </c:catAx>
      <c:valAx>
        <c:axId val="2088479087"/>
        <c:scaling>
          <c:orientation val="minMax"/>
        </c:scaling>
        <c:delete val="1"/>
        <c:axPos val="b"/>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crossAx val="144447814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500" b="0" i="0" u="none" strike="noStrike" kern="1200" baseline="0">
                <a:solidFill>
                  <a:schemeClr val="lt1">
                    <a:lumMod val="85000"/>
                  </a:schemeClr>
                </a:solidFill>
                <a:latin typeface="+mn-lt"/>
                <a:ea typeface="+mn-ea"/>
                <a:cs typeface="+mn-cs"/>
              </a:defRPr>
            </a:pPr>
            <a:endParaRPr lang="es-CO"/>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[Informe recaudos septiembre 202.xlsx]Tablas dinamicas O.P!TablaDinámica4</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K-m recorridos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O"/>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'Tablas dinamicas O.P'!$Q$1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'Tablas dinamicas O.P'!$P$2:$P$3</c:f>
              <c:strCache>
                <c:ptCount val="1"/>
                <c:pt idx="0">
                  <c:v>SEP</c:v>
                </c:pt>
              </c:strCache>
            </c:strRef>
          </c:cat>
          <c:val>
            <c:numRef>
              <c:f>'Tablas dinamicas O.P'!$Q$2:$Q$3</c:f>
              <c:numCache>
                <c:formatCode>General</c:formatCode>
                <c:ptCount val="1"/>
                <c:pt idx="0">
                  <c:v>2149.3620000000001</c:v>
                </c:pt>
              </c:numCache>
            </c:numRef>
          </c:val>
          <c:extLst>
            <c:ext xmlns:c16="http://schemas.microsoft.com/office/drawing/2014/chart" uri="{C3380CC4-5D6E-409C-BE32-E72D297353CC}">
              <c16:uniqueId val="{00000000-4DEF-4EF7-B8D3-732783128F91}"/>
            </c:ext>
          </c:extLst>
        </c:ser>
        <c:dLbls>
          <c:showLegendKey val="0"/>
          <c:showVal val="0"/>
          <c:showCatName val="0"/>
          <c:showSerName val="0"/>
          <c:showPercent val="0"/>
          <c:showBubbleSize val="0"/>
        </c:dLbls>
        <c:gapWidth val="182"/>
        <c:overlap val="-50"/>
        <c:axId val="292158015"/>
        <c:axId val="292132095"/>
      </c:barChart>
      <c:catAx>
        <c:axId val="29215801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292132095"/>
        <c:crosses val="autoZero"/>
        <c:auto val="1"/>
        <c:lblAlgn val="ctr"/>
        <c:lblOffset val="100"/>
        <c:noMultiLvlLbl val="0"/>
      </c:catAx>
      <c:valAx>
        <c:axId val="292132095"/>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29215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[Informe recaudos septiembre 202.xlsx]Tablas dinamicas O.P!TablaDinámica5</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Tonelada -km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O"/>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 dinamicas O.P'!$U$1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'Tablas dinamicas O.P'!$T$2:$T$3</c:f>
              <c:strCache>
                <c:ptCount val="1"/>
                <c:pt idx="0">
                  <c:v>SEP</c:v>
                </c:pt>
              </c:strCache>
            </c:strRef>
          </c:cat>
          <c:val>
            <c:numRef>
              <c:f>'Tablas dinamicas O.P'!$U$2:$U$3</c:f>
              <c:numCache>
                <c:formatCode>_(* #,##0.00_);_(* \(#,##0.00\);_(* "-"??_);_(@_)</c:formatCode>
                <c:ptCount val="1"/>
                <c:pt idx="0">
                  <c:v>717230.05</c:v>
                </c:pt>
              </c:numCache>
            </c:numRef>
          </c:val>
          <c:extLst>
            <c:ext xmlns:c16="http://schemas.microsoft.com/office/drawing/2014/chart" uri="{C3380CC4-5D6E-409C-BE32-E72D297353CC}">
              <c16:uniqueId val="{00000000-441F-4E35-B16E-64ED09C41E69}"/>
            </c:ext>
          </c:extLst>
        </c:ser>
        <c:dLbls>
          <c:dLblPos val="outEnd"/>
          <c:showLegendKey val="0"/>
          <c:showVal val="1"/>
          <c:showCatName val="0"/>
          <c:showSerName val="0"/>
          <c:showPercent val="0"/>
          <c:showBubbleSize val="0"/>
        </c:dLbls>
        <c:gapWidth val="315"/>
        <c:overlap val="-40"/>
        <c:axId val="292136415"/>
        <c:axId val="292143615"/>
      </c:barChart>
      <c:catAx>
        <c:axId val="29213641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292143615"/>
        <c:crosses val="autoZero"/>
        <c:auto val="1"/>
        <c:lblAlgn val="ctr"/>
        <c:lblOffset val="100"/>
        <c:noMultiLvlLbl val="0"/>
      </c:catAx>
      <c:valAx>
        <c:axId val="2921436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29213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[Informe recaudos septiembre 202.xlsx]Tablas dinamicas O.P!TablaDinámica6</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uso de vía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O"/>
        </a:p>
      </c:txPr>
    </c:title>
    <c:autoTitleDeleted val="0"/>
    <c:pivotFmts>
      <c:pivotFmt>
        <c:idx val="0"/>
      </c:pivotFmt>
      <c:pivotFmt>
        <c:idx val="1"/>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'Tablas dinamicas O.P'!$Y$1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'Tablas dinamicas O.P'!$X$2:$X$3</c:f>
              <c:strCache>
                <c:ptCount val="1"/>
                <c:pt idx="0">
                  <c:v>SEP</c:v>
                </c:pt>
              </c:strCache>
            </c:strRef>
          </c:cat>
          <c:val>
            <c:numRef>
              <c:f>'Tablas dinamicas O.P'!$Y$2:$Y$3</c:f>
              <c:numCache>
                <c:formatCode>General</c:formatCode>
                <c:ptCount val="1"/>
                <c:pt idx="0">
                  <c:v>6596368.2125542415</c:v>
                </c:pt>
              </c:numCache>
            </c:numRef>
          </c:val>
          <c:extLst>
            <c:ext xmlns:c16="http://schemas.microsoft.com/office/drawing/2014/chart" uri="{C3380CC4-5D6E-409C-BE32-E72D297353CC}">
              <c16:uniqueId val="{00000000-100C-4CB8-88D0-8603F10E82EE}"/>
            </c:ext>
          </c:extLst>
        </c:ser>
        <c:dLbls>
          <c:dLblPos val="outEnd"/>
          <c:showLegendKey val="0"/>
          <c:showVal val="1"/>
          <c:showCatName val="0"/>
          <c:showSerName val="0"/>
          <c:showPercent val="0"/>
          <c:showBubbleSize val="0"/>
        </c:dLbls>
        <c:gapWidth val="182"/>
        <c:overlap val="-50"/>
        <c:axId val="404059423"/>
        <c:axId val="404039743"/>
      </c:barChart>
      <c:catAx>
        <c:axId val="40405942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404039743"/>
        <c:crosses val="autoZero"/>
        <c:auto val="1"/>
        <c:lblAlgn val="ctr"/>
        <c:lblOffset val="100"/>
        <c:noMultiLvlLbl val="0"/>
      </c:catAx>
      <c:valAx>
        <c:axId val="40403974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40405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[Informe recaudos septiembre 202.xlsx]Tablas dinamicas O.P!TablaDinámica7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Empresa</a:t>
            </a:r>
            <a:r>
              <a:rPr lang="es-CO" baseline="0"/>
              <a:t> prestadora de servicio</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 dinamicas O.P'!$AB$1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'Tablas dinamicas O.P'!$AA$2:$AA$7</c:f>
              <c:multiLvlStrCache>
                <c:ptCount val="3"/>
                <c:lvl>
                  <c:pt idx="0">
                    <c:v>Turistren </c:v>
                  </c:pt>
                  <c:pt idx="1">
                    <c:v>APDR</c:v>
                  </c:pt>
                  <c:pt idx="2">
                    <c:v>Turistren </c:v>
                  </c:pt>
                </c:lvl>
                <c:lvl>
                  <c:pt idx="0">
                    <c:v>2024</c:v>
                  </c:pt>
                  <c:pt idx="1">
                    <c:v>2025</c:v>
                  </c:pt>
                </c:lvl>
              </c:multiLvlStrCache>
            </c:multiLvlStrRef>
          </c:cat>
          <c:val>
            <c:numRef>
              <c:f>'Tablas dinamicas O.P'!$AB$2:$AB$7</c:f>
              <c:numCache>
                <c:formatCode>#,##0</c:formatCode>
                <c:ptCount val="3"/>
                <c:pt idx="0">
                  <c:v>514284</c:v>
                </c:pt>
                <c:pt idx="1">
                  <c:v>848</c:v>
                </c:pt>
                <c:pt idx="2">
                  <c:v>352520</c:v>
                </c:pt>
              </c:numCache>
            </c:numRef>
          </c:val>
          <c:extLst>
            <c:ext xmlns:c16="http://schemas.microsoft.com/office/drawing/2014/chart" uri="{C3380CC4-5D6E-409C-BE32-E72D297353CC}">
              <c16:uniqueId val="{00000000-F68A-44AA-B74A-41E69977A16D}"/>
            </c:ext>
          </c:extLst>
        </c:ser>
        <c:dLbls>
          <c:dLblPos val="outEnd"/>
          <c:showLegendKey val="0"/>
          <c:showVal val="1"/>
          <c:showCatName val="0"/>
          <c:showSerName val="0"/>
          <c:showPercent val="0"/>
          <c:showBubbleSize val="0"/>
        </c:dLbls>
        <c:gapWidth val="219"/>
        <c:overlap val="-27"/>
        <c:axId val="1516476656"/>
        <c:axId val="1516478576"/>
      </c:barChart>
      <c:catAx>
        <c:axId val="151647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16478576"/>
        <c:crosses val="autoZero"/>
        <c:auto val="1"/>
        <c:lblAlgn val="ctr"/>
        <c:lblOffset val="100"/>
        <c:noMultiLvlLbl val="0"/>
      </c:catAx>
      <c:valAx>
        <c:axId val="15164785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1647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1"/>
    </mc:Choice>
    <mc:Fallback>
      <c:style val="1"/>
    </mc:Fallback>
  </mc:AlternateContent>
  <c:pivotSource>
    <c:name>[Informe recaudos septiembre 202.xlsx]Tablas Turistren!TablaDinámica9</c:name>
    <c:fmtId val="2"/>
  </c:pivotSource>
  <c:chart>
    <c:title>
      <c:tx>
        <c:rich>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r>
              <a:rPr lang="en-US"/>
              <a:t>Valor facturado por uso de vía</a:t>
            </a:r>
          </a:p>
        </c:rich>
      </c:tx>
      <c:overlay val="0"/>
      <c:spPr>
        <a:noFill/>
        <a:ln w="12700" cap="flat" cmpd="sng" algn="ctr">
          <a:noFill/>
          <a:prstDash val="solid"/>
          <a:miter lim="800000"/>
        </a:ln>
        <a:effectLst/>
      </c:spPr>
      <c:txPr>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endParaRPr lang="es-CO"/>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gradFill>
              <a:gsLst>
                <a:gs pos="0">
                  <a:schemeClr val="bg1"/>
                </a:gs>
                <a:gs pos="74000">
                  <a:srgbClr val="92D050"/>
                </a:gs>
                <a:gs pos="83000">
                  <a:srgbClr val="92D050"/>
                </a:gs>
                <a:gs pos="100000">
                  <a:srgbClr val="92D050"/>
                </a:gs>
              </a:gsLst>
              <a:lin ang="5400000" scaled="1"/>
            </a:gradFill>
            <a:round/>
          </a:ln>
          <a:effectLst>
            <a:outerShdw dist="25400" dir="2700000" algn="tl" rotWithShape="0">
              <a:schemeClr val="dk1">
                <a:tint val="88500"/>
              </a:schemeClr>
            </a:outerShdw>
          </a:effectLst>
        </c:spPr>
        <c:marker>
          <c:symbol val="circle"/>
          <c:size val="5"/>
          <c:spPr>
            <a:solidFill>
              <a:schemeClr val="dk1">
                <a:tint val="88500"/>
              </a:schemeClr>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70" b="1" i="0" u="none" strike="noStrike" kern="1200" baseline="0">
                  <a:solidFill>
                    <a:schemeClr val="dk1"/>
                  </a:solidFill>
                  <a:latin typeface="+mn-lt"/>
                  <a:ea typeface="+mn-ea"/>
                  <a:cs typeface="+mn-cs"/>
                </a:defRPr>
              </a:pPr>
              <a:endParaRPr lang="es-CO"/>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dk1">
                <a:tint val="88500"/>
              </a:schemeClr>
            </a:fgClr>
            <a:bgClr>
              <a:schemeClr val="lt1"/>
            </a:bgClr>
          </a:pattFill>
          <a:ln w="34925" cap="rnd">
            <a:gradFill>
              <a:gsLst>
                <a:gs pos="0">
                  <a:schemeClr val="bg1"/>
                </a:gs>
                <a:gs pos="74000">
                  <a:srgbClr val="92D050"/>
                </a:gs>
                <a:gs pos="83000">
                  <a:srgbClr val="92D050"/>
                </a:gs>
                <a:gs pos="100000">
                  <a:srgbClr val="92D050"/>
                </a:gs>
              </a:gsLst>
              <a:lin ang="5400000" scaled="1"/>
            </a:gradFill>
            <a:round/>
          </a:ln>
          <a:effectLst>
            <a:outerShdw dist="25400" dir="2700000" algn="tl" rotWithShape="0">
              <a:schemeClr val="dk1">
                <a:tint val="88500"/>
              </a:schemeClr>
            </a:outerShdw>
          </a:effectLst>
        </c:spPr>
        <c:marker>
          <c:symbol val="circle"/>
          <c:size val="5"/>
          <c:spPr>
            <a:solidFill>
              <a:schemeClr val="dk1">
                <a:tint val="88500"/>
              </a:schemeClr>
            </a:solidFill>
            <a:ln w="22225">
              <a:solidFill>
                <a:schemeClr val="lt1"/>
              </a:solidFill>
              <a:round/>
            </a:ln>
            <a:effectLst/>
          </c:spPr>
        </c:marker>
      </c:pivotFmt>
      <c:pivotFmt>
        <c:idx val="5"/>
      </c:pivotFmt>
    </c:pivotFmts>
    <c:plotArea>
      <c:layout/>
      <c:lineChart>
        <c:grouping val="stacked"/>
        <c:varyColors val="0"/>
        <c:ser>
          <c:idx val="0"/>
          <c:order val="0"/>
          <c:tx>
            <c:strRef>
              <c:f>'Tablas Turistren'!$D$2</c:f>
              <c:strCache>
                <c:ptCount val="1"/>
                <c:pt idx="0">
                  <c:v>Total</c:v>
                </c:pt>
              </c:strCache>
            </c:strRef>
          </c:tx>
          <c:spPr>
            <a:ln w="34925" cap="rnd">
              <a:gradFill>
                <a:gsLst>
                  <a:gs pos="0">
                    <a:schemeClr val="bg1"/>
                  </a:gs>
                  <a:gs pos="74000">
                    <a:srgbClr val="92D050"/>
                  </a:gs>
                  <a:gs pos="83000">
                    <a:srgbClr val="92D050"/>
                  </a:gs>
                  <a:gs pos="100000">
                    <a:srgbClr val="92D050"/>
                  </a:gs>
                </a:gsLst>
                <a:lin ang="5400000" scaled="1"/>
              </a:gradFill>
              <a:round/>
            </a:ln>
            <a:effectLst>
              <a:outerShdw dist="25400" dir="2700000" algn="tl" rotWithShape="0">
                <a:schemeClr val="dk1">
                  <a:tint val="88500"/>
                </a:schemeClr>
              </a:outerShdw>
            </a:effectLst>
          </c:spPr>
          <c:marker>
            <c:symbol val="circle"/>
            <c:size val="5"/>
            <c:spPr>
              <a:solidFill>
                <a:schemeClr val="dk1">
                  <a:tint val="88500"/>
                </a:schemeClr>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670" b="1" i="0" u="none" strike="noStrike" kern="1200" baseline="0">
                    <a:solidFill>
                      <a:schemeClr val="dk1"/>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multiLvlStrRef>
              <c:f>'Tablas Turistren'!$C$3:$C$6</c:f>
              <c:multiLvlStrCache>
                <c:ptCount val="2"/>
                <c:lvl>
                  <c:pt idx="0">
                    <c:v>APDR</c:v>
                  </c:pt>
                  <c:pt idx="1">
                    <c:v>Turistren </c:v>
                  </c:pt>
                </c:lvl>
                <c:lvl>
                  <c:pt idx="0">
                    <c:v>SEP</c:v>
                  </c:pt>
                </c:lvl>
              </c:multiLvlStrCache>
            </c:multiLvlStrRef>
          </c:cat>
          <c:val>
            <c:numRef>
              <c:f>'Tablas Turistren'!$D$3:$D$6</c:f>
              <c:numCache>
                <c:formatCode>_("$"* #,##0.00_);_("$"* \(#,##0.00\);_("$"* "-"??_);_(@_)</c:formatCode>
                <c:ptCount val="2"/>
                <c:pt idx="0">
                  <c:v>383489.68</c:v>
                </c:pt>
                <c:pt idx="1">
                  <c:v>34637335.740000017</c:v>
                </c:pt>
              </c:numCache>
            </c:numRef>
          </c:val>
          <c:smooth val="0"/>
          <c:extLst>
            <c:ext xmlns:c16="http://schemas.microsoft.com/office/drawing/2014/chart" uri="{C3380CC4-5D6E-409C-BE32-E72D297353CC}">
              <c16:uniqueId val="{00000000-041F-48BC-BB42-FA049BE8478B}"/>
            </c:ext>
          </c:extLst>
        </c:ser>
        <c:dLbls>
          <c:dLblPos val="t"/>
          <c:showLegendKey val="0"/>
          <c:showVal val="1"/>
          <c:showCatName val="0"/>
          <c:showSerName val="0"/>
          <c:showPercent val="0"/>
          <c:showBubbleSize val="0"/>
        </c:dLbls>
        <c:dropLines>
          <c:spPr>
            <a:ln w="9525" cap="flat" cmpd="sng" algn="ctr">
              <a:gradFill>
                <a:gsLst>
                  <a:gs pos="0">
                    <a:srgbClr val="92D050"/>
                  </a:gs>
                  <a:gs pos="74000">
                    <a:schemeClr val="accent1">
                      <a:lumMod val="45000"/>
                      <a:lumOff val="55000"/>
                    </a:schemeClr>
                  </a:gs>
                  <a:gs pos="83000">
                    <a:srgbClr val="92D050"/>
                  </a:gs>
                  <a:gs pos="100000">
                    <a:schemeClr val="accent1">
                      <a:lumMod val="30000"/>
                      <a:lumOff val="70000"/>
                    </a:schemeClr>
                  </a:gs>
                </a:gsLst>
                <a:lin ang="5400000" scaled="1"/>
              </a:gradFill>
              <a:round/>
            </a:ln>
            <a:effectLst/>
          </c:spPr>
        </c:dropLines>
        <c:marker val="1"/>
        <c:smooth val="0"/>
        <c:axId val="1318240287"/>
        <c:axId val="1318240767"/>
      </c:lineChart>
      <c:catAx>
        <c:axId val="1318240287"/>
        <c:scaling>
          <c:orientation val="minMax"/>
        </c:scaling>
        <c:delete val="0"/>
        <c:axPos val="b"/>
        <c:numFmt formatCode="General" sourceLinked="1"/>
        <c:majorTickMark val="none"/>
        <c:minorTickMark val="none"/>
        <c:tickLblPos val="nextTo"/>
        <c:spPr>
          <a:noFill/>
          <a:ln w="6350" cap="flat" cmpd="sng" algn="ctr">
            <a:solidFill>
              <a:srgbClr val="92D050"/>
            </a:solidFill>
            <a:prstDash val="sysDot"/>
            <a:miter lim="800000"/>
          </a:ln>
          <a:effectLst/>
        </c:spPr>
        <c:txPr>
          <a:bodyPr rot="-60000000" spcFirstLastPara="1" vertOverflow="ellipsis" vert="horz" wrap="square" anchor="ctr" anchorCtr="1"/>
          <a:lstStyle/>
          <a:p>
            <a:pPr>
              <a:defRPr sz="900" b="0" i="0" u="none" strike="noStrike" kern="1200" spc="100" baseline="0">
                <a:solidFill>
                  <a:schemeClr val="dk1"/>
                </a:solidFill>
                <a:latin typeface="+mn-lt"/>
                <a:ea typeface="+mn-ea"/>
                <a:cs typeface="+mn-cs"/>
              </a:defRPr>
            </a:pPr>
            <a:endParaRPr lang="es-CO"/>
          </a:p>
        </c:txPr>
        <c:crossAx val="1318240767"/>
        <c:crosses val="autoZero"/>
        <c:auto val="1"/>
        <c:lblAlgn val="ctr"/>
        <c:lblOffset val="100"/>
        <c:noMultiLvlLbl val="0"/>
      </c:catAx>
      <c:valAx>
        <c:axId val="1318240767"/>
        <c:scaling>
          <c:orientation val="minMax"/>
        </c:scaling>
        <c:delete val="0"/>
        <c:axPos val="l"/>
        <c:numFmt formatCode="_(&quot;$&quot;* #,##0.00_);_(&quot;$&quot;* \(#,##0.00\);_(&quot;$&quot;* &quot;-&quot;??_);_(@_)" sourceLinked="1"/>
        <c:majorTickMark val="none"/>
        <c:minorTickMark val="none"/>
        <c:tickLblPos val="nextTo"/>
        <c:spPr>
          <a:noFill/>
          <a:ln w="6350" cap="flat" cmpd="sng" algn="ctr">
            <a:solidFill>
              <a:srgbClr val="92D050"/>
            </a:solidFill>
            <a:prstDash val="sysDot"/>
            <a:miter lim="800000"/>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s-CO"/>
          </a:p>
        </c:txPr>
        <c:crossAx val="1318240287"/>
        <c:crosses val="autoZero"/>
        <c:crossBetween val="between"/>
      </c:valAx>
      <c:spPr>
        <a:noFill/>
        <a:ln>
          <a:solidFill>
            <a:schemeClr val="accent6"/>
          </a:solidFill>
          <a:prstDash val="sysDot"/>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pivotSource>
    <c:name>[Informe recaudos septiembre 202.xlsx]Tablas Turistren!TablaDinámica10</c:name>
    <c:fmtId val="3"/>
  </c:pivotSource>
  <c:chart>
    <c:title>
      <c:tx>
        <c:rich>
          <a:bodyPr rot="0" spcFirstLastPara="1" vertOverflow="ellipsis" vert="horz" wrap="square" anchor="ctr" anchorCtr="1"/>
          <a:lstStyle/>
          <a:p>
            <a:pPr>
              <a:defRPr sz="1500" b="1" i="0" u="none" strike="noStrike" kern="1200" cap="all" spc="50" baseline="0">
                <a:solidFill>
                  <a:schemeClr val="dk1"/>
                </a:solidFill>
                <a:latin typeface="+mn-lt"/>
                <a:ea typeface="+mn-ea"/>
                <a:cs typeface="+mn-cs"/>
              </a:defRPr>
            </a:pPr>
            <a:r>
              <a:rPr lang="es-CO" sz="1500"/>
              <a:t>Coches movilizados </a:t>
            </a:r>
          </a:p>
        </c:rich>
      </c:tx>
      <c:overlay val="0"/>
      <c:spPr>
        <a:noFill/>
        <a:ln>
          <a:noFill/>
        </a:ln>
        <a:effectLst/>
      </c:spPr>
      <c:txPr>
        <a:bodyPr rot="0" spcFirstLastPara="1" vertOverflow="ellipsis" vert="horz" wrap="square" anchor="ctr" anchorCtr="1"/>
        <a:lstStyle/>
        <a:p>
          <a:pPr>
            <a:defRPr sz="1500" b="1" i="0" u="none" strike="noStrike" kern="1200" cap="all" spc="50" baseline="0">
              <a:solidFill>
                <a:schemeClr val="dk1"/>
              </a:solidFill>
              <a:latin typeface="+mn-lt"/>
              <a:ea typeface="+mn-ea"/>
              <a:cs typeface="+mn-cs"/>
            </a:defRPr>
          </a:pPr>
          <a:endParaRPr lang="es-CO"/>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 Turistren'!$H$2</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9525" cap="rnd">
                <a:solidFill>
                  <a:schemeClr val="accent6"/>
                </a:solidFill>
              </a:ln>
              <a:effectLst/>
            </c:spPr>
            <c:trendlineType val="linear"/>
            <c:dispRSqr val="0"/>
            <c:dispEq val="0"/>
          </c:trendline>
          <c:cat>
            <c:multiLvlStrRef>
              <c:f>'Tablas Turistren'!$G$3:$G$6</c:f>
              <c:multiLvlStrCache>
                <c:ptCount val="2"/>
                <c:lvl>
                  <c:pt idx="0">
                    <c:v>APDR</c:v>
                  </c:pt>
                  <c:pt idx="1">
                    <c:v>Turistren </c:v>
                  </c:pt>
                </c:lvl>
                <c:lvl>
                  <c:pt idx="0">
                    <c:v>SEP</c:v>
                  </c:pt>
                </c:lvl>
              </c:multiLvlStrCache>
            </c:multiLvlStrRef>
          </c:cat>
          <c:val>
            <c:numRef>
              <c:f>'Tablas Turistren'!$H$3:$H$6</c:f>
              <c:numCache>
                <c:formatCode>General</c:formatCode>
                <c:ptCount val="2"/>
                <c:pt idx="0">
                  <c:v>12</c:v>
                </c:pt>
                <c:pt idx="1">
                  <c:v>497</c:v>
                </c:pt>
              </c:numCache>
            </c:numRef>
          </c:val>
          <c:extLst>
            <c:ext xmlns:c16="http://schemas.microsoft.com/office/drawing/2014/chart" uri="{C3380CC4-5D6E-409C-BE32-E72D297353CC}">
              <c16:uniqueId val="{00000001-E1FB-4163-A74A-BB01995A1766}"/>
            </c:ext>
          </c:extLst>
        </c:ser>
        <c:dLbls>
          <c:dLblPos val="outEnd"/>
          <c:showLegendKey val="0"/>
          <c:showVal val="1"/>
          <c:showCatName val="0"/>
          <c:showSerName val="0"/>
          <c:showPercent val="0"/>
          <c:showBubbleSize val="0"/>
        </c:dLbls>
        <c:gapWidth val="355"/>
        <c:overlap val="-70"/>
        <c:axId val="120499119"/>
        <c:axId val="120480879"/>
      </c:barChart>
      <c:catAx>
        <c:axId val="12049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s-CO"/>
          </a:p>
        </c:txPr>
        <c:crossAx val="120480879"/>
        <c:crosses val="autoZero"/>
        <c:auto val="1"/>
        <c:lblAlgn val="ctr"/>
        <c:lblOffset val="100"/>
        <c:noMultiLvlLbl val="0"/>
      </c:catAx>
      <c:valAx>
        <c:axId val="120480879"/>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s-CO"/>
          </a:p>
        </c:txPr>
        <c:crossAx val="12049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[Informe recaudos septiembre 202.xlsx]Tablas Turistren!TablaDinámica11</c:name>
    <c:fmtId val="3"/>
  </c:pivotSource>
  <c:chart>
    <c:title>
      <c:tx>
        <c:rich>
          <a:bodyPr rot="0" spcFirstLastPara="1" vertOverflow="ellipsis" vert="horz" wrap="square" anchor="ctr" anchorCtr="1"/>
          <a:lstStyle/>
          <a:p>
            <a:pPr>
              <a:defRPr sz="1500" b="1" i="0" u="none" strike="noStrike" kern="1200" cap="all" spc="50" baseline="0">
                <a:solidFill>
                  <a:schemeClr val="dk1"/>
                </a:solidFill>
                <a:latin typeface="+mn-lt"/>
                <a:ea typeface="+mn-ea"/>
                <a:cs typeface="+mn-cs"/>
              </a:defRPr>
            </a:pPr>
            <a:r>
              <a:rPr lang="en-US" sz="1500"/>
              <a:t>Total</a:t>
            </a:r>
            <a:r>
              <a:rPr lang="en-US" sz="1500" baseline="0"/>
              <a:t> pasajeros mes</a:t>
            </a:r>
            <a:endParaRPr lang="en-US" sz="1500"/>
          </a:p>
        </c:rich>
      </c:tx>
      <c:layout>
        <c:manualLayout>
          <c:xMode val="edge"/>
          <c:yMode val="edge"/>
          <c:x val="0.4759389955537025"/>
          <c:y val="4.2889875710041894E-2"/>
        </c:manualLayout>
      </c:layout>
      <c:overlay val="0"/>
      <c:spPr>
        <a:noFill/>
        <a:ln>
          <a:noFill/>
        </a:ln>
        <a:effectLst/>
      </c:spPr>
      <c:txPr>
        <a:bodyPr rot="0" spcFirstLastPara="1" vertOverflow="ellipsis" vert="horz" wrap="square" anchor="ctr" anchorCtr="1"/>
        <a:lstStyle/>
        <a:p>
          <a:pPr>
            <a:defRPr sz="1500" b="1" i="0" u="none" strike="noStrike" kern="1200" cap="all" spc="5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928088030880953"/>
          <c:y val="0.1403447414684072"/>
          <c:w val="0.6199712823105864"/>
          <c:h val="0.74698527063634113"/>
        </c:manualLayout>
      </c:layout>
      <c:barChart>
        <c:barDir val="bar"/>
        <c:grouping val="clustered"/>
        <c:varyColors val="0"/>
        <c:ser>
          <c:idx val="0"/>
          <c:order val="0"/>
          <c:tx>
            <c:strRef>
              <c:f>'Tablas Turistren'!$L$2</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'Tablas Turistren'!$K$3:$K$6</c:f>
              <c:multiLvlStrCache>
                <c:ptCount val="2"/>
                <c:lvl>
                  <c:pt idx="0">
                    <c:v>APDR</c:v>
                  </c:pt>
                  <c:pt idx="1">
                    <c:v>Turistren </c:v>
                  </c:pt>
                </c:lvl>
                <c:lvl>
                  <c:pt idx="0">
                    <c:v>SEP</c:v>
                  </c:pt>
                </c:lvl>
              </c:multiLvlStrCache>
            </c:multiLvlStrRef>
          </c:cat>
          <c:val>
            <c:numRef>
              <c:f>'Tablas Turistren'!$L$3:$L$6</c:f>
              <c:numCache>
                <c:formatCode>_(* #,##0.00_);_(* \(#,##0.00\);_(* "-"??_);_(@_)</c:formatCode>
                <c:ptCount val="2"/>
                <c:pt idx="0">
                  <c:v>384</c:v>
                </c:pt>
                <c:pt idx="1">
                  <c:v>47940</c:v>
                </c:pt>
              </c:numCache>
            </c:numRef>
          </c:val>
          <c:extLst>
            <c:ext xmlns:c16="http://schemas.microsoft.com/office/drawing/2014/chart" uri="{C3380CC4-5D6E-409C-BE32-E72D297353CC}">
              <c16:uniqueId val="{00000000-027D-4F8E-B2F9-FE6B7A0D4B52}"/>
            </c:ext>
          </c:extLst>
        </c:ser>
        <c:dLbls>
          <c:dLblPos val="outEnd"/>
          <c:showLegendKey val="0"/>
          <c:showVal val="1"/>
          <c:showCatName val="0"/>
          <c:showSerName val="0"/>
          <c:showPercent val="0"/>
          <c:showBubbleSize val="0"/>
        </c:dLbls>
        <c:gapWidth val="326"/>
        <c:overlap val="-58"/>
        <c:axId val="348165967"/>
        <c:axId val="348157807"/>
      </c:barChart>
      <c:catAx>
        <c:axId val="348165967"/>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800" b="1" i="0" u="none" strike="noStrike" kern="1200" baseline="0">
                <a:solidFill>
                  <a:schemeClr val="dk1"/>
                </a:solidFill>
                <a:latin typeface="+mn-lt"/>
                <a:ea typeface="+mn-ea"/>
                <a:cs typeface="+mn-cs"/>
              </a:defRPr>
            </a:pPr>
            <a:endParaRPr lang="es-CO"/>
          </a:p>
        </c:txPr>
        <c:crossAx val="348157807"/>
        <c:crosses val="autoZero"/>
        <c:auto val="1"/>
        <c:lblAlgn val="ctr"/>
        <c:lblOffset val="100"/>
        <c:noMultiLvlLbl val="0"/>
      </c:catAx>
      <c:valAx>
        <c:axId val="348157807"/>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s-CO"/>
          </a:p>
        </c:txPr>
        <c:crossAx val="348165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pivotSource>
    <c:name>[Informe recaudos septiembre 202.xlsx]Tablas Turistren!TablaDinámica12</c:name>
    <c:fmtId val="2"/>
  </c:pivotSource>
  <c:chart>
    <c:title>
      <c:tx>
        <c:rich>
          <a:bodyPr rot="0" spcFirstLastPara="1" vertOverflow="ellipsis" vert="horz" wrap="square" anchor="ctr" anchorCtr="1"/>
          <a:lstStyle/>
          <a:p>
            <a:pPr>
              <a:defRPr sz="1500" b="1" i="0" u="none" strike="noStrike" kern="1200" spc="0" baseline="0">
                <a:solidFill>
                  <a:schemeClr val="dk1"/>
                </a:solidFill>
                <a:latin typeface="+mn-lt"/>
                <a:ea typeface="+mn-ea"/>
                <a:cs typeface="+mn-cs"/>
              </a:defRPr>
            </a:pPr>
            <a:r>
              <a:rPr lang="en-US" sz="1500" b="1"/>
              <a:t>TOTAL</a:t>
            </a:r>
            <a:r>
              <a:rPr lang="en-US" sz="1500" b="1" baseline="0"/>
              <a:t> CH-KM</a:t>
            </a:r>
            <a:endParaRPr lang="en-US" sz="1500" b="1"/>
          </a:p>
        </c:rich>
      </c:tx>
      <c:layout>
        <c:manualLayout>
          <c:xMode val="edge"/>
          <c:yMode val="edge"/>
          <c:x val="0.34017344706911629"/>
          <c:y val="0.12974577305743759"/>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s-CO"/>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tint val="77000"/>
            </a:schemeClr>
          </a:solidFill>
          <a:ln w="19050">
            <a:solidFill>
              <a:schemeClr val="lt1"/>
            </a:solidFill>
          </a:ln>
          <a:effectLst/>
        </c:spPr>
      </c:pivotFmt>
      <c:pivotFmt>
        <c:idx val="6"/>
        <c:spPr>
          <a:solidFill>
            <a:schemeClr val="accent2">
              <a:lumMod val="40000"/>
              <a:lumOff val="60000"/>
            </a:schemeClr>
          </a:solidFill>
          <a:ln w="19050">
            <a:solidFill>
              <a:schemeClr val="lt1"/>
            </a:solidFill>
          </a:ln>
          <a:effectLst/>
        </c:spPr>
      </c:pivotFmt>
      <c:pivotFmt>
        <c:idx val="7"/>
        <c:spPr>
          <a:solidFill>
            <a:schemeClr val="accent2">
              <a:lumMod val="20000"/>
              <a:lumOff val="80000"/>
            </a:schemeClr>
          </a:solidFill>
          <a:ln w="19050">
            <a:solidFill>
              <a:schemeClr val="lt1"/>
            </a:solidFill>
          </a:ln>
          <a:effectLst/>
        </c:spPr>
      </c:pivotFmt>
      <c:pivotFmt>
        <c:idx val="8"/>
        <c:spPr>
          <a:solidFill>
            <a:schemeClr val="accent6">
              <a:shade val="58000"/>
            </a:schemeClr>
          </a:solidFill>
          <a:ln w="19050">
            <a:solidFill>
              <a:schemeClr val="lt1"/>
            </a:solidFill>
          </a:ln>
          <a:effectLst/>
        </c:spPr>
      </c:pivotFmt>
      <c:pivotFmt>
        <c:idx val="9"/>
        <c:spPr>
          <a:solidFill>
            <a:schemeClr val="accent3">
              <a:lumMod val="40000"/>
              <a:lumOff val="60000"/>
            </a:schemeClr>
          </a:solidFill>
          <a:ln w="19050">
            <a:solidFill>
              <a:schemeClr val="lt1"/>
            </a:solidFill>
          </a:ln>
          <a:effectLst/>
        </c:spPr>
      </c:pivotFmt>
      <c:pivotFmt>
        <c:idx val="10"/>
        <c:spPr>
          <a:solidFill>
            <a:srgbClr val="92D050"/>
          </a:solidFill>
          <a:ln w="19050">
            <a:solidFill>
              <a:schemeClr val="lt1"/>
            </a:solidFill>
          </a:ln>
          <a:effectLst/>
        </c:spP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s-CO"/>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hade val="47000"/>
            </a:schemeClr>
          </a:solidFill>
          <a:ln w="19050">
            <a:solidFill>
              <a:schemeClr val="lt1"/>
            </a:solidFill>
          </a:ln>
          <a:effectLst/>
        </c:spPr>
      </c:pivotFmt>
      <c:pivotFmt>
        <c:idx val="12"/>
        <c:spPr>
          <a:solidFill>
            <a:schemeClr val="accent6">
              <a:shade val="45000"/>
            </a:schemeClr>
          </a:solidFill>
          <a:ln w="19050">
            <a:solidFill>
              <a:schemeClr val="lt1"/>
            </a:solidFill>
          </a:ln>
          <a:effectLst/>
        </c:spPr>
      </c:pivotFmt>
      <c:pivotFmt>
        <c:idx val="13"/>
        <c:spPr>
          <a:solidFill>
            <a:schemeClr val="accent6">
              <a:shade val="44000"/>
            </a:schemeClr>
          </a:solidFill>
          <a:ln w="19050">
            <a:solidFill>
              <a:schemeClr val="lt1"/>
            </a:solidFill>
          </a:ln>
          <a:effectLst/>
        </c:spPr>
      </c:pivotFmt>
      <c:pivotFmt>
        <c:idx val="14"/>
        <c:spPr>
          <a:solidFill>
            <a:schemeClr val="accent6">
              <a:shade val="42000"/>
            </a:schemeClr>
          </a:solidFill>
          <a:ln w="19050">
            <a:solidFill>
              <a:schemeClr val="lt1"/>
            </a:solidFill>
          </a:ln>
          <a:effectLst/>
        </c:spPr>
      </c:pivotFmt>
      <c:pivotFmt>
        <c:idx val="15"/>
        <c:spPr>
          <a:solidFill>
            <a:schemeClr val="accent6">
              <a:shade val="41000"/>
            </a:schemeClr>
          </a:solidFill>
          <a:ln w="19050">
            <a:solidFill>
              <a:schemeClr val="lt1"/>
            </a:solidFill>
          </a:ln>
          <a:effectLst/>
        </c:spPr>
      </c:pivotFmt>
      <c:pivotFmt>
        <c:idx val="16"/>
        <c:spPr>
          <a:solidFill>
            <a:schemeClr val="accent6">
              <a:shade val="40000"/>
            </a:schemeClr>
          </a:solidFill>
          <a:ln w="19050">
            <a:solidFill>
              <a:schemeClr val="lt1"/>
            </a:solidFill>
          </a:ln>
          <a:effectLst/>
        </c:spPr>
      </c:pivotFmt>
    </c:pivotFmts>
    <c:plotArea>
      <c:layout/>
      <c:pieChart>
        <c:varyColors val="1"/>
        <c:ser>
          <c:idx val="0"/>
          <c:order val="0"/>
          <c:tx>
            <c:strRef>
              <c:f>'Tablas Turistren'!$P$2</c:f>
              <c:strCache>
                <c:ptCount val="1"/>
                <c:pt idx="0">
                  <c:v>Total</c:v>
                </c:pt>
              </c:strCache>
            </c:strRef>
          </c:tx>
          <c:dPt>
            <c:idx val="0"/>
            <c:bubble3D val="0"/>
            <c:spPr>
              <a:solidFill>
                <a:schemeClr val="accent6">
                  <a:shade val="44000"/>
                </a:schemeClr>
              </a:solidFill>
              <a:ln w="19050">
                <a:solidFill>
                  <a:schemeClr val="lt1"/>
                </a:solidFill>
              </a:ln>
              <a:effectLst/>
            </c:spPr>
            <c:extLst>
              <c:ext xmlns:c16="http://schemas.microsoft.com/office/drawing/2014/chart" uri="{C3380CC4-5D6E-409C-BE32-E72D297353CC}">
                <c16:uniqueId val="{00000001-E60C-4708-AA0E-673879907316}"/>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E60C-4708-AA0E-673879907316}"/>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F9FD-49B4-81E4-4186674AA6B8}"/>
              </c:ext>
            </c:extLst>
          </c:dPt>
          <c:dPt>
            <c:idx val="3"/>
            <c:bubble3D val="0"/>
            <c:spPr>
              <a:solidFill>
                <a:schemeClr val="accent6"/>
              </a:solidFill>
              <a:ln w="19050">
                <a:solidFill>
                  <a:schemeClr val="lt1"/>
                </a:solidFill>
              </a:ln>
              <a:effectLst/>
            </c:spPr>
            <c:extLst>
              <c:ext xmlns:c16="http://schemas.microsoft.com/office/drawing/2014/chart" uri="{C3380CC4-5D6E-409C-BE32-E72D297353CC}">
                <c16:uniqueId val="{00000007-26FB-417C-AA8E-A026996A80C9}"/>
              </c:ext>
            </c:extLst>
          </c:dPt>
          <c:dPt>
            <c:idx val="4"/>
            <c:bubble3D val="0"/>
            <c:spPr>
              <a:solidFill>
                <a:schemeClr val="accent6"/>
              </a:solidFill>
              <a:ln w="19050">
                <a:solidFill>
                  <a:schemeClr val="lt1"/>
                </a:solidFill>
              </a:ln>
              <a:effectLst/>
            </c:spPr>
            <c:extLst>
              <c:ext xmlns:c16="http://schemas.microsoft.com/office/drawing/2014/chart" uri="{C3380CC4-5D6E-409C-BE32-E72D297353CC}">
                <c16:uniqueId val="{00000009-FD40-48AD-B3DC-6A3302FED7F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231-4226-9CA1-7933D0058271}"/>
              </c:ext>
            </c:extLst>
          </c:dPt>
          <c:dPt>
            <c:idx val="6"/>
            <c:bubble3D val="0"/>
            <c:spPr>
              <a:solidFill>
                <a:schemeClr val="accent6"/>
              </a:solidFill>
              <a:ln w="19050">
                <a:solidFill>
                  <a:schemeClr val="lt1"/>
                </a:solidFill>
              </a:ln>
              <a:effectLst/>
            </c:spPr>
            <c:extLst>
              <c:ext xmlns:c16="http://schemas.microsoft.com/office/drawing/2014/chart" uri="{C3380CC4-5D6E-409C-BE32-E72D297353CC}">
                <c16:uniqueId val="{0000000D-EC37-4819-8168-5A3712B2C2EF}"/>
              </c:ext>
            </c:extLst>
          </c:dPt>
          <c:dPt>
            <c:idx val="7"/>
            <c:bubble3D val="0"/>
            <c:spPr>
              <a:solidFill>
                <a:schemeClr val="accent6"/>
              </a:solidFill>
              <a:ln w="19050">
                <a:solidFill>
                  <a:schemeClr val="lt1"/>
                </a:solidFill>
              </a:ln>
              <a:effectLst/>
            </c:spPr>
            <c:extLst>
              <c:ext xmlns:c16="http://schemas.microsoft.com/office/drawing/2014/chart" uri="{C3380CC4-5D6E-409C-BE32-E72D297353CC}">
                <c16:uniqueId val="{0000000F-2D0B-445D-A23E-B08EA0EE1D46}"/>
              </c:ext>
            </c:extLst>
          </c:dPt>
          <c:dPt>
            <c:idx val="8"/>
            <c:bubble3D val="0"/>
            <c:spPr>
              <a:solidFill>
                <a:schemeClr val="accent6"/>
              </a:solidFill>
              <a:ln w="19050">
                <a:solidFill>
                  <a:schemeClr val="lt1"/>
                </a:solidFill>
              </a:ln>
              <a:effectLst/>
            </c:spPr>
            <c:extLst>
              <c:ext xmlns:c16="http://schemas.microsoft.com/office/drawing/2014/chart" uri="{C3380CC4-5D6E-409C-BE32-E72D297353CC}">
                <c16:uniqueId val="{00000011-17E8-4013-A9D1-2A87DF9744FE}"/>
              </c:ext>
            </c:extLst>
          </c:dPt>
          <c:dPt>
            <c:idx val="9"/>
            <c:bubble3D val="0"/>
            <c:spPr>
              <a:solidFill>
                <a:schemeClr val="accent6"/>
              </a:solidFill>
              <a:ln w="19050">
                <a:solidFill>
                  <a:schemeClr val="lt1"/>
                </a:solidFill>
              </a:ln>
              <a:effectLst/>
            </c:spPr>
            <c:extLst>
              <c:ext xmlns:c16="http://schemas.microsoft.com/office/drawing/2014/chart" uri="{C3380CC4-5D6E-409C-BE32-E72D297353CC}">
                <c16:uniqueId val="{00000013-4447-4DCE-99EB-41A351004241}"/>
              </c:ext>
            </c:extLst>
          </c:dPt>
          <c:dPt>
            <c:idx val="10"/>
            <c:bubble3D val="0"/>
            <c:spPr>
              <a:solidFill>
                <a:schemeClr val="accent6"/>
              </a:solidFill>
              <a:ln w="19050">
                <a:solidFill>
                  <a:schemeClr val="lt1"/>
                </a:solidFill>
              </a:ln>
              <a:effectLst/>
            </c:spPr>
            <c:extLst>
              <c:ext xmlns:c16="http://schemas.microsoft.com/office/drawing/2014/chart" uri="{C3380CC4-5D6E-409C-BE32-E72D297353CC}">
                <c16:uniqueId val="{00000015-A726-4359-9A8A-9F6D252588E3}"/>
              </c:ext>
            </c:extLst>
          </c:dPt>
          <c:dPt>
            <c:idx val="11"/>
            <c:bubble3D val="0"/>
            <c:spPr>
              <a:solidFill>
                <a:schemeClr val="accent6"/>
              </a:solidFill>
              <a:ln w="19050">
                <a:solidFill>
                  <a:schemeClr val="lt1"/>
                </a:solidFill>
              </a:ln>
              <a:effectLst/>
            </c:spPr>
            <c:extLst>
              <c:ext xmlns:c16="http://schemas.microsoft.com/office/drawing/2014/chart" uri="{C3380CC4-5D6E-409C-BE32-E72D297353CC}">
                <c16:uniqueId val="{00000017-2B79-4481-A17D-70939C4D0616}"/>
              </c:ext>
            </c:extLst>
          </c:dPt>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s-CO"/>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'Tablas Turistren'!$O$3:$O$4</c:f>
              <c:strCache>
                <c:ptCount val="1"/>
                <c:pt idx="0">
                  <c:v>SEP</c:v>
                </c:pt>
              </c:strCache>
            </c:strRef>
          </c:cat>
          <c:val>
            <c:numRef>
              <c:f>'Tablas Turistren'!$P$3:$P$4</c:f>
              <c:numCache>
                <c:formatCode>_-* #,##0_-;\-* #,##0_-;_-* "-"??_-;_-@_-</c:formatCode>
                <c:ptCount val="1"/>
                <c:pt idx="0">
                  <c:v>35798</c:v>
                </c:pt>
              </c:numCache>
            </c:numRef>
          </c:val>
          <c:extLst>
            <c:ext xmlns:c16="http://schemas.microsoft.com/office/drawing/2014/chart" uri="{C3380CC4-5D6E-409C-BE32-E72D297353CC}">
              <c16:uniqueId val="{00000004-E60C-4708-AA0E-67387990731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87202625102543"/>
          <c:y val="6.0091805363325139E-2"/>
          <c:w val="9.6390484003281374E-2"/>
          <c:h val="0.57006517095259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[Informe recaudos septiembre 202.xlsx]Tablas Turistren!TablaDinámica1</c:name>
    <c:fmtId val="6"/>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Total por usuario</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'Tablas Turistren'!$T$3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'Tablas Turistren'!$S$4:$S$12</c:f>
              <c:multiLvlStrCache>
                <c:ptCount val="4"/>
                <c:lvl>
                  <c:pt idx="0">
                    <c:v>2025</c:v>
                  </c:pt>
                  <c:pt idx="1">
                    <c:v>2025</c:v>
                  </c:pt>
                  <c:pt idx="2">
                    <c:v>2025</c:v>
                  </c:pt>
                  <c:pt idx="3">
                    <c:v>2025</c:v>
                  </c:pt>
                </c:lvl>
                <c:lvl>
                  <c:pt idx="0">
                    <c:v>Turístico</c:v>
                  </c:pt>
                  <c:pt idx="1">
                    <c:v>Universidad de la Sabana </c:v>
                  </c:pt>
                  <c:pt idx="2">
                    <c:v>Universidad del Bosque</c:v>
                  </c:pt>
                  <c:pt idx="3">
                    <c:v>Universidad militar</c:v>
                  </c:pt>
                </c:lvl>
              </c:multiLvlStrCache>
            </c:multiLvlStrRef>
          </c:cat>
          <c:val>
            <c:numRef>
              <c:f>'Tablas Turistren'!$T$4:$T$12</c:f>
              <c:numCache>
                <c:formatCode>0</c:formatCode>
                <c:ptCount val="4"/>
                <c:pt idx="0">
                  <c:v>101821</c:v>
                </c:pt>
                <c:pt idx="1">
                  <c:v>26804</c:v>
                </c:pt>
                <c:pt idx="2">
                  <c:v>58305</c:v>
                </c:pt>
                <c:pt idx="3">
                  <c:v>166438</c:v>
                </c:pt>
              </c:numCache>
            </c:numRef>
          </c:val>
          <c:extLst>
            <c:ext xmlns:c16="http://schemas.microsoft.com/office/drawing/2014/chart" uri="{C3380CC4-5D6E-409C-BE32-E72D297353CC}">
              <c16:uniqueId val="{00000000-7ACB-4C21-842F-CB83A762879D}"/>
            </c:ext>
          </c:extLst>
        </c:ser>
        <c:dLbls>
          <c:showLegendKey val="0"/>
          <c:showVal val="0"/>
          <c:showCatName val="0"/>
          <c:showSerName val="0"/>
          <c:showPercent val="0"/>
          <c:showBubbleSize val="0"/>
        </c:dLbls>
        <c:gapWidth val="115"/>
        <c:overlap val="-20"/>
        <c:axId val="756981552"/>
        <c:axId val="756982992"/>
      </c:barChart>
      <c:catAx>
        <c:axId val="7569815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s-CO"/>
          </a:p>
        </c:txPr>
        <c:crossAx val="756982992"/>
        <c:crosses val="autoZero"/>
        <c:auto val="1"/>
        <c:lblAlgn val="ctr"/>
        <c:lblOffset val="100"/>
        <c:noMultiLvlLbl val="0"/>
      </c:catAx>
      <c:valAx>
        <c:axId val="7569829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s-CO"/>
          </a:p>
        </c:txPr>
        <c:crossAx val="756981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[Informe recaudos septiembre 202.xlsx]Tablas dinamicas O.P!TablaDinámica7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Empresa prestadora de servicio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 dinamicas O.P'!$AB$1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'Tablas dinamicas O.P'!$AA$2:$AA$7</c:f>
              <c:multiLvlStrCache>
                <c:ptCount val="3"/>
                <c:lvl>
                  <c:pt idx="0">
                    <c:v>Turistren </c:v>
                  </c:pt>
                  <c:pt idx="1">
                    <c:v>APDR</c:v>
                  </c:pt>
                  <c:pt idx="2">
                    <c:v>Turistren </c:v>
                  </c:pt>
                </c:lvl>
                <c:lvl>
                  <c:pt idx="0">
                    <c:v>2024</c:v>
                  </c:pt>
                  <c:pt idx="1">
                    <c:v>2025</c:v>
                  </c:pt>
                </c:lvl>
              </c:multiLvlStrCache>
            </c:multiLvlStrRef>
          </c:cat>
          <c:val>
            <c:numRef>
              <c:f>'Tablas dinamicas O.P'!$AB$2:$AB$7</c:f>
              <c:numCache>
                <c:formatCode>#,##0</c:formatCode>
                <c:ptCount val="3"/>
                <c:pt idx="0">
                  <c:v>514284</c:v>
                </c:pt>
                <c:pt idx="1">
                  <c:v>848</c:v>
                </c:pt>
                <c:pt idx="2">
                  <c:v>352520</c:v>
                </c:pt>
              </c:numCache>
            </c:numRef>
          </c:val>
          <c:extLst>
            <c:ext xmlns:c16="http://schemas.microsoft.com/office/drawing/2014/chart" uri="{C3380CC4-5D6E-409C-BE32-E72D297353CC}">
              <c16:uniqueId val="{00000000-E9FD-428C-8F79-5888A3449D08}"/>
            </c:ext>
          </c:extLst>
        </c:ser>
        <c:dLbls>
          <c:dLblPos val="outEnd"/>
          <c:showLegendKey val="0"/>
          <c:showVal val="1"/>
          <c:showCatName val="0"/>
          <c:showSerName val="0"/>
          <c:showPercent val="0"/>
          <c:showBubbleSize val="0"/>
        </c:dLbls>
        <c:gapWidth val="219"/>
        <c:overlap val="-27"/>
        <c:axId val="1516476656"/>
        <c:axId val="1516478576"/>
      </c:barChart>
      <c:catAx>
        <c:axId val="151647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16478576"/>
        <c:crosses val="autoZero"/>
        <c:auto val="1"/>
        <c:lblAlgn val="ctr"/>
        <c:lblOffset val="100"/>
        <c:noMultiLvlLbl val="0"/>
      </c:catAx>
      <c:valAx>
        <c:axId val="15164785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1647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[Informe recaudos septiembre 202.xlsx]Tablas Turistren!TablaDinámica2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Promedio</a:t>
            </a:r>
            <a:r>
              <a:rPr lang="en-US" baseline="0"/>
              <a:t> dia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 Turistren'!$W$3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'Tablas Turistren'!$V$4:$V$30</c:f>
              <c:multiLvlStrCache>
                <c:ptCount val="24"/>
                <c:lvl>
                  <c:pt idx="0">
                    <c:v>ene</c:v>
                  </c:pt>
                  <c:pt idx="1">
                    <c:v>feb</c:v>
                  </c:pt>
                  <c:pt idx="2">
                    <c:v>mar</c:v>
                  </c:pt>
                  <c:pt idx="3">
                    <c:v>abr</c:v>
                  </c:pt>
                  <c:pt idx="4">
                    <c:v>may</c:v>
                  </c:pt>
                  <c:pt idx="5">
                    <c:v>jun</c:v>
                  </c:pt>
                  <c:pt idx="6">
                    <c:v>jul</c:v>
                  </c:pt>
                  <c:pt idx="7">
                    <c:v>ago</c:v>
                  </c:pt>
                  <c:pt idx="8">
                    <c:v>sep</c:v>
                  </c:pt>
                  <c:pt idx="9">
                    <c:v>oct</c:v>
                  </c:pt>
                  <c:pt idx="10">
                    <c:v>nov</c:v>
                  </c:pt>
                  <c:pt idx="11">
                    <c:v>dic</c:v>
                  </c:pt>
                  <c:pt idx="12">
                    <c:v>ene</c:v>
                  </c:pt>
                  <c:pt idx="13">
                    <c:v>feb</c:v>
                  </c:pt>
                  <c:pt idx="14">
                    <c:v>mar</c:v>
                  </c:pt>
                  <c:pt idx="15">
                    <c:v>abr</c:v>
                  </c:pt>
                  <c:pt idx="16">
                    <c:v>may</c:v>
                  </c:pt>
                  <c:pt idx="17">
                    <c:v>jun</c:v>
                  </c:pt>
                  <c:pt idx="18">
                    <c:v>jul</c:v>
                  </c:pt>
                  <c:pt idx="19">
                    <c:v>ago</c:v>
                  </c:pt>
                  <c:pt idx="20">
                    <c:v>sep</c:v>
                  </c:pt>
                  <c:pt idx="21">
                    <c:v>oct</c:v>
                  </c:pt>
                  <c:pt idx="22">
                    <c:v>nov</c:v>
                  </c:pt>
                  <c:pt idx="23">
                    <c:v>dic</c:v>
                  </c:pt>
                </c:lvl>
                <c:lvl>
                  <c:pt idx="0">
                    <c:v>Turistico</c:v>
                  </c:pt>
                  <c:pt idx="12">
                    <c:v>universidad</c:v>
                  </c:pt>
                </c:lvl>
              </c:multiLvlStrCache>
            </c:multiLvlStrRef>
          </c:cat>
          <c:val>
            <c:numRef>
              <c:f>'Tablas Turistren'!$W$4:$W$30</c:f>
              <c:numCache>
                <c:formatCode>General</c:formatCode>
                <c:ptCount val="24"/>
                <c:pt idx="0">
                  <c:v>11630</c:v>
                </c:pt>
                <c:pt idx="1">
                  <c:v>6610</c:v>
                </c:pt>
                <c:pt idx="2">
                  <c:v>18062</c:v>
                </c:pt>
                <c:pt idx="3">
                  <c:v>6328</c:v>
                </c:pt>
                <c:pt idx="4">
                  <c:v>9096</c:v>
                </c:pt>
                <c:pt idx="5">
                  <c:v>15560</c:v>
                </c:pt>
                <c:pt idx="6">
                  <c:v>12492</c:v>
                </c:pt>
                <c:pt idx="7">
                  <c:v>12392</c:v>
                </c:pt>
                <c:pt idx="8">
                  <c:v>8142</c:v>
                </c:pt>
                <c:pt idx="9">
                  <c:v>10956</c:v>
                </c:pt>
                <c:pt idx="10">
                  <c:v>15963</c:v>
                </c:pt>
                <c:pt idx="11">
                  <c:v>72564</c:v>
                </c:pt>
                <c:pt idx="12">
                  <c:v>15389</c:v>
                </c:pt>
                <c:pt idx="13">
                  <c:v>43493</c:v>
                </c:pt>
                <c:pt idx="14">
                  <c:v>33941</c:v>
                </c:pt>
                <c:pt idx="15">
                  <c:v>43283</c:v>
                </c:pt>
                <c:pt idx="16">
                  <c:v>29937</c:v>
                </c:pt>
                <c:pt idx="17">
                  <c:v>17</c:v>
                </c:pt>
                <c:pt idx="18">
                  <c:v>16190</c:v>
                </c:pt>
                <c:pt idx="19">
                  <c:v>42084</c:v>
                </c:pt>
                <c:pt idx="20">
                  <c:v>33235</c:v>
                </c:pt>
                <c:pt idx="21">
                  <c:v>32653</c:v>
                </c:pt>
                <c:pt idx="22">
                  <c:v>23812</c:v>
                </c:pt>
                <c:pt idx="23">
                  <c:v>455</c:v>
                </c:pt>
              </c:numCache>
            </c:numRef>
          </c:val>
          <c:extLst>
            <c:ext xmlns:c16="http://schemas.microsoft.com/office/drawing/2014/chart" uri="{C3380CC4-5D6E-409C-BE32-E72D297353CC}">
              <c16:uniqueId val="{00000000-0AC3-41F9-9E60-05925609614F}"/>
            </c:ext>
          </c:extLst>
        </c:ser>
        <c:dLbls>
          <c:showLegendKey val="0"/>
          <c:showVal val="0"/>
          <c:showCatName val="0"/>
          <c:showSerName val="0"/>
          <c:showPercent val="0"/>
          <c:showBubbleSize val="0"/>
        </c:dLbls>
        <c:gapWidth val="219"/>
        <c:overlap val="-27"/>
        <c:axId val="886425584"/>
        <c:axId val="886427984"/>
      </c:barChart>
      <c:catAx>
        <c:axId val="88642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86427984"/>
        <c:crosses val="autoZero"/>
        <c:auto val="1"/>
        <c:lblAlgn val="ctr"/>
        <c:lblOffset val="100"/>
        <c:noMultiLvlLbl val="0"/>
      </c:catAx>
      <c:valAx>
        <c:axId val="886427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8642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6">
  <a:schemeClr val="accent6"/>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137160</xdr:rowOff>
    </xdr:from>
    <xdr:to>
      <xdr:col>10</xdr:col>
      <xdr:colOff>746760</xdr:colOff>
      <xdr:row>17</xdr:row>
      <xdr:rowOff>0</xdr:rowOff>
    </xdr:to>
    <xdr:graphicFrame macro="">
      <xdr:nvGraphicFramePr>
        <xdr:cNvPr id="2" name="Gráfico 1">
          <a:extLst>
            <a:ext uri="{FF2B5EF4-FFF2-40B4-BE49-F238E27FC236}">
              <a16:creationId xmlns:a16="http://schemas.microsoft.com/office/drawing/2014/main" id="{CA9C6F38-5191-4021-8362-BEE83BDFC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754380</xdr:colOff>
      <xdr:row>0</xdr:row>
      <xdr:rowOff>137160</xdr:rowOff>
    </xdr:from>
    <xdr:to>
      <xdr:col>23</xdr:col>
      <xdr:colOff>312420</xdr:colOff>
      <xdr:row>17</xdr:row>
      <xdr:rowOff>0</xdr:rowOff>
    </xdr:to>
    <xdr:graphicFrame macro="">
      <xdr:nvGraphicFramePr>
        <xdr:cNvPr id="3" name="Gráfico 2">
          <a:extLst>
            <a:ext uri="{FF2B5EF4-FFF2-40B4-BE49-F238E27FC236}">
              <a16:creationId xmlns:a16="http://schemas.microsoft.com/office/drawing/2014/main" id="{2582AD50-F373-4E4A-99D6-940D831547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152400</xdr:colOff>
      <xdr:row>17</xdr:row>
      <xdr:rowOff>45721</xdr:rowOff>
    </xdr:from>
    <xdr:to>
      <xdr:col>11</xdr:col>
      <xdr:colOff>662940</xdr:colOff>
      <xdr:row>23</xdr:row>
      <xdr:rowOff>45720</xdr:rowOff>
    </xdr:to>
    <mc:AlternateContent xmlns:mc="http://schemas.openxmlformats.org/markup-compatibility/2006" xmlns:a14="http://schemas.microsoft.com/office/drawing/2010/main">
      <mc:Choice Requires="a14">
        <xdr:graphicFrame macro="">
          <xdr:nvGraphicFramePr>
            <xdr:cNvPr id="4" name="Año">
              <a:extLst>
                <a:ext uri="{FF2B5EF4-FFF2-40B4-BE49-F238E27FC236}">
                  <a16:creationId xmlns:a16="http://schemas.microsoft.com/office/drawing/2014/main" id="{D9AA2C09-1D3C-00EF-A245-8E6F6F472B37}"/>
                </a:ext>
              </a:extLst>
            </xdr:cNvPr>
            <xdr:cNvGraphicFramePr/>
          </xdr:nvGraphicFramePr>
          <xdr:xfrm>
            <a:off x="0" y="0"/>
            <a:ext cx="0" cy="0"/>
          </xdr:xfrm>
          <a:graphic>
            <a:graphicData uri="http://schemas.microsoft.com/office/drawing/2010/slicer">
              <sle:slicer xmlns:sle="http://schemas.microsoft.com/office/drawing/2010/slicer" name="Año"/>
            </a:graphicData>
          </a:graphic>
        </xdr:graphicFrame>
      </mc:Choice>
      <mc:Fallback xmlns="">
        <xdr:sp macro="" textlink="">
          <xdr:nvSpPr>
            <xdr:cNvPr id="0" name=""/>
            <xdr:cNvSpPr>
              <a:spLocks noTextEdit="1"/>
            </xdr:cNvSpPr>
          </xdr:nvSpPr>
          <xdr:spPr>
            <a:xfrm>
              <a:off x="8077200" y="3154681"/>
              <a:ext cx="1303020" cy="906779"/>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1013460</xdr:colOff>
      <xdr:row>28</xdr:row>
      <xdr:rowOff>102870</xdr:rowOff>
    </xdr:from>
    <xdr:to>
      <xdr:col>9</xdr:col>
      <xdr:colOff>190500</xdr:colOff>
      <xdr:row>46</xdr:row>
      <xdr:rowOff>30480</xdr:rowOff>
    </xdr:to>
    <xdr:graphicFrame macro="">
      <xdr:nvGraphicFramePr>
        <xdr:cNvPr id="2" name="Gráfico 1">
          <a:extLst>
            <a:ext uri="{FF2B5EF4-FFF2-40B4-BE49-F238E27FC236}">
              <a16:creationId xmlns:a16="http://schemas.microsoft.com/office/drawing/2014/main" id="{071D90AD-86D2-0B8F-20DF-EE87436CAC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14</xdr:col>
      <xdr:colOff>76200</xdr:colOff>
      <xdr:row>4</xdr:row>
      <xdr:rowOff>161925</xdr:rowOff>
    </xdr:from>
    <xdr:to>
      <xdr:col>19</xdr:col>
      <xdr:colOff>695325</xdr:colOff>
      <xdr:row>20</xdr:row>
      <xdr:rowOff>9525</xdr:rowOff>
    </xdr:to>
    <xdr:graphicFrame macro="">
      <xdr:nvGraphicFramePr>
        <xdr:cNvPr id="2" name="Gráfico 1">
          <a:extLst>
            <a:ext uri="{FF2B5EF4-FFF2-40B4-BE49-F238E27FC236}">
              <a16:creationId xmlns:a16="http://schemas.microsoft.com/office/drawing/2014/main" id="{B7D747C5-9FAC-422A-BABC-6E03E77E4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409575</xdr:colOff>
      <xdr:row>4</xdr:row>
      <xdr:rowOff>171450</xdr:rowOff>
    </xdr:from>
    <xdr:to>
      <xdr:col>8</xdr:col>
      <xdr:colOff>238125</xdr:colOff>
      <xdr:row>20</xdr:row>
      <xdr:rowOff>19050</xdr:rowOff>
    </xdr:to>
    <xdr:graphicFrame macro="">
      <xdr:nvGraphicFramePr>
        <xdr:cNvPr id="4" name="Gráfico 3">
          <a:extLst>
            <a:ext uri="{FF2B5EF4-FFF2-40B4-BE49-F238E27FC236}">
              <a16:creationId xmlns:a16="http://schemas.microsoft.com/office/drawing/2014/main" id="{35D5A1D1-F399-422A-839E-DCC5AD56B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247650</xdr:colOff>
      <xdr:row>4</xdr:row>
      <xdr:rowOff>161925</xdr:rowOff>
    </xdr:from>
    <xdr:to>
      <xdr:col>14</xdr:col>
      <xdr:colOff>76200</xdr:colOff>
      <xdr:row>20</xdr:row>
      <xdr:rowOff>9525</xdr:rowOff>
    </xdr:to>
    <xdr:graphicFrame macro="">
      <xdr:nvGraphicFramePr>
        <xdr:cNvPr id="5" name="Gráfico 4">
          <a:extLst>
            <a:ext uri="{FF2B5EF4-FFF2-40B4-BE49-F238E27FC236}">
              <a16:creationId xmlns:a16="http://schemas.microsoft.com/office/drawing/2014/main" id="{B302ADA8-4E99-40B7-AD9C-33CA41560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400049</xdr:colOff>
      <xdr:row>20</xdr:row>
      <xdr:rowOff>9525</xdr:rowOff>
    </xdr:from>
    <xdr:to>
      <xdr:col>8</xdr:col>
      <xdr:colOff>247649</xdr:colOff>
      <xdr:row>35</xdr:row>
      <xdr:rowOff>38100</xdr:rowOff>
    </xdr:to>
    <xdr:graphicFrame macro="">
      <xdr:nvGraphicFramePr>
        <xdr:cNvPr id="6" name="Gráfico 5">
          <a:extLst>
            <a:ext uri="{FF2B5EF4-FFF2-40B4-BE49-F238E27FC236}">
              <a16:creationId xmlns:a16="http://schemas.microsoft.com/office/drawing/2014/main" id="{BF68F4D1-9A23-4E75-BEBB-69F96A451D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247650</xdr:colOff>
      <xdr:row>20</xdr:row>
      <xdr:rowOff>9525</xdr:rowOff>
    </xdr:from>
    <xdr:to>
      <xdr:col>14</xdr:col>
      <xdr:colOff>85725</xdr:colOff>
      <xdr:row>35</xdr:row>
      <xdr:rowOff>38100</xdr:rowOff>
    </xdr:to>
    <xdr:graphicFrame macro="">
      <xdr:nvGraphicFramePr>
        <xdr:cNvPr id="7" name="Gráfico 6">
          <a:extLst>
            <a:ext uri="{FF2B5EF4-FFF2-40B4-BE49-F238E27FC236}">
              <a16:creationId xmlns:a16="http://schemas.microsoft.com/office/drawing/2014/main" id="{26F2F763-4BAB-42FE-9F86-BB2975D85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76200</xdr:colOff>
      <xdr:row>20</xdr:row>
      <xdr:rowOff>9525</xdr:rowOff>
    </xdr:from>
    <xdr:to>
      <xdr:col>19</xdr:col>
      <xdr:colOff>695325</xdr:colOff>
      <xdr:row>35</xdr:row>
      <xdr:rowOff>38100</xdr:rowOff>
    </xdr:to>
    <xdr:graphicFrame macro="">
      <xdr:nvGraphicFramePr>
        <xdr:cNvPr id="9" name="Gráfico 8">
          <a:extLst>
            <a:ext uri="{FF2B5EF4-FFF2-40B4-BE49-F238E27FC236}">
              <a16:creationId xmlns:a16="http://schemas.microsoft.com/office/drawing/2014/main" id="{75EEF02B-7928-443E-A9EF-5BEA793FE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9525</xdr:colOff>
      <xdr:row>2</xdr:row>
      <xdr:rowOff>19050</xdr:rowOff>
    </xdr:from>
    <xdr:to>
      <xdr:col>3</xdr:col>
      <xdr:colOff>438150</xdr:colOff>
      <xdr:row>4</xdr:row>
      <xdr:rowOff>142875</xdr:rowOff>
    </xdr:to>
    <xdr:sp macro="" textlink="">
      <xdr:nvSpPr>
        <xdr:cNvPr id="10" name="Rectángulo 9">
          <a:extLst>
            <a:ext uri="{FF2B5EF4-FFF2-40B4-BE49-F238E27FC236}">
              <a16:creationId xmlns:a16="http://schemas.microsoft.com/office/drawing/2014/main" id="{E0E9A633-7F15-4154-5FA0-D1DA4356D2AB}"/>
            </a:ext>
          </a:extLst>
        </xdr:cNvPr>
        <xdr:cNvSpPr/>
      </xdr:nvSpPr>
      <xdr:spPr>
        <a:xfrm>
          <a:off x="2381250" y="285750"/>
          <a:ext cx="1219200" cy="4857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Toneladas Transportadas</a:t>
          </a:r>
        </a:p>
      </xdr:txBody>
    </xdr:sp>
    <xdr:clientData/>
  </xdr:twoCellAnchor>
  <xdr:twoCellAnchor>
    <xdr:from>
      <xdr:col>3</xdr:col>
      <xdr:colOff>447675</xdr:colOff>
      <xdr:row>2</xdr:row>
      <xdr:rowOff>19050</xdr:rowOff>
    </xdr:from>
    <xdr:to>
      <xdr:col>5</xdr:col>
      <xdr:colOff>85725</xdr:colOff>
      <xdr:row>4</xdr:row>
      <xdr:rowOff>142875</xdr:rowOff>
    </xdr:to>
    <xdr:sp macro="" textlink="'Tablas dinamicas O.P'!F6">
      <xdr:nvSpPr>
        <xdr:cNvPr id="11" name="Rectángulo 10">
          <a:extLst>
            <a:ext uri="{FF2B5EF4-FFF2-40B4-BE49-F238E27FC236}">
              <a16:creationId xmlns:a16="http://schemas.microsoft.com/office/drawing/2014/main" id="{0DF21F90-2A3C-4D45-820E-86AE37D823FF}"/>
            </a:ext>
          </a:extLst>
        </xdr:cNvPr>
        <xdr:cNvSpPr/>
      </xdr:nvSpPr>
      <xdr:spPr>
        <a:xfrm>
          <a:off x="3609975" y="285750"/>
          <a:ext cx="1219200" cy="4857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6DA80469-1EA7-4EAE-9AA9-91D5544B5989}" type="TxLink">
            <a:rPr lang="en-US" sz="1100" b="0" i="0" u="none" strike="noStrike">
              <a:solidFill>
                <a:srgbClr val="000000"/>
              </a:solidFill>
              <a:latin typeface="Calibri"/>
              <a:ea typeface="Calibri"/>
              <a:cs typeface="Calibri"/>
            </a:rPr>
            <a:pPr algn="ctr"/>
            <a:t> 4.338,15 </a:t>
          </a:fld>
          <a:endParaRPr lang="es-CO" sz="1100">
            <a:solidFill>
              <a:schemeClr val="bg1"/>
            </a:solidFill>
          </a:endParaRPr>
        </a:p>
      </xdr:txBody>
    </xdr:sp>
    <xdr:clientData/>
  </xdr:twoCellAnchor>
  <xdr:twoCellAnchor>
    <xdr:from>
      <xdr:col>5</xdr:col>
      <xdr:colOff>95250</xdr:colOff>
      <xdr:row>2</xdr:row>
      <xdr:rowOff>19050</xdr:rowOff>
    </xdr:from>
    <xdr:to>
      <xdr:col>6</xdr:col>
      <xdr:colOff>523875</xdr:colOff>
      <xdr:row>4</xdr:row>
      <xdr:rowOff>142875</xdr:rowOff>
    </xdr:to>
    <xdr:sp macro="" textlink="">
      <xdr:nvSpPr>
        <xdr:cNvPr id="12" name="Rectángulo 11">
          <a:extLst>
            <a:ext uri="{FF2B5EF4-FFF2-40B4-BE49-F238E27FC236}">
              <a16:creationId xmlns:a16="http://schemas.microsoft.com/office/drawing/2014/main" id="{990CEE0B-E9F0-4091-8E64-CA90F8F34236}"/>
            </a:ext>
          </a:extLst>
        </xdr:cNvPr>
        <xdr:cNvSpPr/>
      </xdr:nvSpPr>
      <xdr:spPr>
        <a:xfrm>
          <a:off x="4838700" y="285750"/>
          <a:ext cx="1219200" cy="4857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Alquiler locomotoras</a:t>
          </a:r>
          <a:r>
            <a:rPr lang="es-CO" sz="1100" baseline="0"/>
            <a:t> </a:t>
          </a:r>
          <a:endParaRPr lang="es-CO" sz="1100"/>
        </a:p>
      </xdr:txBody>
    </xdr:sp>
    <xdr:clientData/>
  </xdr:twoCellAnchor>
  <xdr:twoCellAnchor>
    <xdr:from>
      <xdr:col>6</xdr:col>
      <xdr:colOff>523875</xdr:colOff>
      <xdr:row>2</xdr:row>
      <xdr:rowOff>19050</xdr:rowOff>
    </xdr:from>
    <xdr:to>
      <xdr:col>8</xdr:col>
      <xdr:colOff>161925</xdr:colOff>
      <xdr:row>4</xdr:row>
      <xdr:rowOff>142875</xdr:rowOff>
    </xdr:to>
    <xdr:sp macro="" textlink="'Tablas dinamicas O.P'!J6">
      <xdr:nvSpPr>
        <xdr:cNvPr id="13" name="Rectángulo 12">
          <a:extLst>
            <a:ext uri="{FF2B5EF4-FFF2-40B4-BE49-F238E27FC236}">
              <a16:creationId xmlns:a16="http://schemas.microsoft.com/office/drawing/2014/main" id="{D5FE057A-6BF3-4703-B1AB-03B628895C12}"/>
            </a:ext>
          </a:extLst>
        </xdr:cNvPr>
        <xdr:cNvSpPr/>
      </xdr:nvSpPr>
      <xdr:spPr>
        <a:xfrm>
          <a:off x="6057900" y="285750"/>
          <a:ext cx="1219200" cy="4857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378785EA-68C8-47D5-91D3-B144FEB800E1}" type="TxLink">
            <a:rPr lang="en-US" sz="1100" b="0" i="0" u="none" strike="noStrike">
              <a:solidFill>
                <a:srgbClr val="000000"/>
              </a:solidFill>
              <a:latin typeface="Calibri"/>
              <a:ea typeface="Calibri"/>
              <a:cs typeface="Calibri"/>
            </a:rPr>
            <a:pPr algn="l"/>
            <a:t> $9.257.081,60 </a:t>
          </a:fld>
          <a:endParaRPr lang="es-CO" sz="1100"/>
        </a:p>
      </xdr:txBody>
    </xdr:sp>
    <xdr:clientData/>
  </xdr:twoCellAnchor>
  <xdr:twoCellAnchor>
    <xdr:from>
      <xdr:col>19</xdr:col>
      <xdr:colOff>57150</xdr:colOff>
      <xdr:row>2</xdr:row>
      <xdr:rowOff>19050</xdr:rowOff>
    </xdr:from>
    <xdr:to>
      <xdr:col>21</xdr:col>
      <xdr:colOff>0</xdr:colOff>
      <xdr:row>4</xdr:row>
      <xdr:rowOff>142875</xdr:rowOff>
    </xdr:to>
    <xdr:sp macro="" textlink="'Tablas dinamicas O.P'!W7">
      <xdr:nvSpPr>
        <xdr:cNvPr id="14" name="Rectángulo 13">
          <a:extLst>
            <a:ext uri="{FF2B5EF4-FFF2-40B4-BE49-F238E27FC236}">
              <a16:creationId xmlns:a16="http://schemas.microsoft.com/office/drawing/2014/main" id="{36D742F6-BC0E-4FB7-9019-270BE87C361E}"/>
            </a:ext>
          </a:extLst>
        </xdr:cNvPr>
        <xdr:cNvSpPr/>
      </xdr:nvSpPr>
      <xdr:spPr>
        <a:xfrm>
          <a:off x="15868650" y="285750"/>
          <a:ext cx="1219200" cy="4857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BE2F5714-EE5B-4675-B715-AB902B832491}" type="TxLink">
            <a:rPr lang="en-US" sz="1100" b="0" i="0" u="none" strike="noStrike">
              <a:solidFill>
                <a:srgbClr val="000000"/>
              </a:solidFill>
              <a:latin typeface="Calibri"/>
              <a:ea typeface="Calibri"/>
              <a:cs typeface="Calibri"/>
            </a:rPr>
            <a:pPr algn="ctr"/>
            <a:t> $6.596.368,21 </a:t>
          </a:fld>
          <a:endParaRPr lang="es-CO" sz="1100"/>
        </a:p>
      </xdr:txBody>
    </xdr:sp>
    <xdr:clientData/>
  </xdr:twoCellAnchor>
  <xdr:twoCellAnchor>
    <xdr:from>
      <xdr:col>17</xdr:col>
      <xdr:colOff>428625</xdr:colOff>
      <xdr:row>2</xdr:row>
      <xdr:rowOff>19050</xdr:rowOff>
    </xdr:from>
    <xdr:to>
      <xdr:col>19</xdr:col>
      <xdr:colOff>66675</xdr:colOff>
      <xdr:row>4</xdr:row>
      <xdr:rowOff>142875</xdr:rowOff>
    </xdr:to>
    <xdr:sp macro="" textlink="">
      <xdr:nvSpPr>
        <xdr:cNvPr id="15" name="Rectángulo 14">
          <a:extLst>
            <a:ext uri="{FF2B5EF4-FFF2-40B4-BE49-F238E27FC236}">
              <a16:creationId xmlns:a16="http://schemas.microsoft.com/office/drawing/2014/main" id="{5A66EF8B-BFDB-49CF-BD53-65DE97E233A8}"/>
            </a:ext>
          </a:extLst>
        </xdr:cNvPr>
        <xdr:cNvSpPr/>
      </xdr:nvSpPr>
      <xdr:spPr>
        <a:xfrm>
          <a:off x="14658975" y="285750"/>
          <a:ext cx="1219200" cy="4857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Uso de vía </a:t>
          </a:r>
        </a:p>
      </xdr:txBody>
    </xdr:sp>
    <xdr:clientData/>
  </xdr:twoCellAnchor>
  <xdr:twoCellAnchor>
    <xdr:from>
      <xdr:col>15</xdr:col>
      <xdr:colOff>781050</xdr:colOff>
      <xdr:row>2</xdr:row>
      <xdr:rowOff>19050</xdr:rowOff>
    </xdr:from>
    <xdr:to>
      <xdr:col>17</xdr:col>
      <xdr:colOff>419100</xdr:colOff>
      <xdr:row>4</xdr:row>
      <xdr:rowOff>142875</xdr:rowOff>
    </xdr:to>
    <xdr:sp macro="" textlink="'Tablas dinamicas O.P'!S7">
      <xdr:nvSpPr>
        <xdr:cNvPr id="16" name="Rectángulo 15">
          <a:extLst>
            <a:ext uri="{FF2B5EF4-FFF2-40B4-BE49-F238E27FC236}">
              <a16:creationId xmlns:a16="http://schemas.microsoft.com/office/drawing/2014/main" id="{0520010A-E445-42BF-A458-42AD7BB9158B}"/>
            </a:ext>
          </a:extLst>
        </xdr:cNvPr>
        <xdr:cNvSpPr/>
      </xdr:nvSpPr>
      <xdr:spPr>
        <a:xfrm>
          <a:off x="13430250" y="285750"/>
          <a:ext cx="1219200" cy="4857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4E1BA16F-BE76-4896-80A3-702F7080EE48}" type="TxLink">
            <a:rPr lang="en-US" sz="1100" b="0" i="0" u="none" strike="noStrike">
              <a:solidFill>
                <a:srgbClr val="000000"/>
              </a:solidFill>
              <a:latin typeface="Calibri"/>
              <a:ea typeface="Calibri"/>
              <a:cs typeface="Calibri"/>
            </a:rPr>
            <a:pPr algn="l"/>
            <a:t> 717.230,05 </a:t>
          </a:fld>
          <a:endParaRPr lang="es-CO" sz="1100"/>
        </a:p>
      </xdr:txBody>
    </xdr:sp>
    <xdr:clientData/>
  </xdr:twoCellAnchor>
  <xdr:twoCellAnchor>
    <xdr:from>
      <xdr:col>14</xdr:col>
      <xdr:colOff>342900</xdr:colOff>
      <xdr:row>2</xdr:row>
      <xdr:rowOff>19050</xdr:rowOff>
    </xdr:from>
    <xdr:to>
      <xdr:col>15</xdr:col>
      <xdr:colOff>771525</xdr:colOff>
      <xdr:row>4</xdr:row>
      <xdr:rowOff>142875</xdr:rowOff>
    </xdr:to>
    <xdr:sp macro="" textlink="">
      <xdr:nvSpPr>
        <xdr:cNvPr id="17" name="Rectángulo 16">
          <a:extLst>
            <a:ext uri="{FF2B5EF4-FFF2-40B4-BE49-F238E27FC236}">
              <a16:creationId xmlns:a16="http://schemas.microsoft.com/office/drawing/2014/main" id="{59DC5570-3910-4334-B6ED-08D34D0ABA75}"/>
            </a:ext>
          </a:extLst>
        </xdr:cNvPr>
        <xdr:cNvSpPr/>
      </xdr:nvSpPr>
      <xdr:spPr>
        <a:xfrm>
          <a:off x="12201525" y="285750"/>
          <a:ext cx="1219200" cy="4857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Ton-km</a:t>
          </a:r>
        </a:p>
      </xdr:txBody>
    </xdr:sp>
    <xdr:clientData/>
  </xdr:twoCellAnchor>
  <xdr:twoCellAnchor>
    <xdr:from>
      <xdr:col>12</xdr:col>
      <xdr:colOff>695325</xdr:colOff>
      <xdr:row>2</xdr:row>
      <xdr:rowOff>19050</xdr:rowOff>
    </xdr:from>
    <xdr:to>
      <xdr:col>14</xdr:col>
      <xdr:colOff>333375</xdr:colOff>
      <xdr:row>4</xdr:row>
      <xdr:rowOff>142875</xdr:rowOff>
    </xdr:to>
    <xdr:sp macro="" textlink="'Tablas dinamicas O.P'!B6">
      <xdr:nvSpPr>
        <xdr:cNvPr id="18" name="Rectángulo 17">
          <a:extLst>
            <a:ext uri="{FF2B5EF4-FFF2-40B4-BE49-F238E27FC236}">
              <a16:creationId xmlns:a16="http://schemas.microsoft.com/office/drawing/2014/main" id="{0D9078CE-3F66-4EC5-8661-6F29B8465DE1}"/>
            </a:ext>
          </a:extLst>
        </xdr:cNvPr>
        <xdr:cNvSpPr/>
      </xdr:nvSpPr>
      <xdr:spPr>
        <a:xfrm>
          <a:off x="10972800" y="285750"/>
          <a:ext cx="1219200" cy="4857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94142BE7-865E-4EE9-A4F3-E388E6E33B6D}" type="TxLink">
            <a:rPr lang="en-US" sz="1100" b="0" i="0" u="none" strike="noStrike">
              <a:solidFill>
                <a:srgbClr val="000000"/>
              </a:solidFill>
              <a:latin typeface="Calibri"/>
              <a:ea typeface="Calibri"/>
              <a:cs typeface="Calibri"/>
            </a:rPr>
            <a:pPr algn="ctr"/>
            <a:t> $15.014.884,51 </a:t>
          </a:fld>
          <a:endParaRPr lang="es-CO" sz="1100"/>
        </a:p>
      </xdr:txBody>
    </xdr:sp>
    <xdr:clientData/>
  </xdr:twoCellAnchor>
  <xdr:twoCellAnchor>
    <xdr:from>
      <xdr:col>11</xdr:col>
      <xdr:colOff>257175</xdr:colOff>
      <xdr:row>2</xdr:row>
      <xdr:rowOff>19050</xdr:rowOff>
    </xdr:from>
    <xdr:to>
      <xdr:col>12</xdr:col>
      <xdr:colOff>685800</xdr:colOff>
      <xdr:row>4</xdr:row>
      <xdr:rowOff>142875</xdr:rowOff>
    </xdr:to>
    <xdr:sp macro="" textlink="">
      <xdr:nvSpPr>
        <xdr:cNvPr id="19" name="Rectángulo 18">
          <a:extLst>
            <a:ext uri="{FF2B5EF4-FFF2-40B4-BE49-F238E27FC236}">
              <a16:creationId xmlns:a16="http://schemas.microsoft.com/office/drawing/2014/main" id="{48A6F699-9F1D-4BE6-9B3C-A4E53DDB66DB}"/>
            </a:ext>
          </a:extLst>
        </xdr:cNvPr>
        <xdr:cNvSpPr/>
      </xdr:nvSpPr>
      <xdr:spPr>
        <a:xfrm>
          <a:off x="9744075" y="285750"/>
          <a:ext cx="1219200" cy="4857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t>Valor Alquiler material rodante </a:t>
          </a:r>
        </a:p>
      </xdr:txBody>
    </xdr:sp>
    <xdr:clientData/>
  </xdr:twoCellAnchor>
  <xdr:twoCellAnchor>
    <xdr:from>
      <xdr:col>9</xdr:col>
      <xdr:colOff>609600</xdr:colOff>
      <xdr:row>2</xdr:row>
      <xdr:rowOff>19050</xdr:rowOff>
    </xdr:from>
    <xdr:to>
      <xdr:col>11</xdr:col>
      <xdr:colOff>247650</xdr:colOff>
      <xdr:row>4</xdr:row>
      <xdr:rowOff>142875</xdr:rowOff>
    </xdr:to>
    <xdr:sp macro="" textlink="'Tablas dinamicas O.P'!J7">
      <xdr:nvSpPr>
        <xdr:cNvPr id="20" name="Rectángulo 19">
          <a:extLst>
            <a:ext uri="{FF2B5EF4-FFF2-40B4-BE49-F238E27FC236}">
              <a16:creationId xmlns:a16="http://schemas.microsoft.com/office/drawing/2014/main" id="{7FCFDABA-B970-4215-AEE3-FCDAC8DB9F19}"/>
            </a:ext>
          </a:extLst>
        </xdr:cNvPr>
        <xdr:cNvSpPr/>
      </xdr:nvSpPr>
      <xdr:spPr>
        <a:xfrm>
          <a:off x="8515350" y="285750"/>
          <a:ext cx="1219200" cy="4857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D4639C36-EDA4-4CC1-B0E9-7A93E9B4C246}" type="TxLink">
            <a:rPr lang="en-US" sz="1100" b="0" i="0" u="none" strike="noStrike">
              <a:solidFill>
                <a:srgbClr val="000000"/>
              </a:solidFill>
              <a:latin typeface="Calibri"/>
              <a:ea typeface="Calibri"/>
              <a:cs typeface="Calibri"/>
            </a:rPr>
            <a:pPr algn="l"/>
            <a:t> $5.757.802,91 </a:t>
          </a:fld>
          <a:endParaRPr lang="es-CO" sz="1100"/>
        </a:p>
      </xdr:txBody>
    </xdr:sp>
    <xdr:clientData/>
  </xdr:twoCellAnchor>
  <xdr:twoCellAnchor>
    <xdr:from>
      <xdr:col>8</xdr:col>
      <xdr:colOff>171450</xdr:colOff>
      <xdr:row>2</xdr:row>
      <xdr:rowOff>19050</xdr:rowOff>
    </xdr:from>
    <xdr:to>
      <xdr:col>9</xdr:col>
      <xdr:colOff>600075</xdr:colOff>
      <xdr:row>4</xdr:row>
      <xdr:rowOff>142875</xdr:rowOff>
    </xdr:to>
    <xdr:sp macro="" textlink="">
      <xdr:nvSpPr>
        <xdr:cNvPr id="21" name="Rectángulo 20">
          <a:extLst>
            <a:ext uri="{FF2B5EF4-FFF2-40B4-BE49-F238E27FC236}">
              <a16:creationId xmlns:a16="http://schemas.microsoft.com/office/drawing/2014/main" id="{F6C36946-0D33-4CE6-AEEF-65CED24B61CC}"/>
            </a:ext>
          </a:extLst>
        </xdr:cNvPr>
        <xdr:cNvSpPr/>
      </xdr:nvSpPr>
      <xdr:spPr>
        <a:xfrm>
          <a:off x="7286625" y="285750"/>
          <a:ext cx="1219200" cy="4857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Alquiler</a:t>
          </a:r>
          <a:r>
            <a:rPr lang="es-CO" sz="1100" baseline="0"/>
            <a:t> Plataformas</a:t>
          </a:r>
          <a:endParaRPr lang="es-CO" sz="1100"/>
        </a:p>
      </xdr:txBody>
    </xdr:sp>
    <xdr:clientData/>
  </xdr:twoCellAnchor>
  <xdr:twoCellAnchor editAs="oneCell">
    <xdr:from>
      <xdr:col>0</xdr:col>
      <xdr:colOff>19050</xdr:colOff>
      <xdr:row>16</xdr:row>
      <xdr:rowOff>1905</xdr:rowOff>
    </xdr:from>
    <xdr:to>
      <xdr:col>1</xdr:col>
      <xdr:colOff>1057275</xdr:colOff>
      <xdr:row>25</xdr:row>
      <xdr:rowOff>133350</xdr:rowOff>
    </xdr:to>
    <mc:AlternateContent xmlns:mc="http://schemas.openxmlformats.org/markup-compatibility/2006" xmlns:a14="http://schemas.microsoft.com/office/drawing/2010/main">
      <mc:Choice Requires="a14">
        <xdr:graphicFrame macro="">
          <xdr:nvGraphicFramePr>
            <xdr:cNvPr id="23" name="Factura">
              <a:extLst>
                <a:ext uri="{FF2B5EF4-FFF2-40B4-BE49-F238E27FC236}">
                  <a16:creationId xmlns:a16="http://schemas.microsoft.com/office/drawing/2014/main" id="{1092A0A5-8D00-644F-56EA-23DB9E7DBF24}"/>
                </a:ext>
              </a:extLst>
            </xdr:cNvPr>
            <xdr:cNvGraphicFramePr/>
          </xdr:nvGraphicFramePr>
          <xdr:xfrm>
            <a:off x="0" y="0"/>
            <a:ext cx="0" cy="0"/>
          </xdr:xfrm>
          <a:graphic>
            <a:graphicData uri="http://schemas.microsoft.com/office/drawing/2010/slicer">
              <sle:slicer xmlns:sle="http://schemas.microsoft.com/office/drawing/2010/slicer" name="Factura"/>
            </a:graphicData>
          </a:graphic>
        </xdr:graphicFrame>
      </mc:Choice>
      <mc:Fallback xmlns="">
        <xdr:sp macro="" textlink="">
          <xdr:nvSpPr>
            <xdr:cNvPr id="0" name=""/>
            <xdr:cNvSpPr>
              <a:spLocks noTextEdit="1"/>
            </xdr:cNvSpPr>
          </xdr:nvSpPr>
          <xdr:spPr>
            <a:xfrm>
              <a:off x="19050" y="2907030"/>
              <a:ext cx="1828800" cy="1760220"/>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0</xdr:colOff>
      <xdr:row>25</xdr:row>
      <xdr:rowOff>135255</xdr:rowOff>
    </xdr:from>
    <xdr:to>
      <xdr:col>1</xdr:col>
      <xdr:colOff>1038225</xdr:colOff>
      <xdr:row>34</xdr:row>
      <xdr:rowOff>142875</xdr:rowOff>
    </xdr:to>
    <mc:AlternateContent xmlns:mc="http://schemas.openxmlformats.org/markup-compatibility/2006" xmlns:a14="http://schemas.microsoft.com/office/drawing/2010/main">
      <mc:Choice Requires="a14">
        <xdr:graphicFrame macro="">
          <xdr:nvGraphicFramePr>
            <xdr:cNvPr id="24" name="Mes">
              <a:extLst>
                <a:ext uri="{FF2B5EF4-FFF2-40B4-BE49-F238E27FC236}">
                  <a16:creationId xmlns:a16="http://schemas.microsoft.com/office/drawing/2014/main" id="{24C726F8-6701-15E5-1462-F1DA2E9C6C93}"/>
                </a:ext>
              </a:extLst>
            </xdr:cNvPr>
            <xdr:cNvGraphicFramePr/>
          </xdr:nvGraphicFramePr>
          <xdr:xfrm>
            <a:off x="0" y="0"/>
            <a:ext cx="0" cy="0"/>
          </xdr:xfrm>
          <a:graphic>
            <a:graphicData uri="http://schemas.microsoft.com/office/drawing/2010/slicer">
              <sle:slicer xmlns:sle="http://schemas.microsoft.com/office/drawing/2010/slicer" name="Mes"/>
            </a:graphicData>
          </a:graphic>
        </xdr:graphicFrame>
      </mc:Choice>
      <mc:Fallback xmlns="">
        <xdr:sp macro="" textlink="">
          <xdr:nvSpPr>
            <xdr:cNvPr id="0" name=""/>
            <xdr:cNvSpPr>
              <a:spLocks noTextEdit="1"/>
            </xdr:cNvSpPr>
          </xdr:nvSpPr>
          <xdr:spPr>
            <a:xfrm>
              <a:off x="0" y="4669155"/>
              <a:ext cx="1828800" cy="1636395"/>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19050</xdr:colOff>
      <xdr:row>11</xdr:row>
      <xdr:rowOff>38100</xdr:rowOff>
    </xdr:from>
    <xdr:to>
      <xdr:col>1</xdr:col>
      <xdr:colOff>1057275</xdr:colOff>
      <xdr:row>16</xdr:row>
      <xdr:rowOff>0</xdr:rowOff>
    </xdr:to>
    <mc:AlternateContent xmlns:mc="http://schemas.openxmlformats.org/markup-compatibility/2006" xmlns:a14="http://schemas.microsoft.com/office/drawing/2010/main">
      <mc:Choice Requires="a14">
        <xdr:graphicFrame macro="">
          <xdr:nvGraphicFramePr>
            <xdr:cNvPr id="3" name="AÑO 1">
              <a:extLst>
                <a:ext uri="{FF2B5EF4-FFF2-40B4-BE49-F238E27FC236}">
                  <a16:creationId xmlns:a16="http://schemas.microsoft.com/office/drawing/2014/main" id="{829310FA-05F1-EEBB-EC45-E2744E625AA5}"/>
                </a:ext>
              </a:extLst>
            </xdr:cNvPr>
            <xdr:cNvGraphicFramePr/>
          </xdr:nvGraphicFramePr>
          <xdr:xfrm>
            <a:off x="0" y="0"/>
            <a:ext cx="0" cy="0"/>
          </xdr:xfrm>
          <a:graphic>
            <a:graphicData uri="http://schemas.microsoft.com/office/drawing/2010/slicer">
              <sle:slicer xmlns:sle="http://schemas.microsoft.com/office/drawing/2010/slicer" name="AÑO 1"/>
            </a:graphicData>
          </a:graphic>
        </xdr:graphicFrame>
      </mc:Choice>
      <mc:Fallback xmlns="">
        <xdr:sp macro="" textlink="">
          <xdr:nvSpPr>
            <xdr:cNvPr id="0" name=""/>
            <xdr:cNvSpPr>
              <a:spLocks noTextEdit="1"/>
            </xdr:cNvSpPr>
          </xdr:nvSpPr>
          <xdr:spPr>
            <a:xfrm>
              <a:off x="19050" y="2038350"/>
              <a:ext cx="1828800" cy="866775"/>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22</xdr:col>
      <xdr:colOff>681990</xdr:colOff>
      <xdr:row>8</xdr:row>
      <xdr:rowOff>148590</xdr:rowOff>
    </xdr:from>
    <xdr:to>
      <xdr:col>26</xdr:col>
      <xdr:colOff>369570</xdr:colOff>
      <xdr:row>23</xdr:row>
      <xdr:rowOff>148590</xdr:rowOff>
    </xdr:to>
    <xdr:graphicFrame macro="">
      <xdr:nvGraphicFramePr>
        <xdr:cNvPr id="2" name="Gráfico 1">
          <a:extLst>
            <a:ext uri="{FF2B5EF4-FFF2-40B4-BE49-F238E27FC236}">
              <a16:creationId xmlns:a16="http://schemas.microsoft.com/office/drawing/2014/main" id="{FF7F5D5E-ABEF-604C-0C97-0E9046333D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449580</xdr:colOff>
      <xdr:row>3</xdr:row>
      <xdr:rowOff>0</xdr:rowOff>
    </xdr:from>
    <xdr:to>
      <xdr:col>11</xdr:col>
      <xdr:colOff>266700</xdr:colOff>
      <xdr:row>18</xdr:row>
      <xdr:rowOff>199292</xdr:rowOff>
    </xdr:to>
    <xdr:graphicFrame macro="">
      <xdr:nvGraphicFramePr>
        <xdr:cNvPr id="2" name="Gráfico 1">
          <a:extLst>
            <a:ext uri="{FF2B5EF4-FFF2-40B4-BE49-F238E27FC236}">
              <a16:creationId xmlns:a16="http://schemas.microsoft.com/office/drawing/2014/main" id="{103DE256-7F88-4C15-B7A4-2E140AE0D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287655</xdr:colOff>
      <xdr:row>3</xdr:row>
      <xdr:rowOff>3810</xdr:rowOff>
    </xdr:from>
    <xdr:to>
      <xdr:col>17</xdr:col>
      <xdr:colOff>104775</xdr:colOff>
      <xdr:row>18</xdr:row>
      <xdr:rowOff>187569</xdr:rowOff>
    </xdr:to>
    <xdr:graphicFrame macro="">
      <xdr:nvGraphicFramePr>
        <xdr:cNvPr id="3" name="Gráfico 2">
          <a:extLst>
            <a:ext uri="{FF2B5EF4-FFF2-40B4-BE49-F238E27FC236}">
              <a16:creationId xmlns:a16="http://schemas.microsoft.com/office/drawing/2014/main" id="{6A0A2EE2-9D1D-44D7-AF3A-584FB897E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453683</xdr:colOff>
      <xdr:row>19</xdr:row>
      <xdr:rowOff>11723</xdr:rowOff>
    </xdr:from>
    <xdr:to>
      <xdr:col>11</xdr:col>
      <xdr:colOff>270803</xdr:colOff>
      <xdr:row>39</xdr:row>
      <xdr:rowOff>93784</xdr:rowOff>
    </xdr:to>
    <xdr:graphicFrame macro="">
      <xdr:nvGraphicFramePr>
        <xdr:cNvPr id="5" name="Gráfico 4">
          <a:extLst>
            <a:ext uri="{FF2B5EF4-FFF2-40B4-BE49-F238E27FC236}">
              <a16:creationId xmlns:a16="http://schemas.microsoft.com/office/drawing/2014/main" id="{F84CC699-9044-49AC-A22C-6F1759FC60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301283</xdr:colOff>
      <xdr:row>18</xdr:row>
      <xdr:rowOff>210429</xdr:rowOff>
    </xdr:from>
    <xdr:to>
      <xdr:col>17</xdr:col>
      <xdr:colOff>126023</xdr:colOff>
      <xdr:row>39</xdr:row>
      <xdr:rowOff>105508</xdr:rowOff>
    </xdr:to>
    <xdr:graphicFrame macro="">
      <xdr:nvGraphicFramePr>
        <xdr:cNvPr id="6" name="Gráfico 5">
          <a:extLst>
            <a:ext uri="{FF2B5EF4-FFF2-40B4-BE49-F238E27FC236}">
              <a16:creationId xmlns:a16="http://schemas.microsoft.com/office/drawing/2014/main" id="{2F0F4AAE-84A3-4C42-8EB5-EBB8D7B139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464820</xdr:colOff>
      <xdr:row>1</xdr:row>
      <xdr:rowOff>0</xdr:rowOff>
    </xdr:from>
    <xdr:to>
      <xdr:col>7</xdr:col>
      <xdr:colOff>53340</xdr:colOff>
      <xdr:row>2</xdr:row>
      <xdr:rowOff>129540</xdr:rowOff>
    </xdr:to>
    <xdr:sp macro="" textlink="">
      <xdr:nvSpPr>
        <xdr:cNvPr id="7" name="Rectángulo 6">
          <a:extLst>
            <a:ext uri="{FF2B5EF4-FFF2-40B4-BE49-F238E27FC236}">
              <a16:creationId xmlns:a16="http://schemas.microsoft.com/office/drawing/2014/main" id="{FC863EB7-55CA-483E-B9AF-7BE77CB4F702}"/>
            </a:ext>
          </a:extLst>
        </xdr:cNvPr>
        <xdr:cNvSpPr/>
      </xdr:nvSpPr>
      <xdr:spPr>
        <a:xfrm>
          <a:off x="1257300" y="182880"/>
          <a:ext cx="1173480" cy="3124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50"/>
            <a:t>Valor</a:t>
          </a:r>
          <a:r>
            <a:rPr lang="es-CO" sz="1050" baseline="0"/>
            <a:t> facturado por uso de vía</a:t>
          </a:r>
          <a:endParaRPr lang="es-CO" sz="1050"/>
        </a:p>
      </xdr:txBody>
    </xdr:sp>
    <xdr:clientData/>
  </xdr:twoCellAnchor>
  <xdr:twoCellAnchor>
    <xdr:from>
      <xdr:col>15</xdr:col>
      <xdr:colOff>716280</xdr:colOff>
      <xdr:row>1</xdr:row>
      <xdr:rowOff>0</xdr:rowOff>
    </xdr:from>
    <xdr:to>
      <xdr:col>17</xdr:col>
      <xdr:colOff>121920</xdr:colOff>
      <xdr:row>2</xdr:row>
      <xdr:rowOff>129540</xdr:rowOff>
    </xdr:to>
    <xdr:sp macro="" textlink="'Tablas Turistren'!N5">
      <xdr:nvSpPr>
        <xdr:cNvPr id="15" name="Rectángulo 14">
          <a:extLst>
            <a:ext uri="{FF2B5EF4-FFF2-40B4-BE49-F238E27FC236}">
              <a16:creationId xmlns:a16="http://schemas.microsoft.com/office/drawing/2014/main" id="{1FF10FD5-CA92-4B42-A0D0-6979A0C53770}"/>
            </a:ext>
          </a:extLst>
        </xdr:cNvPr>
        <xdr:cNvSpPr/>
      </xdr:nvSpPr>
      <xdr:spPr>
        <a:xfrm>
          <a:off x="9494520" y="182880"/>
          <a:ext cx="1272540" cy="3124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9BBA83CE-03EC-49F8-A4C0-8DE02D1D2D26}" type="TxLink">
            <a:rPr lang="en-US" sz="1100" b="0" i="0" u="none" strike="noStrike">
              <a:solidFill>
                <a:srgbClr val="000000"/>
              </a:solidFill>
              <a:latin typeface="Calibri"/>
              <a:ea typeface="Calibri"/>
              <a:cs typeface="Calibri"/>
            </a:rPr>
            <a:pPr algn="ctr"/>
            <a:t> 35.798 </a:t>
          </a:fld>
          <a:endParaRPr lang="es-CO" sz="1100"/>
        </a:p>
      </xdr:txBody>
    </xdr:sp>
    <xdr:clientData/>
  </xdr:twoCellAnchor>
  <xdr:twoCellAnchor>
    <xdr:from>
      <xdr:col>14</xdr:col>
      <xdr:colOff>335280</xdr:colOff>
      <xdr:row>1</xdr:row>
      <xdr:rowOff>0</xdr:rowOff>
    </xdr:from>
    <xdr:to>
      <xdr:col>15</xdr:col>
      <xdr:colOff>716280</xdr:colOff>
      <xdr:row>2</xdr:row>
      <xdr:rowOff>129540</xdr:rowOff>
    </xdr:to>
    <xdr:sp macro="" textlink="">
      <xdr:nvSpPr>
        <xdr:cNvPr id="16" name="Rectángulo 15">
          <a:extLst>
            <a:ext uri="{FF2B5EF4-FFF2-40B4-BE49-F238E27FC236}">
              <a16:creationId xmlns:a16="http://schemas.microsoft.com/office/drawing/2014/main" id="{3AC52722-42F6-4E9E-9301-EA179A85524E}"/>
            </a:ext>
          </a:extLst>
        </xdr:cNvPr>
        <xdr:cNvSpPr/>
      </xdr:nvSpPr>
      <xdr:spPr>
        <a:xfrm>
          <a:off x="8321040" y="182880"/>
          <a:ext cx="1173480" cy="3124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Total coche kilometro</a:t>
          </a:r>
        </a:p>
      </xdr:txBody>
    </xdr:sp>
    <xdr:clientData/>
  </xdr:twoCellAnchor>
  <xdr:twoCellAnchor>
    <xdr:from>
      <xdr:col>12</xdr:col>
      <xdr:colOff>754380</xdr:colOff>
      <xdr:row>1</xdr:row>
      <xdr:rowOff>0</xdr:rowOff>
    </xdr:from>
    <xdr:to>
      <xdr:col>14</xdr:col>
      <xdr:colOff>342900</xdr:colOff>
      <xdr:row>2</xdr:row>
      <xdr:rowOff>129540</xdr:rowOff>
    </xdr:to>
    <xdr:sp macro="" textlink="'Tablas Turistren'!J5">
      <xdr:nvSpPr>
        <xdr:cNvPr id="17" name="Rectángulo 16">
          <a:extLst>
            <a:ext uri="{FF2B5EF4-FFF2-40B4-BE49-F238E27FC236}">
              <a16:creationId xmlns:a16="http://schemas.microsoft.com/office/drawing/2014/main" id="{1F4F92CD-65CC-4518-8546-2A1B6D9C3CC7}"/>
            </a:ext>
          </a:extLst>
        </xdr:cNvPr>
        <xdr:cNvSpPr/>
      </xdr:nvSpPr>
      <xdr:spPr>
        <a:xfrm>
          <a:off x="7155180" y="182880"/>
          <a:ext cx="1173480" cy="3124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D13756E7-EBFC-43A8-88B7-723582B5A1BC}" type="TxLink">
            <a:rPr lang="en-US" sz="1100" b="0" i="0" u="none" strike="noStrike">
              <a:solidFill>
                <a:srgbClr val="000000"/>
              </a:solidFill>
              <a:latin typeface="Calibri"/>
              <a:ea typeface="Calibri"/>
              <a:cs typeface="Calibri"/>
            </a:rPr>
            <a:pPr algn="ctr"/>
            <a:t> 48.324 </a:t>
          </a:fld>
          <a:endParaRPr lang="es-CO" sz="1100"/>
        </a:p>
      </xdr:txBody>
    </xdr:sp>
    <xdr:clientData/>
  </xdr:twoCellAnchor>
  <xdr:twoCellAnchor>
    <xdr:from>
      <xdr:col>11</xdr:col>
      <xdr:colOff>365760</xdr:colOff>
      <xdr:row>1</xdr:row>
      <xdr:rowOff>0</xdr:rowOff>
    </xdr:from>
    <xdr:to>
      <xdr:col>12</xdr:col>
      <xdr:colOff>746760</xdr:colOff>
      <xdr:row>2</xdr:row>
      <xdr:rowOff>129540</xdr:rowOff>
    </xdr:to>
    <xdr:sp macro="" textlink="">
      <xdr:nvSpPr>
        <xdr:cNvPr id="18" name="Rectángulo 17">
          <a:extLst>
            <a:ext uri="{FF2B5EF4-FFF2-40B4-BE49-F238E27FC236}">
              <a16:creationId xmlns:a16="http://schemas.microsoft.com/office/drawing/2014/main" id="{B92196ED-F5DD-437F-82AB-DDBF46FAF555}"/>
            </a:ext>
          </a:extLst>
        </xdr:cNvPr>
        <xdr:cNvSpPr/>
      </xdr:nvSpPr>
      <xdr:spPr>
        <a:xfrm>
          <a:off x="5974080" y="182880"/>
          <a:ext cx="1173480" cy="3124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Pasajeros</a:t>
          </a:r>
          <a:r>
            <a:rPr lang="es-CO" sz="1100" baseline="0"/>
            <a:t> movilizados </a:t>
          </a:r>
          <a:endParaRPr lang="es-CO" sz="1100"/>
        </a:p>
      </xdr:txBody>
    </xdr:sp>
    <xdr:clientData/>
  </xdr:twoCellAnchor>
  <xdr:twoCellAnchor>
    <xdr:from>
      <xdr:col>9</xdr:col>
      <xdr:colOff>777240</xdr:colOff>
      <xdr:row>1</xdr:row>
      <xdr:rowOff>0</xdr:rowOff>
    </xdr:from>
    <xdr:to>
      <xdr:col>11</xdr:col>
      <xdr:colOff>365760</xdr:colOff>
      <xdr:row>2</xdr:row>
      <xdr:rowOff>129540</xdr:rowOff>
    </xdr:to>
    <xdr:sp macro="" textlink="'Tablas Turistren'!F5">
      <xdr:nvSpPr>
        <xdr:cNvPr id="19" name="Rectángulo 18">
          <a:extLst>
            <a:ext uri="{FF2B5EF4-FFF2-40B4-BE49-F238E27FC236}">
              <a16:creationId xmlns:a16="http://schemas.microsoft.com/office/drawing/2014/main" id="{5A1C726E-A0A0-42D0-92DC-7828D8D47D55}"/>
            </a:ext>
          </a:extLst>
        </xdr:cNvPr>
        <xdr:cNvSpPr/>
      </xdr:nvSpPr>
      <xdr:spPr>
        <a:xfrm>
          <a:off x="4800600" y="182880"/>
          <a:ext cx="1173480" cy="3124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63DBB0E4-00C2-4653-98CD-D07AD7D5162B}" type="TxLink">
            <a:rPr lang="en-US" sz="1100" b="0" i="0" u="none" strike="noStrike">
              <a:solidFill>
                <a:srgbClr val="000000"/>
              </a:solidFill>
              <a:latin typeface="Calibri"/>
              <a:ea typeface="Calibri"/>
              <a:cs typeface="Calibri"/>
            </a:rPr>
            <a:pPr algn="ctr"/>
            <a:t>509</a:t>
          </a:fld>
          <a:endParaRPr lang="es-CO" sz="1100"/>
        </a:p>
      </xdr:txBody>
    </xdr:sp>
    <xdr:clientData/>
  </xdr:twoCellAnchor>
  <xdr:twoCellAnchor>
    <xdr:from>
      <xdr:col>8</xdr:col>
      <xdr:colOff>381000</xdr:colOff>
      <xdr:row>1</xdr:row>
      <xdr:rowOff>0</xdr:rowOff>
    </xdr:from>
    <xdr:to>
      <xdr:col>9</xdr:col>
      <xdr:colOff>762000</xdr:colOff>
      <xdr:row>2</xdr:row>
      <xdr:rowOff>129540</xdr:rowOff>
    </xdr:to>
    <xdr:sp macro="" textlink="">
      <xdr:nvSpPr>
        <xdr:cNvPr id="20" name="Rectángulo 19">
          <a:extLst>
            <a:ext uri="{FF2B5EF4-FFF2-40B4-BE49-F238E27FC236}">
              <a16:creationId xmlns:a16="http://schemas.microsoft.com/office/drawing/2014/main" id="{075D3491-6746-4C32-99B0-1E9BE30CCE3C}"/>
            </a:ext>
          </a:extLst>
        </xdr:cNvPr>
        <xdr:cNvSpPr/>
      </xdr:nvSpPr>
      <xdr:spPr>
        <a:xfrm>
          <a:off x="3611880" y="182880"/>
          <a:ext cx="1173480" cy="3124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t>Choches</a:t>
          </a:r>
          <a:r>
            <a:rPr lang="es-CO" sz="1100" baseline="0"/>
            <a:t> Movilizado </a:t>
          </a:r>
          <a:endParaRPr lang="es-CO" sz="1100"/>
        </a:p>
      </xdr:txBody>
    </xdr:sp>
    <xdr:clientData/>
  </xdr:twoCellAnchor>
  <xdr:twoCellAnchor>
    <xdr:from>
      <xdr:col>7</xdr:col>
      <xdr:colOff>60960</xdr:colOff>
      <xdr:row>1</xdr:row>
      <xdr:rowOff>0</xdr:rowOff>
    </xdr:from>
    <xdr:to>
      <xdr:col>8</xdr:col>
      <xdr:colOff>381000</xdr:colOff>
      <xdr:row>2</xdr:row>
      <xdr:rowOff>129540</xdr:rowOff>
    </xdr:to>
    <xdr:sp macro="" textlink="'Tablas Turistren'!B5">
      <xdr:nvSpPr>
        <xdr:cNvPr id="21" name="Rectángulo 20">
          <a:extLst>
            <a:ext uri="{FF2B5EF4-FFF2-40B4-BE49-F238E27FC236}">
              <a16:creationId xmlns:a16="http://schemas.microsoft.com/office/drawing/2014/main" id="{D4697AB2-F8D9-4DCF-901A-22C045CFEE2A}"/>
            </a:ext>
          </a:extLst>
        </xdr:cNvPr>
        <xdr:cNvSpPr/>
      </xdr:nvSpPr>
      <xdr:spPr>
        <a:xfrm>
          <a:off x="2438400" y="182880"/>
          <a:ext cx="1173480" cy="3124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C891F8E2-276B-423D-B6D7-6D578B3F1CCE}" type="TxLink">
            <a:rPr lang="en-US" sz="1100" b="0" i="0" u="none" strike="noStrike">
              <a:solidFill>
                <a:srgbClr val="000000"/>
              </a:solidFill>
              <a:latin typeface="Calibri"/>
              <a:ea typeface="Calibri"/>
              <a:cs typeface="Calibri"/>
            </a:rPr>
            <a:pPr algn="ctr"/>
            <a:t> $35.020.825,42 </a:t>
          </a:fld>
          <a:endParaRPr lang="es-CO" sz="1100"/>
        </a:p>
      </xdr:txBody>
    </xdr:sp>
    <xdr:clientData/>
  </xdr:twoCellAnchor>
  <xdr:twoCellAnchor editAs="oneCell">
    <xdr:from>
      <xdr:col>3</xdr:col>
      <xdr:colOff>552450</xdr:colOff>
      <xdr:row>17</xdr:row>
      <xdr:rowOff>32386</xdr:rowOff>
    </xdr:from>
    <xdr:to>
      <xdr:col>5</xdr:col>
      <xdr:colOff>68580</xdr:colOff>
      <xdr:row>27</xdr:row>
      <xdr:rowOff>173356</xdr:rowOff>
    </xdr:to>
    <mc:AlternateContent xmlns:mc="http://schemas.openxmlformats.org/markup-compatibility/2006" xmlns:a14="http://schemas.microsoft.com/office/drawing/2010/main">
      <mc:Choice Requires="a14">
        <xdr:graphicFrame macro="">
          <xdr:nvGraphicFramePr>
            <xdr:cNvPr id="22" name="MES 1">
              <a:extLst>
                <a:ext uri="{FF2B5EF4-FFF2-40B4-BE49-F238E27FC236}">
                  <a16:creationId xmlns:a16="http://schemas.microsoft.com/office/drawing/2014/main" id="{3401F19D-DEB9-A3DF-F092-4CD349CBF626}"/>
                </a:ext>
              </a:extLst>
            </xdr:cNvPr>
            <xdr:cNvGraphicFramePr/>
          </xdr:nvGraphicFramePr>
          <xdr:xfrm>
            <a:off x="0" y="0"/>
            <a:ext cx="0" cy="0"/>
          </xdr:xfrm>
          <a:graphic>
            <a:graphicData uri="http://schemas.microsoft.com/office/drawing/2010/slicer">
              <sle:slicer xmlns:sle="http://schemas.microsoft.com/office/drawing/2010/slicer" name="MES 1"/>
            </a:graphicData>
          </a:graphic>
        </xdr:graphicFrame>
      </mc:Choice>
      <mc:Fallback xmlns="">
        <xdr:sp macro="" textlink="">
          <xdr:nvSpPr>
            <xdr:cNvPr id="0" name=""/>
            <xdr:cNvSpPr>
              <a:spLocks noTextEdit="1"/>
            </xdr:cNvSpPr>
          </xdr:nvSpPr>
          <xdr:spPr>
            <a:xfrm>
              <a:off x="2924175" y="3632836"/>
              <a:ext cx="1163955" cy="2236470"/>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3</xdr:col>
      <xdr:colOff>552450</xdr:colOff>
      <xdr:row>7</xdr:row>
      <xdr:rowOff>26671</xdr:rowOff>
    </xdr:from>
    <xdr:to>
      <xdr:col>5</xdr:col>
      <xdr:colOff>83820</xdr:colOff>
      <xdr:row>16</xdr:row>
      <xdr:rowOff>163831</xdr:rowOff>
    </xdr:to>
    <mc:AlternateContent xmlns:mc="http://schemas.openxmlformats.org/markup-compatibility/2006" xmlns:a14="http://schemas.microsoft.com/office/drawing/2010/main">
      <mc:Choice Requires="a14">
        <xdr:graphicFrame macro="">
          <xdr:nvGraphicFramePr>
            <xdr:cNvPr id="23" name="Factura 1">
              <a:extLst>
                <a:ext uri="{FF2B5EF4-FFF2-40B4-BE49-F238E27FC236}">
                  <a16:creationId xmlns:a16="http://schemas.microsoft.com/office/drawing/2014/main" id="{8F9D8E39-5946-13BB-6654-C81805F658A5}"/>
                </a:ext>
              </a:extLst>
            </xdr:cNvPr>
            <xdr:cNvGraphicFramePr/>
          </xdr:nvGraphicFramePr>
          <xdr:xfrm>
            <a:off x="0" y="0"/>
            <a:ext cx="0" cy="0"/>
          </xdr:xfrm>
          <a:graphic>
            <a:graphicData uri="http://schemas.microsoft.com/office/drawing/2010/slicer">
              <sle:slicer xmlns:sle="http://schemas.microsoft.com/office/drawing/2010/slicer" name="Factura 1"/>
            </a:graphicData>
          </a:graphic>
        </xdr:graphicFrame>
      </mc:Choice>
      <mc:Fallback xmlns="">
        <xdr:sp macro="" textlink="">
          <xdr:nvSpPr>
            <xdr:cNvPr id="0" name=""/>
            <xdr:cNvSpPr>
              <a:spLocks noTextEdit="1"/>
            </xdr:cNvSpPr>
          </xdr:nvSpPr>
          <xdr:spPr>
            <a:xfrm>
              <a:off x="2924175" y="1531621"/>
              <a:ext cx="1179195" cy="2023110"/>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17</xdr:col>
      <xdr:colOff>114300</xdr:colOff>
      <xdr:row>5</xdr:row>
      <xdr:rowOff>1</xdr:rowOff>
    </xdr:from>
    <xdr:to>
      <xdr:col>31</xdr:col>
      <xdr:colOff>295276</xdr:colOff>
      <xdr:row>30</xdr:row>
      <xdr:rowOff>190501</xdr:rowOff>
    </xdr:to>
    <xdr:graphicFrame macro="">
      <xdr:nvGraphicFramePr>
        <xdr:cNvPr id="8" name="Gráfico 7">
          <a:extLst>
            <a:ext uri="{FF2B5EF4-FFF2-40B4-BE49-F238E27FC236}">
              <a16:creationId xmlns:a16="http://schemas.microsoft.com/office/drawing/2014/main" id="{862CDF42-5208-4421-9F3B-8D2F1E388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190500</xdr:colOff>
      <xdr:row>2</xdr:row>
      <xdr:rowOff>125731</xdr:rowOff>
    </xdr:from>
    <xdr:to>
      <xdr:col>5</xdr:col>
      <xdr:colOff>371475</xdr:colOff>
      <xdr:row>6</xdr:row>
      <xdr:rowOff>159926</xdr:rowOff>
    </xdr:to>
    <mc:AlternateContent xmlns:mc="http://schemas.openxmlformats.org/markup-compatibility/2006" xmlns:a14="http://schemas.microsoft.com/office/drawing/2010/main">
      <mc:Choice Requires="a14">
        <xdr:graphicFrame macro="">
          <xdr:nvGraphicFramePr>
            <xdr:cNvPr id="10" name="AÑO 2">
              <a:extLst>
                <a:ext uri="{FF2B5EF4-FFF2-40B4-BE49-F238E27FC236}">
                  <a16:creationId xmlns:a16="http://schemas.microsoft.com/office/drawing/2014/main" id="{2E38315D-AD4C-ABD9-6B41-40ECE6780716}"/>
                </a:ext>
              </a:extLst>
            </xdr:cNvPr>
            <xdr:cNvGraphicFramePr/>
          </xdr:nvGraphicFramePr>
          <xdr:xfrm>
            <a:off x="0" y="0"/>
            <a:ext cx="0" cy="0"/>
          </xdr:xfrm>
          <a:graphic>
            <a:graphicData uri="http://schemas.microsoft.com/office/drawing/2010/slicer">
              <sle:slicer xmlns:sle="http://schemas.microsoft.com/office/drawing/2010/slicer" name="AÑO 2"/>
            </a:graphicData>
          </a:graphic>
        </xdr:graphicFrame>
      </mc:Choice>
      <mc:Fallback xmlns="">
        <xdr:sp macro="" textlink="">
          <xdr:nvSpPr>
            <xdr:cNvPr id="0" name=""/>
            <xdr:cNvSpPr>
              <a:spLocks noTextEdit="1"/>
            </xdr:cNvSpPr>
          </xdr:nvSpPr>
          <xdr:spPr>
            <a:xfrm>
              <a:off x="2562225" y="582931"/>
              <a:ext cx="1828800" cy="883920"/>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8</xdr:col>
      <xdr:colOff>964911</xdr:colOff>
      <xdr:row>40</xdr:row>
      <xdr:rowOff>28365</xdr:rowOff>
    </xdr:from>
    <xdr:to>
      <xdr:col>13</xdr:col>
      <xdr:colOff>720318</xdr:colOff>
      <xdr:row>61</xdr:row>
      <xdr:rowOff>9550</xdr:rowOff>
    </xdr:to>
    <xdr:graphicFrame macro="">
      <xdr:nvGraphicFramePr>
        <xdr:cNvPr id="9" name="Gráfico 8">
          <a:extLst>
            <a:ext uri="{FF2B5EF4-FFF2-40B4-BE49-F238E27FC236}">
              <a16:creationId xmlns:a16="http://schemas.microsoft.com/office/drawing/2014/main" id="{EFB75C53-9DBE-44BA-86FB-CFF32A304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11</xdr:col>
      <xdr:colOff>1120140</xdr:colOff>
      <xdr:row>25</xdr:row>
      <xdr:rowOff>152400</xdr:rowOff>
    </xdr:from>
    <xdr:to>
      <xdr:col>19</xdr:col>
      <xdr:colOff>1097280</xdr:colOff>
      <xdr:row>45</xdr:row>
      <xdr:rowOff>76200</xdr:rowOff>
    </xdr:to>
    <xdr:graphicFrame macro="">
      <xdr:nvGraphicFramePr>
        <xdr:cNvPr id="2" name="Gráfico 1">
          <a:extLst>
            <a:ext uri="{FF2B5EF4-FFF2-40B4-BE49-F238E27FC236}">
              <a16:creationId xmlns:a16="http://schemas.microsoft.com/office/drawing/2014/main" id="{40CF0F1B-FE0E-0FEB-31E2-7C46B4B497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y florez ortiz" refreshedDate="45691.683087847225" createdVersion="8" refreshedVersion="8" minRefreshableVersion="3" recordCount="22" xr:uid="{B19136C2-F9E2-48E7-92B7-CC00F604AF97}">
  <cacheSource type="worksheet">
    <worksheetSource name="Tabla2"/>
  </cacheSource>
  <cacheFields count="20">
    <cacheField name="Año" numFmtId="0">
      <sharedItems containsSemiMixedTypes="0" containsString="0" containsNumber="1" containsInteger="1" minValue="2023" maxValue="2025" count="3">
        <n v="2023"/>
        <n v="2024"/>
        <n v="2025"/>
      </sharedItems>
    </cacheField>
    <cacheField name="Mes" numFmtId="0">
      <sharedItems count="12">
        <s v="JUN"/>
        <s v="JUL"/>
        <s v="AGO"/>
        <s v="SEP"/>
        <s v="OCT"/>
        <s v="NOV"/>
        <s v="DIC"/>
        <s v="ENE"/>
        <s v="FEB"/>
        <s v="MAR"/>
        <s v="ABR"/>
        <s v="MAY"/>
      </sharedItems>
    </cacheField>
    <cacheField name="Fecha" numFmtId="15">
      <sharedItems containsSemiMixedTypes="0" containsNonDate="0" containsDate="1" containsString="0" minDate="2023-06-30T00:00:00" maxDate="2025-02-01T00:00:00"/>
    </cacheField>
    <cacheField name="# Factura" numFmtId="0">
      <sharedItems/>
    </cacheField>
    <cacheField name="Corredor" numFmtId="0">
      <sharedItems/>
    </cacheField>
    <cacheField name="Tercero" numFmtId="44">
      <sharedItems count="1">
        <s v="Consorcio CTSA-INGERAL"/>
      </sharedItems>
    </cacheField>
    <cacheField name="Periodo" numFmtId="17">
      <sharedItems/>
    </cacheField>
    <cacheField name="Concepto" numFmtId="0">
      <sharedItems/>
    </cacheField>
    <cacheField name="# Toneladas" numFmtId="0">
      <sharedItems containsString="0" containsBlank="1" containsNumber="1" minValue="2693.64" maxValue="6889"/>
    </cacheField>
    <cacheField name="Valor Facturado" numFmtId="44">
      <sharedItems containsString="0" containsBlank="1" containsNumber="1" minValue="0" maxValue="22914267.604000002"/>
    </cacheField>
    <cacheField name="IVA" numFmtId="44">
      <sharedItems containsString="0" containsBlank="1" containsNumber="1" minValue="0" maxValue="3658580.5418151245"/>
    </cacheField>
    <cacheField name="Valor bruto" numFmtId="44">
      <sharedItems containsString="0" containsBlank="1" containsNumber="1" minValue="0" maxValue="19255687.062184878"/>
    </cacheField>
    <cacheField name="4 X 1000" numFmtId="44">
      <sharedItems containsString="0" containsBlank="1" containsNumber="1" containsInteger="1" minValue="0" maxValue="77023"/>
    </cacheField>
    <cacheField name="Valor a Consignar a la ANI" numFmtId="44">
      <sharedItems containsString="0" containsBlank="1" containsNumber="1" minValue="0" maxValue="19178664.062184878"/>
    </cacheField>
    <cacheField name="Valor consignado" numFmtId="44">
      <sharedItems containsString="0" containsBlank="1" containsNumber="1" minValue="5534741" maxValue="18432269.890000001"/>
    </cacheField>
    <cacheField name="Valor Pagado" numFmtId="44">
      <sharedItems containsString="0" containsBlank="1" containsNumber="1" minValue="5534741" maxValue="18432269.891831901"/>
    </cacheField>
    <cacheField name="Año2" numFmtId="0">
      <sharedItems containsString="0" containsBlank="1" containsNumber="1" containsInteger="1" minValue="2023" maxValue="2024"/>
    </cacheField>
    <cacheField name="Mes3" numFmtId="0">
      <sharedItems containsString="0" containsBlank="1" containsNumber="1" containsInteger="1" minValue="1" maxValue="11"/>
    </cacheField>
    <cacheField name="Fecha4" numFmtId="15">
      <sharedItems containsNonDate="0" containsDate="1" containsString="0" containsBlank="1" minDate="2023-07-28T00:00:00" maxDate="2024-11-28T00:00:00"/>
    </cacheField>
    <cacheField name="Valor Por Cobrar" numFmtId="44">
      <sharedItems containsSemiMixedTypes="0" containsString="0" containsNumber="1" minValue="-9224567" maxValue="19178664.06218487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y florez ortiz" refreshedDate="45691.69248946759" createdVersion="8" refreshedVersion="8" minRefreshableVersion="3" recordCount="47" xr:uid="{AF51F903-701D-4E2A-93F6-A2A9C35AA0E6}">
  <cacheSource type="worksheet">
    <worksheetSource name="Tabla4"/>
  </cacheSource>
  <cacheFields count="21">
    <cacheField name="Año" numFmtId="0">
      <sharedItems containsSemiMixedTypes="0" containsString="0" containsNumber="1" containsInteger="1" minValue="2023" maxValue="2025" count="3">
        <n v="2023"/>
        <n v="2024"/>
        <n v="2025"/>
      </sharedItems>
    </cacheField>
    <cacheField name="Mes" numFmtId="0">
      <sharedItems/>
    </cacheField>
    <cacheField name="Fecha" numFmtId="15">
      <sharedItems containsSemiMixedTypes="0" containsNonDate="0" containsDate="1" containsString="0" minDate="2023-05-09T00:00:00" maxDate="2025-02-01T00:00:00"/>
    </cacheField>
    <cacheField name="# Factura" numFmtId="0">
      <sharedItems containsMixedTypes="1" containsNumber="1" containsInteger="1" minValue="2" maxValue="361"/>
    </cacheField>
    <cacheField name="Corredor" numFmtId="0">
      <sharedItems/>
    </cacheField>
    <cacheField name="Tercero" numFmtId="0">
      <sharedItems count="3">
        <s v="TURISTREN"/>
        <s v="CTSA-INGERAL"/>
        <s v="ACERIAS PAZ DEL RIO "/>
      </sharedItems>
    </cacheField>
    <cacheField name="Periodo" numFmtId="0">
      <sharedItems containsDate="1" containsMixedTypes="1" minDate="2023-11-20T00:00:00" maxDate="2023-11-21T00:00:00"/>
    </cacheField>
    <cacheField name="Concepto" numFmtId="0">
      <sharedItems/>
    </cacheField>
    <cacheField name="# Toneladas -kilometro" numFmtId="0">
      <sharedItems containsString="0" containsBlank="1" containsNumber="1" minValue="0" maxValue="1619942.16"/>
    </cacheField>
    <cacheField name="# coche-kilómetros" numFmtId="0">
      <sharedItems containsString="0" containsBlank="1" containsNumber="1" minValue="514" maxValue="55184"/>
    </cacheField>
    <cacheField name="Tarifas  $/ton-km y/o  tarifa $/coche-km" numFmtId="0">
      <sharedItems containsString="0" containsBlank="1" containsNumber="1" minValue="8" maxValue="978.29"/>
    </cacheField>
    <cacheField name="Valor Facturado" numFmtId="44">
      <sharedItems containsString="0" containsBlank="1" containsNumber="1" minValue="0" maxValue="51317257.119999997"/>
    </cacheField>
    <cacheField name="IVA" numFmtId="0">
      <sharedItems containsString="0" containsBlank="1" containsNumber="1" containsInteger="1" minValue="0" maxValue="0"/>
    </cacheField>
    <cacheField name="Valor bruto" numFmtId="44">
      <sharedItems containsString="0" containsBlank="1" containsNumber="1" minValue="0" maxValue="51317257.119999997"/>
    </cacheField>
    <cacheField name="4X1000" numFmtId="44">
      <sharedItems containsString="0" containsBlank="1" containsNumber="1" containsInteger="1" minValue="0" maxValue="205269"/>
    </cacheField>
    <cacheField name="Valor a Consignar a la ANI" numFmtId="44">
      <sharedItems containsString="0" containsBlank="1" containsNumber="1" minValue="0" maxValue="51111988.119999997"/>
    </cacheField>
    <cacheField name="Valor Pagado" numFmtId="44">
      <sharedItems containsString="0" containsBlank="1" containsNumber="1" minValue="0.19" maxValue="40327195.200000003"/>
    </cacheField>
    <cacheField name="Año2" numFmtId="0">
      <sharedItems containsString="0" containsBlank="1" containsNumber="1" containsInteger="1" minValue="2023" maxValue="2024" count="3">
        <n v="2023"/>
        <n v="2024"/>
        <m/>
      </sharedItems>
    </cacheField>
    <cacheField name="Mes3" numFmtId="0">
      <sharedItems containsBlank="1" containsMixedTypes="1" containsNumber="1" containsInteger="1" minValue="1" maxValue="11" count="21">
        <s v="JUN"/>
        <s v="JUL"/>
        <s v="AGO"/>
        <s v="OCT"/>
        <s v="NOV"/>
        <s v="ENE"/>
        <s v="FEB"/>
        <s v="ABR"/>
        <s v="MAY"/>
        <s v="SEP"/>
        <m/>
        <n v="6" u="1"/>
        <n v="7" u="1"/>
        <n v="8" u="1"/>
        <n v="10" u="1"/>
        <n v="11" u="1"/>
        <n v="1" u="1"/>
        <n v="2" u="1"/>
        <n v="4" u="1"/>
        <n v="5" u="1"/>
        <n v="9" u="1"/>
      </sharedItems>
    </cacheField>
    <cacheField name="Fecha4" numFmtId="0">
      <sharedItems containsNonDate="0" containsDate="1" containsString="0" containsBlank="1" minDate="2023-06-08T00:00:00" maxDate="2024-11-28T00:00:00"/>
    </cacheField>
    <cacheField name="Valor Por Cobrar" numFmtId="44">
      <sharedItems containsSemiMixedTypes="0" containsString="0" containsNumber="1" minValue="-3996096" maxValue="51111988.11999999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y florez ortiz" refreshedDate="45931.934874999999" createdVersion="8" refreshedVersion="8" minRefreshableVersion="3" recordCount="236" xr:uid="{33598088-3CDF-4038-842C-B84E663788DF}">
  <cacheSource type="worksheet">
    <worksheetSource name="Tabla1"/>
  </cacheSource>
  <cacheFields count="21">
    <cacheField name="Año" numFmtId="0">
      <sharedItems containsSemiMixedTypes="0" containsString="0" containsNumber="1" containsInteger="1" minValue="2023" maxValue="2026" count="4">
        <n v="2023"/>
        <n v="2024"/>
        <n v="2025"/>
        <n v="2026"/>
      </sharedItems>
    </cacheField>
    <cacheField name="Mes" numFmtId="0">
      <sharedItems count="12">
        <s v="MAY"/>
        <s v="JUN"/>
        <s v="JUL"/>
        <s v="AGO"/>
        <s v="SEP"/>
        <s v="OCT"/>
        <s v="NOV"/>
        <s v="DIC"/>
        <s v="ENE"/>
        <s v="FEB"/>
        <s v="MAR"/>
        <s v="ABR"/>
      </sharedItems>
    </cacheField>
    <cacheField name="Fecha" numFmtId="15">
      <sharedItems containsSemiMixedTypes="0" containsNonDate="0" containsDate="1" containsString="0" minDate="2023-05-09T00:00:00" maxDate="2025-09-20T00:00:00"/>
    </cacheField>
    <cacheField name="# Factura_x000a_CTSA - INGERAL" numFmtId="0">
      <sharedItems containsMixedTypes="1" containsNumber="1" containsInteger="1" minValue="3" maxValue="520"/>
    </cacheField>
    <cacheField name="NC" numFmtId="0">
      <sharedItems containsMixedTypes="1" containsNumber="1" containsInteger="1" minValue="3" maxValue="95"/>
    </cacheField>
    <cacheField name="Fact" numFmtId="0">
      <sharedItems containsMixedTypes="1" containsNumber="1" containsInteger="1" minValue="9" maxValue="470"/>
    </cacheField>
    <cacheField name="Corredor" numFmtId="0">
      <sharedItems/>
    </cacheField>
    <cacheField name="Tercero" numFmtId="0">
      <sharedItems count="6">
        <s v="MAQUISERVICOS"/>
        <s v="CIRO"/>
        <s v="CEMENTOS ARGOS"/>
        <s v="Fideicomiso Sociedad  Fiduciaria de occidente"/>
        <s v="Turistren "/>
        <s v="JE JAIMES Ingenieros S.A.S"/>
      </sharedItems>
    </cacheField>
    <cacheField name="Periodo" numFmtId="0">
      <sharedItems containsDate="1" containsMixedTypes="1" minDate="2023-07-18T00:00:00" maxDate="2023-07-24T00:00:00"/>
    </cacheField>
    <cacheField name="Inmueble - concepto" numFmtId="0">
      <sharedItems/>
    </cacheField>
    <cacheField name="Valor Facturado" numFmtId="0">
      <sharedItems containsString="0" containsBlank="1" containsNumber="1" minValue="-64206895" maxValue="64206895"/>
    </cacheField>
    <cacheField name="IVA" numFmtId="0">
      <sharedItems containsString="0" containsBlank="1" containsNumber="1" minValue="-10251521.050000001" maxValue="10251521.050000001"/>
    </cacheField>
    <cacheField name="Valor bruto" numFmtId="0">
      <sharedItems containsString="0" containsBlank="1" containsNumber="1" minValue="-53955373.950000003" maxValue="53955373.950000003"/>
    </cacheField>
    <cacheField name="4 X 1000" numFmtId="0">
      <sharedItems containsString="0" containsBlank="1" containsNumber="1" containsInteger="1" minValue="-215821" maxValue="215821"/>
    </cacheField>
    <cacheField name="Valor a Consignar a la ANI" numFmtId="0">
      <sharedItems containsString="0" containsBlank="1" containsNumber="1" minValue="-53739552.950000003" maxValue="53739552.950000003"/>
    </cacheField>
    <cacheField name="Valor Pagado" numFmtId="0">
      <sharedItems containsString="0" containsBlank="1" containsNumber="1" minValue="0.22" maxValue="53739552.950000003"/>
    </cacheField>
    <cacheField name="Año." numFmtId="0">
      <sharedItems containsString="0" containsBlank="1" containsNumber="1" containsInteger="1" minValue="2023" maxValue="2025"/>
    </cacheField>
    <cacheField name="Mes." numFmtId="0">
      <sharedItems containsString="0" containsBlank="1" containsNumber="1" containsInteger="1" minValue="1" maxValue="11"/>
    </cacheField>
    <cacheField name="Fecha." numFmtId="0">
      <sharedItems containsNonDate="0" containsDate="1" containsString="0" containsBlank="1" minDate="2023-07-28T00:00:00" maxDate="2025-09-05T00:00:00"/>
    </cacheField>
    <cacheField name="Valor Por Cobrar" numFmtId="0">
      <sharedItems containsSemiMixedTypes="0" containsString="0" containsNumber="1" minValue="-53739552.950000003" maxValue="53739552.950000003"/>
    </cacheField>
    <cacheField name="Observaciones " numFmtId="0">
      <sharedItems containsBlank="1" longText="1"/>
    </cacheField>
  </cacheFields>
  <extLst>
    <ext xmlns:x14="http://schemas.microsoft.com/office/spreadsheetml/2009/9/main" uri="{725AE2AE-9491-48be-B2B4-4EB974FC3084}">
      <x14:pivotCacheDefinition pivotCacheId="192923270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y florez ortiz" refreshedDate="45931.959680671294" createdVersion="8" refreshedVersion="8" minRefreshableVersion="3" recordCount="1227" xr:uid="{C0BD487A-BB02-4714-935B-A26920E0C194}">
  <cacheSource type="worksheet">
    <worksheetSource name="Tabla5"/>
  </cacheSource>
  <cacheFields count="19">
    <cacheField name="FECHA" numFmtId="14">
      <sharedItems containsSemiMixedTypes="0" containsNonDate="0" containsDate="1" containsString="0" minDate="2004-03-11T00:00:00" maxDate="2027-02-18T00:00:00" count="553">
        <d v="2024-01-06T00:00:00"/>
        <d v="2024-01-07T00:00:00"/>
        <d v="2024-01-08T00:00:00"/>
        <d v="2024-01-13T00:00:00"/>
        <d v="2024-01-14T00:00:00"/>
        <d v="2024-01-17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8T00:00:00"/>
        <d v="2024-06-09T00:00:00"/>
        <d v="2024-06-10T00:00:00"/>
        <d v="2024-06-15T00:00:00"/>
        <d v="2024-06-16T00:00:00"/>
        <d v="2024-06-21T00:00:00"/>
        <d v="2024-06-22T00:00:00"/>
        <d v="2024-06-23T00:00:00"/>
        <d v="2024-06-28T00:00:00"/>
        <d v="2024-06-29T00:00:00"/>
        <d v="2024-06-30T00:00:00"/>
        <d v="2024-07-01T00:00:00"/>
        <d v="2024-07-03T00:00:00"/>
        <d v="2024-07-06T00:00:00"/>
        <d v="2024-07-07T00:00:00"/>
        <d v="2024-07-13T00:00:00"/>
        <d v="2024-07-14T00:00:00"/>
        <d v="2024-07-17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5T00:00:00"/>
        <d v="2024-12-26T00:00:00"/>
        <d v="2024-12-27T00:00:00"/>
        <d v="2024-12-28T00:00:00"/>
        <d v="2024-12-29T00:00:00"/>
        <d v="2024-12-30T00:00:00"/>
        <d v="2025-01-04T00:00:00"/>
        <d v="2025-01-05T00:00:00"/>
        <d v="2025-01-06T00:00:00"/>
        <d v="2025-01-11T00:00:00"/>
        <d v="2025-01-12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5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7T00:00:00"/>
        <d v="2025-06-08T00:00:00"/>
        <d v="2025-06-14T00:00:00"/>
        <d v="2025-06-15T00:00:00"/>
        <d v="2025-06-17T00:00:00"/>
        <d v="2025-06-21T00:00:00"/>
        <d v="2025-06-22T00:00:00"/>
        <d v="2025-06-23T00:00:00"/>
        <d v="2025-06-28T00:00:00"/>
        <d v="2025-06-29T00:00:00"/>
        <d v="2025-06-30T00:00:00"/>
        <d v="2025-07-05T00:00:00"/>
        <d v="2025-07-06T00:00:00"/>
        <d v="2025-07-12T00:00:00"/>
        <d v="2025-07-13T00:00:00"/>
        <d v="2025-07-17T00:00:00"/>
        <d v="2025-07-19T00:00:00"/>
        <d v="2025-07-20T00:00:00"/>
        <d v="2025-07-21T00:00:00"/>
        <d v="2025-07-22T00:00:00"/>
        <d v="2025-07-23T00:00:00"/>
        <d v="2025-07-24T00:00:00"/>
        <d v="2025-07-25T00:00:00"/>
        <d v="2025-07-26T00:00:00"/>
        <d v="2025-07-27T00:00:00"/>
        <d v="2025-07-28T00:00:00"/>
        <d v="2025-07-29T00:00:00"/>
        <d v="2025-07-30T00:00:00"/>
        <d v="2025-07-31T00:00:00"/>
        <d v="2025-07-15T00:00:00"/>
        <d v="2025-07-18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7-02-17T00:00:00" u="1"/>
        <d v="2004-03-11T00:00:00" u="1"/>
      </sharedItems>
      <fieldGroup par="18"/>
    </cacheField>
    <cacheField name="IDA" numFmtId="0">
      <sharedItems/>
    </cacheField>
    <cacheField name="REGRESO" numFmtId="0">
      <sharedItems containsBlank="1"/>
    </cacheField>
    <cacheField name="TRAYECTO" numFmtId="0">
      <sharedItems/>
    </cacheField>
    <cacheField name="KM- REC" numFmtId="0">
      <sharedItems containsSemiMixedTypes="0" containsString="0" containsNumber="1" containsInteger="1" minValue="6" maxValue="138"/>
    </cacheField>
    <cacheField name="N° COCHES" numFmtId="0">
      <sharedItems containsSemiMixedTypes="0" containsString="0" containsNumber="1" containsInteger="1" minValue="1" maxValue="18"/>
    </cacheField>
    <cacheField name="VL CH KM" numFmtId="0">
      <sharedItems containsSemiMixedTypes="0" containsString="0" containsNumber="1" minValue="929.93" maxValue="978.29"/>
    </cacheField>
    <cacheField name="VALOR TOTAL" numFmtId="0">
      <sharedItems containsSemiMixedTypes="0" containsString="0" containsNumber="1" minValue="5869.74" maxValue="1690485.1199999999"/>
    </cacheField>
    <cacheField name="PASAJEROS" numFmtId="0">
      <sharedItems containsSemiMixedTypes="0" containsString="0" containsNumber="1" containsInteger="1" minValue="0" maxValue="1938"/>
    </cacheField>
    <cacheField name="Ch-Km" numFmtId="0">
      <sharedItems containsSemiMixedTypes="0" containsString="0" containsNumber="1" containsInteger="1" minValue="6" maxValue="1728"/>
    </cacheField>
    <cacheField name="MES" numFmtId="14">
      <sharedItems count="12">
        <s v="ENE"/>
        <s v="FEB"/>
        <s v="MAR"/>
        <s v="ABR"/>
        <s v="MAY"/>
        <s v="JUN"/>
        <s v="JUL"/>
        <s v="AGO"/>
        <s v="SEP"/>
        <s v="OCT"/>
        <s v="NOV"/>
        <s v="DIC"/>
      </sharedItems>
    </cacheField>
    <cacheField name="AÑO" numFmtId="0">
      <sharedItems containsSemiMixedTypes="0" containsDate="1" containsString="0" containsMixedTypes="1" minDate="1900-01-06T18:40:04" maxDate="1905-07-18T00:00:00" count="4">
        <n v="2024"/>
        <n v="2025"/>
        <d v="1905-07-17T00:00:00" u="1"/>
        <d v="1905-07-16T00:00:00" u="1"/>
      </sharedItems>
    </cacheField>
    <cacheField name="Factura" numFmtId="0">
      <sharedItems containsSemiMixedTypes="0" containsString="0" containsNumber="1" containsInteger="1" minValue="142" maxValue="526" count="25">
        <n v="142"/>
        <n v="160"/>
        <n v="177"/>
        <n v="201"/>
        <n v="215"/>
        <n v="237"/>
        <n v="247"/>
        <n v="267"/>
        <n v="287"/>
        <n v="308"/>
        <n v="324"/>
        <n v="344"/>
        <n v="361"/>
        <n v="378"/>
        <n v="396"/>
        <n v="419"/>
        <n v="443"/>
        <n v="458"/>
        <n v="474"/>
        <n v="475"/>
        <n v="508"/>
        <n v="509"/>
        <n v="526"/>
        <n v="525"/>
        <n v="488" u="1"/>
      </sharedItems>
    </cacheField>
    <cacheField name="Usuario" numFmtId="0">
      <sharedItems containsBlank="1" count="8">
        <s v="Turístico"/>
        <s v="Universidad de la Sabana "/>
        <s v="Universidad militar"/>
        <s v="Universidad del Bosque"/>
        <s v="Navideño Boyacá"/>
        <s v="Navideño Bogotá"/>
        <m u="1"/>
        <s v="Universidad de la Sabana" u="1"/>
      </sharedItems>
    </cacheField>
    <cacheField name="Columna1" numFmtId="0">
      <sharedItems containsBlank="1" count="6">
        <s v="Turistico"/>
        <s v="universidad"/>
        <s v="Turístico"/>
        <m u="1"/>
        <s v="Navideño Boyacá" u="1"/>
        <s v="Navideño Bogotá" u="1"/>
      </sharedItems>
    </cacheField>
    <cacheField name="Empresa prestadora de servicios" numFmtId="0">
      <sharedItems containsBlank="1" count="3">
        <s v="Turistren "/>
        <s v="APDR"/>
        <m u="1"/>
      </sharedItems>
    </cacheField>
    <cacheField name="Meses (FECHA)" numFmtId="0" databaseField="0">
      <fieldGroup base="0">
        <rangePr groupBy="months" startDate="2024-01-06T00:00:00" endDate="2025-10-01T00:00:00"/>
        <groupItems count="14">
          <s v="&lt;6/01/2024"/>
          <s v="ene"/>
          <s v="feb"/>
          <s v="mar"/>
          <s v="abr"/>
          <s v="may"/>
          <s v="jun"/>
          <s v="jul"/>
          <s v="ago"/>
          <s v="sep"/>
          <s v="oct"/>
          <s v="nov"/>
          <s v="dic"/>
          <s v="&gt;1/10/2025"/>
        </groupItems>
      </fieldGroup>
    </cacheField>
    <cacheField name="Trimestres (FECHA)" numFmtId="0" databaseField="0">
      <fieldGroup base="0">
        <rangePr groupBy="quarters" startDate="2024-01-06T00:00:00" endDate="2025-10-01T00:00:00"/>
        <groupItems count="6">
          <s v="&lt;6/01/2024"/>
          <s v="Trim.1"/>
          <s v="Trim.2"/>
          <s v="Trim.3"/>
          <s v="Trim.4"/>
          <s v="&gt;1/10/2025"/>
        </groupItems>
      </fieldGroup>
    </cacheField>
    <cacheField name="Años (FECHA)" numFmtId="0" databaseField="0">
      <fieldGroup base="0">
        <rangePr groupBy="years" startDate="2024-01-06T00:00:00" endDate="2025-10-01T00:00:00"/>
        <groupItems count="4">
          <s v="&lt;6/01/2024"/>
          <s v="2024"/>
          <s v="2025"/>
          <s v="&gt;1/10/2025"/>
        </groupItems>
      </fieldGroup>
    </cacheField>
  </cacheFields>
  <extLst>
    <ext xmlns:x14="http://schemas.microsoft.com/office/spreadsheetml/2009/9/main" uri="{725AE2AE-9491-48be-B2B4-4EB974FC3084}">
      <x14:pivotCacheDefinition pivotCacheId="148253275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y florez ortiz" refreshedDate="45932.797006944442" createdVersion="8" refreshedVersion="8" minRefreshableVersion="3" recordCount="323" xr:uid="{6B54BDFE-4FBE-43AD-B519-24AF532FC25F}">
  <cacheSource type="worksheet">
    <worksheetSource name="Tabla3"/>
  </cacheSource>
  <cacheFields count="26">
    <cacheField name="N° Servicio" numFmtId="0">
      <sharedItems containsString="0" containsBlank="1" containsNumber="1" containsInteger="1" minValue="1" maxValue="267"/>
    </cacheField>
    <cacheField name="Mes" numFmtId="0">
      <sharedItems count="12">
        <s v="ENE"/>
        <s v="FEB"/>
        <s v="MAR"/>
        <s v="ABR"/>
        <s v="MAY"/>
        <s v="JUN"/>
        <s v="JUL"/>
        <s v="AGO"/>
        <s v="SEP"/>
        <s v="OCT"/>
        <s v="NOV"/>
        <s v="DIC"/>
      </sharedItems>
    </cacheField>
    <cacheField name="AÑO" numFmtId="0">
      <sharedItems containsSemiMixedTypes="0" containsString="0" containsNumber="1" containsInteger="1" minValue="2024" maxValue="2025" count="2">
        <n v="2024"/>
        <n v="2025"/>
      </sharedItems>
    </cacheField>
    <cacheField name="Configuración Tren " numFmtId="0">
      <sharedItems containsBlank="1"/>
    </cacheField>
    <cacheField name="Fecha Salida" numFmtId="14">
      <sharedItems containsSemiMixedTypes="0" containsNonDate="0" containsDate="1" containsString="0" minDate="2024-01-06T00:00:00" maxDate="2025-11-26T00:00:00" count="267">
        <d v="2024-01-06T00:00:00"/>
        <d v="2024-01-10T00:00:00"/>
        <d v="2024-01-12T00:00:00"/>
        <d v="2024-01-15T00:00:00"/>
        <d v="2024-01-17T00:00:00"/>
        <d v="2024-01-23T00:00:00"/>
        <d v="2024-01-24T00:00:00"/>
        <d v="2024-01-26T00:00:00"/>
        <d v="2024-01-29T00:00:00"/>
        <d v="2024-02-01T00:00:00"/>
        <d v="2024-02-11T00:00:00"/>
        <d v="2024-02-12T00:00:00"/>
        <d v="2024-02-14T00:00:00"/>
        <d v="2024-02-15T00:00:00"/>
        <d v="2024-02-16T00:00:00"/>
        <d v="2024-02-18T00:00:00"/>
        <d v="2024-02-19T00:00:00"/>
        <d v="2024-02-20T00:00:00"/>
        <d v="2024-02-21T00:00:00"/>
        <d v="2024-02-22T00:00:00"/>
        <d v="2024-02-23T00:00:00"/>
        <d v="2024-02-25T00:00:00"/>
        <d v="2024-02-26T00:00:00"/>
        <d v="2024-02-28T00:00:00"/>
        <d v="2024-03-01T00:00:00"/>
        <d v="2024-03-03T00:00:00"/>
        <d v="2024-03-04T00:00:00"/>
        <d v="2024-03-05T00:00:00"/>
        <d v="2024-03-06T00:00:00"/>
        <d v="2024-03-07T00:00:00"/>
        <d v="2024-03-08T00:00:00"/>
        <d v="2024-03-09T00:00:00"/>
        <d v="2024-03-10T00:00:00"/>
        <d v="2024-03-11T00:00:00"/>
        <d v="2024-03-12T00:00:00"/>
        <d v="2024-03-13T00:00:00"/>
        <d v="2024-03-14T00:00:00"/>
        <d v="2024-03-15T00:00:00"/>
        <d v="2024-03-30T00:00:00"/>
        <d v="2024-03-31T00:00:00"/>
        <d v="2024-04-07T00:00:00"/>
        <d v="2024-04-09T00:00:00"/>
        <d v="2024-04-10T00:00:00"/>
        <d v="2024-04-11T00:00:00"/>
        <d v="2024-04-12T00:00:00"/>
        <d v="2024-04-13T00:00:00"/>
        <d v="2024-04-15T00:00:00"/>
        <d v="2024-04-16T00:00:00"/>
        <d v="2024-04-17T00:00:00"/>
        <d v="2024-04-18T00:00:00"/>
        <d v="2024-04-19T00:00:00"/>
        <d v="2024-04-20T00:00:00"/>
        <d v="2024-04-22T00:00:00"/>
        <d v="2024-04-24T00:00:00"/>
        <d v="2024-04-25T00:00:00"/>
        <d v="2024-04-26T00:00:00"/>
        <d v="2024-04-29T00:00:00"/>
        <d v="2024-04-30T00:00:00"/>
        <d v="2024-05-02T00:00:00"/>
        <d v="2024-05-03T00:00:00"/>
        <d v="2024-05-11T00:00:00"/>
        <d v="2024-05-13T00:00:00"/>
        <d v="2024-05-14T00:00:00"/>
        <d v="2024-05-15T00:00:00"/>
        <d v="2024-05-16T00:00:00"/>
        <d v="2024-05-17T00:00:00"/>
        <d v="2024-05-21T00:00:00"/>
        <d v="2024-05-23T00:00:00"/>
        <d v="2024-05-24T00:00:00"/>
        <d v="2024-05-25T00:00:00"/>
        <d v="2024-05-30T00:00:00"/>
        <d v="2024-06-03T00:00:00"/>
        <d v="2024-06-05T00:00:00"/>
        <d v="2024-06-06T00:00:00"/>
        <d v="2024-06-07T00:00:00"/>
        <d v="2024-06-15T00:00:00"/>
        <d v="2024-06-17T00:00:00"/>
        <d v="2024-06-18T00:00:00"/>
        <d v="2024-06-19T00:00:00"/>
        <d v="2024-06-20T00:00:00"/>
        <d v="2024-06-21T00:00:00"/>
        <d v="2024-06-24T00:00:00"/>
        <d v="2024-06-25T00:00:00"/>
        <d v="2024-06-26T00:00:00"/>
        <d v="2024-06-27T00:00:00"/>
        <d v="2024-06-28T00:00:00"/>
        <d v="2024-06-30T00:00:00"/>
        <d v="2024-07-01T00:00:00"/>
        <d v="2024-07-02T00:00:00"/>
        <d v="2024-07-03T00:00:00"/>
        <d v="2024-07-04T00:00:00"/>
        <d v="2024-07-05T00:00:00"/>
        <d v="2024-07-06T00:00:00"/>
        <d v="2024-07-13T00:00:00"/>
        <d v="2024-07-15T00:00:00"/>
        <d v="2024-07-16T00:00:00"/>
        <d v="2024-07-17T00:00:00"/>
        <d v="2024-07-22T00:00:00"/>
        <d v="2024-07-24T00:00:00"/>
        <d v="2024-07-25T00:00:00"/>
        <d v="2024-07-29T00:00:00"/>
        <d v="2024-07-30T00:00:00"/>
        <d v="2024-08-01T00:00:00"/>
        <d v="2024-08-02T00:00:00"/>
        <d v="2024-08-03T00:00:00"/>
        <d v="2024-08-04T00:00:00"/>
        <d v="2024-08-06T00:00:00"/>
        <d v="2024-08-07T00:00:00"/>
        <d v="2024-08-08T00:00:00"/>
        <d v="2024-08-10T00:00:00"/>
        <d v="2024-08-20T00:00:00"/>
        <d v="2024-08-22T00:00:00"/>
        <d v="2024-08-24T00:00:00"/>
        <d v="2024-08-29T00:00:00"/>
        <d v="2024-08-31T00:00:00"/>
        <d v="2024-09-02T00:00:00"/>
        <d v="2024-09-04T00:00:00"/>
        <d v="2024-09-05T00:00:00"/>
        <d v="2024-09-07T00:00:00"/>
        <d v="2024-09-10T00:00:00"/>
        <d v="2024-09-11T00:00:00"/>
        <d v="2024-09-12T00:00:00"/>
        <d v="2024-09-14T00:00:00"/>
        <d v="2024-09-17T00:00:00"/>
        <d v="2024-09-19T00:00:00"/>
        <d v="2024-09-21T00:00:00"/>
        <d v="2024-09-23T00:00:00"/>
        <d v="2024-09-25T00:00:00"/>
        <d v="2024-09-26T00:00:00"/>
        <d v="2024-09-28T00:00:00"/>
        <d v="2024-10-07T00:00:00"/>
        <d v="2024-10-09T00:00:00"/>
        <d v="2024-10-11T00:00:00"/>
        <d v="2024-10-12T00:00:00"/>
        <d v="2024-10-13T00:00:00"/>
        <d v="2024-10-16T00:00:00"/>
        <d v="2024-10-18T00:00:00"/>
        <d v="2024-10-20T00:00:00"/>
        <d v="2024-10-22T00:00:00"/>
        <d v="2024-10-23T00:00:00"/>
        <d v="2024-10-24T00:00:00"/>
        <d v="2024-10-25T00:00:00"/>
        <d v="2024-10-26T00:00:00"/>
        <d v="2024-10-27T00:00:00"/>
        <d v="2024-10-28T00:00:00"/>
        <d v="2024-10-30T00:00:00"/>
        <d v="2024-11-01T00:00:00"/>
        <d v="2024-11-04T00:00:00"/>
        <d v="2024-11-06T00:00:00"/>
        <d v="2024-11-08T00:00:00"/>
        <d v="2024-11-15T00:00:00"/>
        <d v="2025-11-25T00:00:00"/>
        <d v="2024-11-27T00:00:00"/>
        <d v="2024-11-29T00:00:00"/>
        <d v="2024-12-02T00:00:00"/>
        <d v="2024-12-04T00:00:00"/>
        <d v="2024-12-06T00:00:00"/>
        <d v="2024-12-08T00:00:00"/>
        <d v="2024-12-10T00:00:00"/>
        <d v="2024-12-12T00:00:00"/>
        <d v="2024-12-14T00:00:00"/>
        <d v="2024-12-17T00:00:00"/>
        <d v="2025-01-03T00:00:00"/>
        <d v="2025-01-17T00:00:00"/>
        <d v="2025-01-20T00:00:00"/>
        <d v="2025-01-22T00:00:00"/>
        <d v="2025-01-24T00:00:00"/>
        <d v="2025-01-27T00:00:00"/>
        <d v="2025-01-29T00:00:00"/>
        <d v="2025-01-31T00:00:00"/>
        <d v="2025-02-04T00:00:00"/>
        <d v="2025-02-06T00:00:00"/>
        <d v="2025-02-08T00:00:00"/>
        <d v="2025-02-11T00:00:00"/>
        <d v="2025-02-13T00:00:00"/>
        <d v="2025-02-17T00:00:00"/>
        <d v="2025-02-18T00:00:00"/>
        <d v="2025-02-19T00:00:00"/>
        <d v="2025-02-25T00:00:00"/>
        <d v="2025-03-03T00:00:00"/>
        <d v="2025-03-05T00:00:00"/>
        <d v="2025-03-07T00:00:00"/>
        <d v="2025-03-10T00:00:00"/>
        <d v="2025-03-12T00:00:00"/>
        <d v="2025-03-14T00:00:00"/>
        <d v="2025-03-18T00:00:00"/>
        <d v="2025-03-20T00:00:00"/>
        <d v="2025-03-22T00:00:00"/>
        <d v="2025-03-29T00:00:00"/>
        <d v="2025-04-02T00:00:00"/>
        <d v="2025-04-04T00:00:00"/>
        <d v="2025-04-08T00:00:00"/>
        <d v="2025-04-10T00:00:00"/>
        <d v="2025-04-12T00:00:00"/>
        <d v="2025-04-14T00:00:00"/>
        <d v="2025-04-21T00:00:00"/>
        <d v="2025-04-23T00:00:00"/>
        <d v="2025-05-03T00:00:00"/>
        <d v="2025-05-06T00:00:00"/>
        <d v="2025-05-08T00:00:00"/>
        <d v="2025-05-10T00:00:00"/>
        <d v="2025-05-13T00:00:00"/>
        <d v="2025-05-16T00:00:00"/>
        <d v="2025-05-18T00:00:00"/>
        <d v="2025-05-20T00:00:00"/>
        <d v="2025-05-22T00:00:00"/>
        <d v="2025-05-24T00:00:00"/>
        <d v="2025-05-30T00:00:00"/>
        <d v="2025-06-01T00:00:00"/>
        <d v="2025-06-03T00:00:00"/>
        <d v="2025-06-04T00:00:00"/>
        <d v="2025-06-05T00:00:00"/>
        <d v="2025-06-06T00:00:00"/>
        <d v="2025-06-07T00:00:00"/>
        <d v="2025-06-09T00:00:00"/>
        <d v="2025-06-10T00:00:00"/>
        <d v="2025-06-11T00:00:00"/>
        <d v="2025-06-14T00:00:00"/>
        <d v="2025-06-15T00:00:00"/>
        <d v="2025-06-17T00:00:00"/>
        <d v="2025-06-20T00:00:00"/>
        <d v="2025-06-25T00:00:00"/>
        <d v="2025-05-26T00:00:00"/>
        <d v="2025-06-27T00:00:00"/>
        <d v="2025-06-28T00:00:00"/>
        <d v="2025-07-01T00:00:00"/>
        <d v="2025-07-02T00:00:00"/>
        <d v="2025-07-03T00:00:00"/>
        <d v="2025-07-07T00:00:00"/>
        <d v="2025-07-11T00:00:00"/>
        <d v="2025-07-13T00:00:00"/>
        <d v="2025-07-15T00:00:00"/>
        <d v="2025-07-17T00:00:00"/>
        <d v="2025-07-19T00:00:00"/>
        <d v="2025-07-20T00:00:00"/>
        <d v="2025-07-21T00:00:00"/>
        <d v="2025-07-24T00:00:00"/>
        <d v="2025-07-25T00:00:00"/>
        <d v="2025-07-27T00:00:00"/>
        <d v="2025-07-30T00:00:00"/>
        <d v="2025-07-31T00:00:00"/>
        <d v="2025-08-01T00:00:00"/>
        <d v="2025-08-02T00:00:00"/>
        <d v="2025-08-03T00:00:00"/>
        <d v="2025-08-04T00:00:00"/>
        <d v="2025-08-07T00:00:00"/>
        <d v="2025-08-08T00:00:00"/>
        <d v="2025-08-09T00:00:00"/>
        <d v="2025-08-10T00:00:00"/>
        <d v="2025-08-12T00:00:00"/>
        <d v="2025-08-14T00:00:00"/>
        <d v="2025-08-16T00:00:00"/>
        <d v="2025-08-20T00:00:00"/>
        <d v="2025-08-22T00:00:00"/>
        <d v="2025-08-24T00:00:00"/>
        <d v="2025-08-26T00:00:00"/>
        <d v="2025-08-28T00:00:00"/>
        <d v="2025-08-30T00:00:00"/>
        <d v="2025-09-02T00:00:00"/>
        <d v="2025-09-04T00:00:00"/>
        <d v="2025-09-06T00:00:00"/>
        <d v="2025-09-08T00:00:00"/>
        <d v="2025-09-14T00:00:00"/>
        <d v="2025-09-18T00:00:00"/>
        <d v="2025-09-20T00:00:00"/>
        <d v="2025-09-27T00:00:00"/>
        <d v="2025-09-30T00:00:00"/>
      </sharedItems>
      <fieldGroup par="23"/>
    </cacheField>
    <cacheField name="Fecha llegada" numFmtId="14">
      <sharedItems containsSemiMixedTypes="0" containsNonDate="0" containsDate="1" containsString="0" minDate="2024-01-07T00:00:00" maxDate="2025-10-01T00:00:00" count="293">
        <d v="2024-01-07T00:00:00"/>
        <d v="2024-01-11T00:00:00"/>
        <d v="2024-01-13T00:00:00"/>
        <d v="2024-01-16T00:00:00"/>
        <d v="2024-01-18T00:00:00"/>
        <d v="2024-01-24T00:00:00"/>
        <d v="2024-01-25T00:00:00"/>
        <d v="2024-01-27T00:00:00"/>
        <d v="2024-01-30T00:00:00"/>
        <d v="2024-02-02T00:00:00"/>
        <d v="2024-02-12T00:00:00"/>
        <d v="2024-02-13T00:00:00"/>
        <d v="2024-02-15T00:00:00"/>
        <d v="2024-02-16T00:00:00"/>
        <d v="2024-02-17T00:00:00"/>
        <d v="2024-02-19T00:00:00"/>
        <d v="2024-02-20T00:00:00"/>
        <d v="2024-02-21T00:00:00"/>
        <d v="2024-02-22T00:00:00"/>
        <d v="2024-02-23T00:00:00"/>
        <d v="2024-02-24T00:00:00"/>
        <d v="2024-02-26T00:00:00"/>
        <d v="2024-02-27T00:00:00"/>
        <d v="2024-02-29T00:00:00"/>
        <d v="2024-03-02T00:00:00"/>
        <d v="2024-03-04T00:00:00"/>
        <d v="2024-03-05T00:00:00"/>
        <d v="2024-03-06T00:00:00"/>
        <d v="2024-03-07T00:00:00"/>
        <d v="2024-03-08T00:00:00"/>
        <d v="2024-03-09T00:00:00"/>
        <d v="2024-03-10T00:00:00"/>
        <d v="2024-03-11T00:00:00"/>
        <d v="2024-03-12T00:00:00"/>
        <d v="2024-03-13T00:00:00"/>
        <d v="2024-03-14T00:00:00"/>
        <d v="2024-03-15T00:00:00"/>
        <d v="2024-03-16T00:00:00"/>
        <d v="2024-03-31T00:00:00"/>
        <d v="2024-04-01T00:00:00"/>
        <d v="2024-04-08T00:00:00"/>
        <d v="2024-04-10T00:00:00"/>
        <d v="2024-04-11T00:00:00"/>
        <d v="2024-04-12T00:00:00"/>
        <d v="2024-04-13T00:00:00"/>
        <d v="2024-04-14T00:00:00"/>
        <d v="2024-04-16T00:00:00"/>
        <d v="2024-04-17T00:00:00"/>
        <d v="2024-04-18T00:00:00"/>
        <d v="2024-04-19T00:00:00"/>
        <d v="2024-04-20T00:00:00"/>
        <d v="2024-04-21T00:00:00"/>
        <d v="2024-04-23T00:00:00"/>
        <d v="2024-04-25T00:00:00"/>
        <d v="2024-04-26T00:00:00"/>
        <d v="2024-04-27T00:00:00"/>
        <d v="2024-04-30T00:00:00"/>
        <d v="2024-05-01T00:00:00"/>
        <d v="2024-05-03T00:00:00"/>
        <d v="2024-05-04T00:00:00"/>
        <d v="2024-05-12T00:00:00"/>
        <d v="2024-05-14T00:00:00"/>
        <d v="2024-05-15T00:00:00"/>
        <d v="2024-05-16T00:00:00"/>
        <d v="2024-05-17T00:00:00"/>
        <d v="2024-05-18T00:00:00"/>
        <d v="2024-05-22T00:00:00"/>
        <d v="2024-05-24T00:00:00"/>
        <d v="2024-05-25T00:00:00"/>
        <d v="2024-05-26T00:00:00"/>
        <d v="2024-05-31T00:00:00"/>
        <d v="2024-06-04T00:00:00"/>
        <d v="2024-06-06T00:00:00"/>
        <d v="2024-06-07T00:00:00"/>
        <d v="2024-06-08T00:00:00"/>
        <d v="2024-06-17T00:00:00"/>
        <d v="2024-06-18T00:00:00"/>
        <d v="2024-06-19T00:00:00"/>
        <d v="2024-06-20T00:00:00"/>
        <d v="2024-06-21T00:00:00"/>
        <d v="2024-06-22T00:00:00"/>
        <d v="2024-06-25T00:00:00"/>
        <d v="2024-06-26T00:00:00"/>
        <d v="2024-06-27T00:00:00"/>
        <d v="2024-06-28T00:00:00"/>
        <d v="2024-06-29T00:00:00"/>
        <d v="2024-07-01T00:00:00"/>
        <d v="2024-07-02T00:00:00"/>
        <d v="2024-07-03T00:00:00"/>
        <d v="2024-07-04T00:00:00"/>
        <d v="2024-07-05T00:00:00"/>
        <d v="2024-07-06T00:00:00"/>
        <d v="2024-07-07T00:00:00"/>
        <d v="2024-07-15T00:00:00"/>
        <d v="2024-07-16T00:00:00"/>
        <d v="2024-07-17T00:00:00"/>
        <d v="2024-07-18T00:00:00"/>
        <d v="2024-07-23T00:00:00"/>
        <d v="2024-07-25T00:00:00"/>
        <d v="2024-07-26T00:00:00"/>
        <d v="2024-07-30T00:00:00"/>
        <d v="2024-07-31T00:00:00"/>
        <d v="2024-08-02T00:00:00"/>
        <d v="2024-08-03T00:00:00"/>
        <d v="2024-08-04T00:00:00"/>
        <d v="2024-08-05T00:00:00"/>
        <d v="2024-08-07T00:00:00"/>
        <d v="2024-08-08T00:00:00"/>
        <d v="2024-08-09T00:00:00"/>
        <d v="2024-08-11T00:00:00"/>
        <d v="2024-08-21T00:00:00"/>
        <d v="2024-08-23T00:00:00"/>
        <d v="2024-08-25T00:00:00"/>
        <d v="2024-08-30T00:00:00"/>
        <d v="2024-09-01T00:00:00"/>
        <d v="2024-09-03T00:00:00"/>
        <d v="2024-09-05T00:00:00"/>
        <d v="2024-09-06T00:00:00"/>
        <d v="2024-09-07T00:00:00"/>
        <d v="2024-09-11T00:00:00"/>
        <d v="2024-09-12T00:00:00"/>
        <d v="2024-09-13T00:00:00"/>
        <d v="2024-09-15T00:00:00"/>
        <d v="2024-09-18T00:00:00"/>
        <d v="2024-09-20T00:00:00"/>
        <d v="2024-09-22T00:00:00"/>
        <d v="2024-09-24T00:00:00"/>
        <d v="2024-09-26T00:00:00"/>
        <d v="2024-09-27T00:00:00"/>
        <d v="2024-09-29T00:00:00"/>
        <d v="2024-10-08T00:00:00"/>
        <d v="2024-10-10T00:00:00"/>
        <d v="2024-10-12T00:00:00"/>
        <d v="2024-10-13T00:00:00"/>
        <d v="2024-10-14T00:00:00"/>
        <d v="2024-10-17T00:00:00"/>
        <d v="2024-10-19T00:00:00"/>
        <d v="2024-10-21T00:00:00"/>
        <d v="2024-10-23T00:00:00"/>
        <d v="2024-10-24T00:00:00"/>
        <d v="2024-10-25T00:00:00"/>
        <d v="2024-10-26T00:00:00"/>
        <d v="2024-10-27T00:00:00"/>
        <d v="2024-10-28T00:00:00"/>
        <d v="2024-10-29T00:00:00"/>
        <d v="2024-10-31T00:00:00"/>
        <d v="2024-11-02T00:00:00"/>
        <d v="2024-11-05T00:00:00"/>
        <d v="2024-11-07T00:00:00"/>
        <d v="2024-11-09T00:00:00"/>
        <d v="2024-11-15T00:00:00"/>
        <d v="2024-11-26T00:00:00"/>
        <d v="2024-11-28T00:00:00"/>
        <d v="2024-11-30T00:00:00"/>
        <d v="2024-12-03T00:00:00"/>
        <d v="2024-12-04T00:00:00"/>
        <d v="2024-12-05T00:00:00"/>
        <d v="2024-12-07T00:00:00"/>
        <d v="2024-12-09T00:00:00"/>
        <d v="2024-12-11T00:00:00"/>
        <d v="2024-12-13T00:00:00"/>
        <d v="2024-12-15T00:00:00"/>
        <d v="2024-12-18T00:00:00"/>
        <d v="2025-01-04T00:00:00"/>
        <d v="2025-01-18T00:00:00"/>
        <d v="2025-01-21T00:00:00"/>
        <d v="2025-01-23T00:00:00"/>
        <d v="2025-01-25T00:00:00"/>
        <d v="2025-01-28T00:00:00"/>
        <d v="2025-01-30T00:00:00"/>
        <d v="2025-02-01T00:00:00"/>
        <d v="2025-02-05T00:00:00"/>
        <d v="2025-02-07T00:00:00"/>
        <d v="2025-02-09T00:00:00"/>
        <d v="2025-02-12T00:00:00"/>
        <d v="2025-02-14T00:00:00"/>
        <d v="2025-02-17T00:00:00"/>
        <d v="2025-02-18T00:00:00"/>
        <d v="2025-02-19T00:00:00"/>
        <d v="2025-02-26T00:00:00"/>
        <d v="2025-03-04T00:00:00"/>
        <d v="2025-03-06T00:00:00"/>
        <d v="2025-03-08T00:00:00"/>
        <d v="2025-03-11T00:00:00"/>
        <d v="2025-03-13T00:00:00"/>
        <d v="2025-03-15T00:00:00"/>
        <d v="2025-03-19T00:00:00"/>
        <d v="2025-03-21T00:00:00"/>
        <d v="2025-03-23T00:00:00"/>
        <d v="2025-03-30T00:00:00"/>
        <d v="2025-04-03T00:00:00"/>
        <d v="2025-04-05T00:00:00"/>
        <d v="2025-04-09T00:00:00"/>
        <d v="2025-04-11T00:00:00"/>
        <d v="2025-04-13T00:00:00"/>
        <d v="2025-04-15T00:00:00"/>
        <d v="2025-04-22T00:00:00"/>
        <d v="2025-04-24T00:00:00"/>
        <d v="2025-05-04T00:00:00"/>
        <d v="2025-05-07T00:00:00"/>
        <d v="2025-05-09T00:00:00"/>
        <d v="2025-05-11T00:00:00"/>
        <d v="2025-05-14T00:00:00"/>
        <d v="2025-05-17T00:00:00"/>
        <d v="2025-05-20T00:00:00"/>
        <d v="2025-05-21T00:00:00"/>
        <d v="2025-05-23T00:00:00"/>
        <d v="2025-05-25T00:00:00"/>
        <d v="2025-05-30T00:00:00"/>
        <d v="2025-06-01T00:00:00"/>
        <d v="2025-06-03T00:00:00"/>
        <d v="2025-06-04T00:00:00"/>
        <d v="2025-06-06T00:00:00"/>
        <d v="2025-06-05T00:00:00"/>
        <d v="2025-06-08T00:00:00"/>
        <d v="2025-06-09T00:00:00"/>
        <d v="2025-06-10T00:00:00"/>
        <d v="2025-06-11T00:00:00"/>
        <d v="2025-06-14T00:00:00"/>
        <d v="2025-06-15T00:00:00"/>
        <d v="2025-06-17T00:00:00"/>
        <d v="2025-06-18T00:00:00"/>
        <d v="2025-06-20T00:00:00"/>
        <d v="2025-06-21T00:00:00"/>
        <d v="2025-06-25T00:00:00"/>
        <d v="2025-06-26T00:00:00"/>
        <d v="2025-06-27T00:00:00"/>
        <d v="2025-06-28T00:00:00"/>
        <d v="2025-07-01T00:00:00"/>
        <d v="2025-07-02T00:00:00"/>
        <d v="2025-07-03T00:00:00"/>
        <d v="2025-07-04T00:00:00"/>
        <d v="2025-07-07T00:00:00"/>
        <d v="2025-07-09T00:00:00"/>
        <d v="2025-07-11T00:00:00"/>
        <d v="2025-07-12T00:00:00"/>
        <d v="2025-07-13T00:00:00"/>
        <d v="2025-07-14T00:00:00"/>
        <d v="2025-07-15T00:00:00"/>
        <d v="2025-07-16T00:00:00"/>
        <d v="2025-07-17T00:00:00"/>
        <d v="2025-07-18T00:00:00"/>
        <d v="2025-07-19T00:00:00"/>
        <d v="2025-07-20T00:00:00"/>
        <d v="2025-07-21T00:00:00"/>
        <d v="2025-07-22T00:00:00"/>
        <d v="2025-07-24T00:00:00"/>
        <d v="2025-07-25T00:00:00"/>
        <d v="2025-07-26T00:00:00"/>
        <d v="2025-07-27T00:00:00"/>
        <d v="2025-07-28T00:00:00"/>
        <d v="2025-07-30T00:00:00"/>
        <d v="2025-08-01T00:00:00"/>
        <d v="2025-08-03T00:00:00"/>
        <d v="2025-08-02T00:00:00"/>
        <d v="2025-08-04T00:00:00"/>
        <d v="2025-08-07T00:00:00"/>
        <d v="2025-08-08T00:00:00"/>
        <d v="2025-08-09T00:00:00"/>
        <d v="2025-08-10T00:00:00"/>
        <d v="2025-08-11T00:00:00"/>
        <d v="2025-08-12T00:00:00"/>
        <d v="2025-08-13T00:00:00"/>
        <d v="2025-08-14T00:00:00"/>
        <d v="2025-08-15T00:00:00"/>
        <d v="2025-08-16T00:00:00"/>
        <d v="2025-08-17T00:00:00"/>
        <d v="2025-08-20T00:00:00"/>
        <d v="2025-08-21T00:00:00"/>
        <d v="2025-08-22T00:00:00"/>
        <d v="2025-08-23T00:00:00"/>
        <d v="2025-08-24T00:00:00"/>
        <d v="2025-08-25T00:00:00"/>
        <d v="2025-08-27T00:00:00"/>
        <d v="2025-08-28T00:00:00"/>
        <d v="2025-08-29T00:00:00"/>
        <d v="2025-08-30T00:00:00"/>
        <d v="2025-08-31T00:00:00"/>
        <d v="2025-09-02T00:00:00"/>
        <d v="2025-09-03T00:00:00"/>
        <d v="2025-09-04T00:00:00"/>
        <d v="2025-09-05T00:00:00"/>
        <d v="2025-09-06T00:00:00"/>
        <d v="2025-09-07T00:00:00"/>
        <d v="2025-09-08T00:00:00"/>
        <d v="2025-09-09T00:00:00"/>
        <d v="2025-09-15T00:00:00"/>
        <d v="2025-09-18T00:00:00"/>
        <d v="2025-09-19T00:00:00"/>
        <d v="2025-09-20T00:00:00"/>
        <d v="2025-09-21T00:00:00"/>
        <d v="2025-09-28T00:00:00"/>
        <d v="2025-09-30T00:00:00"/>
      </sharedItems>
      <fieldGroup par="25"/>
    </cacheField>
    <cacheField name="Días " numFmtId="0">
      <sharedItems containsString="0" containsBlank="1" containsNumber="1" containsInteger="1" minValue="1" maxValue="2"/>
    </cacheField>
    <cacheField name="Cantidad Locomotoras" numFmtId="0">
      <sharedItems containsString="0" containsBlank="1" containsNumber="1" containsInteger="1" minValue="0" maxValue="2"/>
    </cacheField>
    <cacheField name="V/r Alquiler locomotoras" numFmtId="164">
      <sharedItems containsString="0" containsBlank="1" containsNumber="1" minValue="0" maxValue="1844958.9915966387"/>
    </cacheField>
    <cacheField name="Cantidad plataformas" numFmtId="0">
      <sharedItems containsString="0" containsBlank="1" containsNumber="1" containsInteger="1" minValue="3" maxValue="20"/>
    </cacheField>
    <cacheField name="V/r Alquiler plataformas" numFmtId="164">
      <sharedItems containsString="0" containsBlank="1" containsNumber="1" minValue="81602.957445378153" maxValue="1200345.0980392159"/>
    </cacheField>
    <cacheField name="V/r Alquiler Mat. Rodante" numFmtId="164">
      <sharedItems containsString="0" containsBlank="1" containsNumber="1" minValue="316591.01678431378" maxValue="2760151.1327731092"/>
    </cacheField>
    <cacheField name="Toneladas Transportad." numFmtId="0">
      <sharedItems containsSemiMixedTypes="0" containsString="0" containsNumber="1" minValue="8.5540000000000003" maxValue="634.22199999999998"/>
    </cacheField>
    <cacheField name="Km recorridos" numFmtId="0">
      <sharedItems containsSemiMixedTypes="0" containsString="0" containsNumber="1" minValue="2.65300000000002" maxValue="257"/>
    </cacheField>
    <cacheField name="Ton-km" numFmtId="0">
      <sharedItems containsSemiMixedTypes="0" containsString="0" containsNumber="1" minValue="427.49999999999915" maxValue="100744"/>
    </cacheField>
    <cacheField name="V/r Importe Uso de Vía" numFmtId="164">
      <sharedItems containsSemiMixedTypes="0" containsString="0" containsNumber="1" minValue="3931.7195519999923" maxValue="926543.05157120002"/>
    </cacheField>
    <cacheField name="Remisión No." numFmtId="0">
      <sharedItems containsBlank="1"/>
    </cacheField>
    <cacheField name="Recorrido Locomotras Trabajando" numFmtId="0">
      <sharedItems containsString="0" containsBlank="1" containsNumber="1" minValue="5.30600000000004" maxValue="702"/>
    </cacheField>
    <cacheField name="Cantidad Combustible Consumido" numFmtId="0">
      <sharedItems containsString="0" containsBlank="1" containsNumber="1" minValue="4.2448000000000325" maxValue="561.6"/>
    </cacheField>
    <cacheField name="V/r Combustible " numFmtId="164">
      <sharedItems containsString="0" containsBlank="1" containsNumber="1" minValue="43173.86080000033" maxValue="5712033.6000000006"/>
    </cacheField>
    <cacheField name="Factura" numFmtId="0">
      <sharedItems count="21">
        <s v="OC008"/>
        <s v="OC009"/>
        <s v="OC010"/>
        <s v="OC011"/>
        <s v="OC012"/>
        <s v="OC013"/>
        <s v="OC014"/>
        <s v="OC015"/>
        <s v="OC016"/>
        <s v="OC017"/>
        <s v="OC018"/>
        <s v="OC019"/>
        <s v="OC020"/>
        <s v="OC021"/>
        <s v="OC022"/>
        <s v="OC023"/>
        <s v="OC024"/>
        <s v="OC025"/>
        <s v="OC026"/>
        <s v="OC027"/>
        <s v="OC028"/>
      </sharedItems>
    </cacheField>
    <cacheField name="Columna1" numFmtId="0">
      <sharedItems containsNonDate="0" containsString="0" containsBlank="1"/>
    </cacheField>
    <cacheField name="Días (Fecha Salida)" numFmtId="0" databaseField="0">
      <fieldGroup base="4">
        <rangePr groupBy="days" startDate="2024-01-06T00:00:00" endDate="2025-11-26T00:00:00"/>
        <groupItems count="368">
          <s v="&lt;6/01/2024"/>
          <s v="1-ene"/>
          <s v="2-ene"/>
          <s v="3-ene"/>
          <s v="4-ene"/>
          <s v="5-ene"/>
          <s v="6-ene"/>
          <s v="7-ene"/>
          <s v="8-ene"/>
          <s v="9-ene"/>
          <s v="10-ene"/>
          <s v="11-ene"/>
          <s v="12-ene"/>
          <s v="13-ene"/>
          <s v="14-ene"/>
          <s v="15-ene"/>
          <s v="16-ene"/>
          <s v="17-ene"/>
          <s v="18-ene"/>
          <s v="19-ene"/>
          <s v="20-ene"/>
          <s v="21-ene"/>
          <s v="22-ene"/>
          <s v="23-ene"/>
          <s v="24-ene"/>
          <s v="25-ene"/>
          <s v="26-ene"/>
          <s v="27-ene"/>
          <s v="28-ene"/>
          <s v="29-ene"/>
          <s v="30-ene"/>
          <s v="31-ene"/>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br"/>
          <s v="2-abr"/>
          <s v="3-abr"/>
          <s v="4-abr"/>
          <s v="5-abr"/>
          <s v="6-abr"/>
          <s v="7-abr"/>
          <s v="8-abr"/>
          <s v="9-abr"/>
          <s v="10-abr"/>
          <s v="11-abr"/>
          <s v="12-abr"/>
          <s v="13-abr"/>
          <s v="14-abr"/>
          <s v="15-abr"/>
          <s v="16-abr"/>
          <s v="17-abr"/>
          <s v="18-abr"/>
          <s v="19-abr"/>
          <s v="20-abr"/>
          <s v="21-abr"/>
          <s v="22-abr"/>
          <s v="23-abr"/>
          <s v="24-abr"/>
          <s v="25-abr"/>
          <s v="26-abr"/>
          <s v="27-abr"/>
          <s v="28-abr"/>
          <s v="29-abr"/>
          <s v="30-ab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go"/>
          <s v="2-ago"/>
          <s v="3-ago"/>
          <s v="4-ago"/>
          <s v="5-ago"/>
          <s v="6-ago"/>
          <s v="7-ago"/>
          <s v="8-ago"/>
          <s v="9-ago"/>
          <s v="10-ago"/>
          <s v="11-ago"/>
          <s v="12-ago"/>
          <s v="13-ago"/>
          <s v="14-ago"/>
          <s v="15-ago"/>
          <s v="16-ago"/>
          <s v="17-ago"/>
          <s v="18-ago"/>
          <s v="19-ago"/>
          <s v="20-ago"/>
          <s v="21-ago"/>
          <s v="22-ago"/>
          <s v="23-ago"/>
          <s v="24-ago"/>
          <s v="25-ago"/>
          <s v="26-ago"/>
          <s v="27-ago"/>
          <s v="28-ago"/>
          <s v="29-ago"/>
          <s v="30-ago"/>
          <s v="31-ago"/>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ic"/>
          <s v="2-dic"/>
          <s v="3-dic"/>
          <s v="4-dic"/>
          <s v="5-dic"/>
          <s v="6-dic"/>
          <s v="7-dic"/>
          <s v="8-dic"/>
          <s v="9-dic"/>
          <s v="10-dic"/>
          <s v="11-dic"/>
          <s v="12-dic"/>
          <s v="13-dic"/>
          <s v="14-dic"/>
          <s v="15-dic"/>
          <s v="16-dic"/>
          <s v="17-dic"/>
          <s v="18-dic"/>
          <s v="19-dic"/>
          <s v="20-dic"/>
          <s v="21-dic"/>
          <s v="22-dic"/>
          <s v="23-dic"/>
          <s v="24-dic"/>
          <s v="25-dic"/>
          <s v="26-dic"/>
          <s v="27-dic"/>
          <s v="28-dic"/>
          <s v="29-dic"/>
          <s v="30-dic"/>
          <s v="31-dic"/>
          <s v="&gt;26/11/2025"/>
        </groupItems>
      </fieldGroup>
    </cacheField>
    <cacheField name="Meses (Fecha Salida)" numFmtId="0" databaseField="0">
      <fieldGroup base="4">
        <rangePr groupBy="months" startDate="2024-01-06T00:00:00" endDate="2025-11-26T00:00:00"/>
        <groupItems count="14">
          <s v="&lt;6/01/2024"/>
          <s v="ene"/>
          <s v="feb"/>
          <s v="mar"/>
          <s v="abr"/>
          <s v="may"/>
          <s v="jun"/>
          <s v="jul"/>
          <s v="ago"/>
          <s v="sep"/>
          <s v="oct"/>
          <s v="nov"/>
          <s v="dic"/>
          <s v="&gt;26/11/2025"/>
        </groupItems>
      </fieldGroup>
    </cacheField>
    <cacheField name="Días (Fecha llegada)" numFmtId="0" databaseField="0">
      <fieldGroup base="5">
        <rangePr groupBy="days" startDate="2024-01-07T00:00:00" endDate="2025-10-01T00:00:00"/>
        <groupItems count="368">
          <s v="&lt;7/01/2024"/>
          <s v="1-ene"/>
          <s v="2-ene"/>
          <s v="3-ene"/>
          <s v="4-ene"/>
          <s v="5-ene"/>
          <s v="6-ene"/>
          <s v="7-ene"/>
          <s v="8-ene"/>
          <s v="9-ene"/>
          <s v="10-ene"/>
          <s v="11-ene"/>
          <s v="12-ene"/>
          <s v="13-ene"/>
          <s v="14-ene"/>
          <s v="15-ene"/>
          <s v="16-ene"/>
          <s v="17-ene"/>
          <s v="18-ene"/>
          <s v="19-ene"/>
          <s v="20-ene"/>
          <s v="21-ene"/>
          <s v="22-ene"/>
          <s v="23-ene"/>
          <s v="24-ene"/>
          <s v="25-ene"/>
          <s v="26-ene"/>
          <s v="27-ene"/>
          <s v="28-ene"/>
          <s v="29-ene"/>
          <s v="30-ene"/>
          <s v="31-ene"/>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br"/>
          <s v="2-abr"/>
          <s v="3-abr"/>
          <s v="4-abr"/>
          <s v="5-abr"/>
          <s v="6-abr"/>
          <s v="7-abr"/>
          <s v="8-abr"/>
          <s v="9-abr"/>
          <s v="10-abr"/>
          <s v="11-abr"/>
          <s v="12-abr"/>
          <s v="13-abr"/>
          <s v="14-abr"/>
          <s v="15-abr"/>
          <s v="16-abr"/>
          <s v="17-abr"/>
          <s v="18-abr"/>
          <s v="19-abr"/>
          <s v="20-abr"/>
          <s v="21-abr"/>
          <s v="22-abr"/>
          <s v="23-abr"/>
          <s v="24-abr"/>
          <s v="25-abr"/>
          <s v="26-abr"/>
          <s v="27-abr"/>
          <s v="28-abr"/>
          <s v="29-abr"/>
          <s v="30-ab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go"/>
          <s v="2-ago"/>
          <s v="3-ago"/>
          <s v="4-ago"/>
          <s v="5-ago"/>
          <s v="6-ago"/>
          <s v="7-ago"/>
          <s v="8-ago"/>
          <s v="9-ago"/>
          <s v="10-ago"/>
          <s v="11-ago"/>
          <s v="12-ago"/>
          <s v="13-ago"/>
          <s v="14-ago"/>
          <s v="15-ago"/>
          <s v="16-ago"/>
          <s v="17-ago"/>
          <s v="18-ago"/>
          <s v="19-ago"/>
          <s v="20-ago"/>
          <s v="21-ago"/>
          <s v="22-ago"/>
          <s v="23-ago"/>
          <s v="24-ago"/>
          <s v="25-ago"/>
          <s v="26-ago"/>
          <s v="27-ago"/>
          <s v="28-ago"/>
          <s v="29-ago"/>
          <s v="30-ago"/>
          <s v="31-ago"/>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ic"/>
          <s v="2-dic"/>
          <s v="3-dic"/>
          <s v="4-dic"/>
          <s v="5-dic"/>
          <s v="6-dic"/>
          <s v="7-dic"/>
          <s v="8-dic"/>
          <s v="9-dic"/>
          <s v="10-dic"/>
          <s v="11-dic"/>
          <s v="12-dic"/>
          <s v="13-dic"/>
          <s v="14-dic"/>
          <s v="15-dic"/>
          <s v="16-dic"/>
          <s v="17-dic"/>
          <s v="18-dic"/>
          <s v="19-dic"/>
          <s v="20-dic"/>
          <s v="21-dic"/>
          <s v="22-dic"/>
          <s v="23-dic"/>
          <s v="24-dic"/>
          <s v="25-dic"/>
          <s v="26-dic"/>
          <s v="27-dic"/>
          <s v="28-dic"/>
          <s v="29-dic"/>
          <s v="30-dic"/>
          <s v="31-dic"/>
          <s v="&gt;1/10/2025"/>
        </groupItems>
      </fieldGroup>
    </cacheField>
    <cacheField name="Meses (Fecha llegada)" numFmtId="0" databaseField="0">
      <fieldGroup base="5">
        <rangePr groupBy="months" startDate="2024-01-07T00:00:00" endDate="2025-10-01T00:00:00"/>
        <groupItems count="14">
          <s v="&lt;7/01/2024"/>
          <s v="ene"/>
          <s v="feb"/>
          <s v="mar"/>
          <s v="abr"/>
          <s v="may"/>
          <s v="jun"/>
          <s v="jul"/>
          <s v="ago"/>
          <s v="sep"/>
          <s v="oct"/>
          <s v="nov"/>
          <s v="dic"/>
          <s v="&gt;1/10/2025"/>
        </groupItems>
      </fieldGroup>
    </cacheField>
  </cacheFields>
  <extLst>
    <ext xmlns:x14="http://schemas.microsoft.com/office/spreadsheetml/2009/9/main" uri="{725AE2AE-9491-48be-B2B4-4EB974FC3084}">
      <x14:pivotCacheDefinition pivotCacheId="17581967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x v="0"/>
    <d v="2023-06-30T00:00:00"/>
    <s v="OC001"/>
    <s v="Bogotá - Belencito"/>
    <x v="0"/>
    <s v="01/06/2023 - 30/06/2023"/>
    <s v="Arriendo material rodante informe OC001"/>
    <n v="3117"/>
    <n v="17634109"/>
    <n v="2815530"/>
    <n v="14818579"/>
    <n v="59274"/>
    <n v="14759305"/>
    <n v="14759305"/>
    <n v="14759305"/>
    <n v="2023"/>
    <n v="7"/>
    <d v="2023-07-28T00:00:00"/>
    <n v="0"/>
  </r>
  <r>
    <x v="0"/>
    <x v="1"/>
    <d v="2023-07-31T00:00:00"/>
    <s v="OC002"/>
    <s v="Bogotá - Belencito"/>
    <x v="0"/>
    <s v="01/07/2023 - 30/07/2023"/>
    <s v="Arriendo material rodante informe OC002"/>
    <n v="3905"/>
    <n v="22042636"/>
    <n v="3519412"/>
    <n v="18523224"/>
    <n v="74093"/>
    <n v="18449131"/>
    <n v="9224564"/>
    <n v="9224564"/>
    <n v="2023"/>
    <n v="7"/>
    <d v="2023-07-28T00:00:00"/>
    <n v="9224567"/>
  </r>
  <r>
    <x v="0"/>
    <x v="1"/>
    <d v="2023-07-31T00:00:00"/>
    <s v="OC002"/>
    <s v="Bogotá - Belencito"/>
    <x v="0"/>
    <s v="01/07/2023 - 30/07/2023"/>
    <s v="Arriendo material rodante informe OC002"/>
    <m/>
    <n v="0"/>
    <n v="0"/>
    <n v="0"/>
    <n v="0"/>
    <n v="0"/>
    <n v="9224567"/>
    <n v="9224567"/>
    <n v="2023"/>
    <n v="8"/>
    <d v="2023-08-04T00:00:00"/>
    <n v="-9224567"/>
  </r>
  <r>
    <x v="0"/>
    <x v="2"/>
    <d v="2023-08-31T00:00:00"/>
    <s v="OC003"/>
    <s v="Bogotá - Belencito"/>
    <x v="0"/>
    <s v="01/08/2023 - 30/08/2023"/>
    <s v="Arriendo material rodante informe OC003"/>
    <n v="3119"/>
    <n v="17634109"/>
    <n v="2815130"/>
    <n v="14818579"/>
    <n v="59274"/>
    <n v="14759305"/>
    <n v="9224564"/>
    <n v="9224564"/>
    <n v="2023"/>
    <n v="8"/>
    <d v="2023-08-04T00:00:00"/>
    <n v="5534741"/>
  </r>
  <r>
    <x v="0"/>
    <x v="2"/>
    <d v="2023-08-31T00:00:00"/>
    <s v="OC003"/>
    <s v="Bogotá - Belencito"/>
    <x v="0"/>
    <s v="01/08/2023 - 30/08/2023"/>
    <s v="Arriendo material rodante informe OC003"/>
    <m/>
    <m/>
    <m/>
    <m/>
    <m/>
    <m/>
    <n v="5534741"/>
    <n v="5534741"/>
    <n v="2023"/>
    <n v="11"/>
    <d v="2023-11-03T00:00:00"/>
    <n v="-5534741"/>
  </r>
  <r>
    <x v="0"/>
    <x v="3"/>
    <d v="2023-09-30T00:00:00"/>
    <s v="OC004"/>
    <s v="Bogotá - Belencito"/>
    <x v="0"/>
    <s v="01/092023 - 30/09/2023"/>
    <s v="Arriendo material rodante informe OC004"/>
    <n v="3508"/>
    <n v="19838372"/>
    <n v="3167471"/>
    <n v="16670901"/>
    <n v="66684"/>
    <n v="16604217"/>
    <n v="16604217"/>
    <n v="16604217"/>
    <n v="2023"/>
    <n v="11"/>
    <d v="2023-11-03T00:00:00"/>
    <n v="0"/>
  </r>
  <r>
    <x v="0"/>
    <x v="4"/>
    <d v="2023-10-31T00:00:00"/>
    <s v="OC005"/>
    <s v="Bogotá - Belencito"/>
    <x v="0"/>
    <s v="01/10/2023 - 30/10/2023"/>
    <s v="Arriendo material rodante informe OC005"/>
    <n v="3124"/>
    <n v="17634108.799999997"/>
    <n v="2815529.9764705878"/>
    <n v="14818578.8235294"/>
    <n v="59274"/>
    <n v="14759304.8235294"/>
    <n v="14759304.8235294"/>
    <n v="14759304.8235294"/>
    <n v="2023"/>
    <n v="11"/>
    <d v="2023-11-30T00:00:00"/>
    <n v="0"/>
  </r>
  <r>
    <x v="0"/>
    <x v="5"/>
    <d v="2023-11-30T00:00:00"/>
    <s v="OC006"/>
    <s v="Bogotá - Belencito"/>
    <x v="0"/>
    <s v="01/11/2023 - 30/11/2023"/>
    <s v="Arriendo material rodante informe OC006"/>
    <n v="3174"/>
    <n v="18101102"/>
    <n v="2890092"/>
    <n v="15211010"/>
    <n v="60844"/>
    <n v="15150166"/>
    <n v="15150166"/>
    <n v="15150166"/>
    <n v="2024"/>
    <n v="1"/>
    <d v="2024-01-31T00:00:00"/>
    <n v="0"/>
  </r>
  <r>
    <x v="0"/>
    <x v="6"/>
    <d v="2023-12-31T00:00:00"/>
    <s v="OC007"/>
    <s v="Bogotá - Belencito"/>
    <x v="0"/>
    <s v="01/12/2023 - 30/12/2023"/>
    <s v="Arriendo material rodante informe OC007"/>
    <n v="3332"/>
    <n v="14720054"/>
    <n v="2350361"/>
    <n v="12369693"/>
    <n v="49479"/>
    <n v="12320214"/>
    <n v="12320214"/>
    <n v="12320214"/>
    <n v="2024"/>
    <n v="1"/>
    <d v="2024-01-31T00:00:00"/>
    <n v="0"/>
  </r>
  <r>
    <x v="1"/>
    <x v="7"/>
    <d v="2024-01-31T00:00:00"/>
    <s v="OC008"/>
    <s v="Bogotá - Belencito"/>
    <x v="0"/>
    <s v="01/1/2024 - 30/1/2024"/>
    <s v="Arriendo material rodante informe OC008"/>
    <n v="3416"/>
    <n v="20088086"/>
    <n v="3207341"/>
    <n v="16880744"/>
    <n v="67523"/>
    <n v="16813221"/>
    <n v="16813221"/>
    <n v="16813221"/>
    <n v="2024"/>
    <n v="2"/>
    <d v="2024-02-26T00:00:00"/>
    <n v="0"/>
  </r>
  <r>
    <x v="1"/>
    <x v="8"/>
    <d v="2024-02-29T00:00:00"/>
    <s v="OC009"/>
    <s v="Bogotá - Belencito"/>
    <x v="0"/>
    <s v="01/2/2024 - 29/2/2024"/>
    <s v="Arriendo material rodante informe OC009"/>
    <n v="5200"/>
    <n v="17192742"/>
    <n v="2745060"/>
    <n v="14447682"/>
    <n v="57791"/>
    <n v="14389891"/>
    <n v="14389891"/>
    <n v="14389891"/>
    <n v="2024"/>
    <n v="4"/>
    <d v="2024-04-01T00:00:00"/>
    <n v="0"/>
  </r>
  <r>
    <x v="1"/>
    <x v="9"/>
    <d v="2024-03-31T00:00:00"/>
    <s v="OC010"/>
    <s v="Bogotá - Belencito"/>
    <x v="0"/>
    <s v="01/3/2024 - 31/3/2024"/>
    <s v="Arriendo material rodante informe OC010"/>
    <n v="5074"/>
    <n v="13925499.33"/>
    <n v="2223399.0499999998"/>
    <n v="11702100.279999999"/>
    <n v="46808"/>
    <n v="11655292.279999999"/>
    <n v="11655292.279999999"/>
    <n v="11655292.279999999"/>
    <n v="2024"/>
    <n v="4"/>
    <d v="2024-04-30T00:00:00"/>
    <n v="0"/>
  </r>
  <r>
    <x v="1"/>
    <x v="10"/>
    <d v="2024-04-30T00:00:00"/>
    <s v="OC011"/>
    <s v="Bogotá - Belencito"/>
    <x v="0"/>
    <s v="01/4/2024 - 30/4/2024"/>
    <s v="Arriendo material rodante informe OC011"/>
    <n v="6889"/>
    <n v="17689539.800000001"/>
    <n v="2824830.3"/>
    <n v="14865159.49"/>
    <n v="59461"/>
    <n v="14805698.49"/>
    <n v="14805698.49"/>
    <n v="14805698.49"/>
    <n v="2024"/>
    <n v="5"/>
    <d v="2024-05-28T00:00:00"/>
    <n v="0"/>
  </r>
  <r>
    <x v="1"/>
    <x v="11"/>
    <d v="2024-05-31T00:00:00"/>
    <s v="OC012"/>
    <s v="Bogotá - Belencito"/>
    <x v="0"/>
    <s v="01/5/2024 - 31/5/2024"/>
    <s v="Arriendo material rodante informe OC012"/>
    <n v="5027"/>
    <n v="15745509.140000001"/>
    <n v="2513988.85"/>
    <n v="13231520.279999999"/>
    <n v="52926"/>
    <n v="13178594.279999999"/>
    <n v="13178594.279999999"/>
    <n v="13178594.279999999"/>
    <n v="2024"/>
    <n v="6"/>
    <d v="2024-06-26T00:00:00"/>
    <n v="0"/>
  </r>
  <r>
    <x v="1"/>
    <x v="0"/>
    <d v="2024-06-30T00:00:00"/>
    <s v="OC013"/>
    <s v="Bogotá - Belencito"/>
    <x v="0"/>
    <s v="01/6/2024 - 30/6/2024"/>
    <s v="Arriendo material rodante informe OC013"/>
    <n v="5474.64"/>
    <n v="16502529.361813335"/>
    <n v="2634857.6291970871"/>
    <n v="13867671.732616248"/>
    <n v="55471"/>
    <n v="13812200.732616248"/>
    <n v="13812200.73"/>
    <n v="13812200.732616248"/>
    <n v="2024"/>
    <n v="7"/>
    <d v="2024-07-31T00:00:00"/>
    <n v="0"/>
  </r>
  <r>
    <x v="1"/>
    <x v="1"/>
    <d v="2024-07-31T00:00:00"/>
    <s v="OC014"/>
    <s v="Bogotá - Belencito"/>
    <x v="0"/>
    <s v="01/7/2024 - 31/7/2024"/>
    <s v="Arriendo material rodante informe OC014"/>
    <n v="5660.16"/>
    <n v="17043694.12128"/>
    <n v="2721262.0865909243"/>
    <n v="14322432.034689074"/>
    <n v="57290"/>
    <n v="14322432.0346891"/>
    <n v="14322432.034689074"/>
    <n v="14322432.0346891"/>
    <n v="2024"/>
    <n v="8"/>
    <d v="2024-08-29T00:00:00"/>
    <n v="0"/>
  </r>
  <r>
    <x v="1"/>
    <x v="2"/>
    <d v="2024-08-31T00:00:00"/>
    <s v="OC015"/>
    <s v="Bogotá - Belencito"/>
    <x v="0"/>
    <s v="01/8/2024 - 31/8/2024"/>
    <s v="Arriendo material rodante informe OC015"/>
    <n v="4295.28"/>
    <n v="22022490.921280004"/>
    <n v="3516196.0294480678"/>
    <n v="18506294.891831901"/>
    <n v="74025"/>
    <n v="18432269.891831901"/>
    <n v="18432269.890000001"/>
    <n v="18432269.891831901"/>
    <n v="2024"/>
    <n v="9"/>
    <d v="2024-09-30T00:00:00"/>
    <n v="0"/>
  </r>
  <r>
    <x v="1"/>
    <x v="3"/>
    <d v="2024-09-30T00:00:00"/>
    <s v="OC016"/>
    <s v="Bogotá - Belencito"/>
    <x v="0"/>
    <s v="01/9/2024 - 30/9/2024"/>
    <s v="Arriendo material rodante informe OC016"/>
    <n v="5451.3440000000001"/>
    <n v="21482031.709920004"/>
    <n v="3429904.22259227"/>
    <n v="18052127.487327736"/>
    <n v="72209"/>
    <n v="17979918.487327736"/>
    <n v="17979918.487327736"/>
    <n v="17979918.487327736"/>
    <n v="2024"/>
    <n v="10"/>
    <d v="2024-10-31T00:00:00"/>
    <n v="0"/>
  </r>
  <r>
    <x v="1"/>
    <x v="4"/>
    <d v="2024-10-31T00:00:00"/>
    <s v="OC017"/>
    <s v="Bogotá - Belencito"/>
    <x v="0"/>
    <s v="01/10/2024 - 31/10/2024"/>
    <s v="Arriendo material rodante informe OC017"/>
    <n v="5365.1590000000006"/>
    <n v="19497276.875520002"/>
    <n v="3113010.5935704205"/>
    <n v="16384266.281949582"/>
    <n v="65537"/>
    <n v="16318729.281949582"/>
    <n v="16318729.281949582"/>
    <n v="16318729.281949582"/>
    <n v="2024"/>
    <n v="11"/>
    <d v="2024-11-27T00:00:00"/>
    <n v="0"/>
  </r>
  <r>
    <x v="1"/>
    <x v="5"/>
    <d v="2024-11-30T00:00:00"/>
    <s v="OC018"/>
    <s v="Bogotá - Belencito"/>
    <x v="0"/>
    <s v="01/11/2024 - 30/11/2024"/>
    <s v="Arriendo material rodante informe OC018"/>
    <n v="2827.2599999999998"/>
    <n v="22599152.119626667"/>
    <n v="3608267.9854866108"/>
    <n v="18990884.1341401"/>
    <n v="75964"/>
    <n v="18914920.1341401"/>
    <m/>
    <m/>
    <m/>
    <m/>
    <m/>
    <n v="18914920.1341401"/>
  </r>
  <r>
    <x v="1"/>
    <x v="6"/>
    <d v="2024-12-30T00:00:00"/>
    <s v="OC019"/>
    <s v="Bogotá - Belencito"/>
    <x v="0"/>
    <s v="01/12/2024 - 31/12/2024"/>
    <s v="Arriendo material rodante informe OC019"/>
    <n v="3153.53"/>
    <n v="18793425.777973332"/>
    <n v="3000631.0065671699"/>
    <n v="15792794.771406163"/>
    <n v="63171"/>
    <n v="15729623.771406163"/>
    <m/>
    <m/>
    <m/>
    <m/>
    <m/>
    <n v="15729623.771406163"/>
  </r>
  <r>
    <x v="2"/>
    <x v="7"/>
    <d v="2025-01-31T00:00:00"/>
    <s v="OC020"/>
    <s v="Bogotá - Belencito"/>
    <x v="0"/>
    <s v="01/1/2025 - 31/1/2025"/>
    <s v="Arriendo material rodante informe OC020"/>
    <n v="2693.64"/>
    <n v="22914267.604000002"/>
    <n v="3658580.5418151245"/>
    <n v="19255687.062184878"/>
    <n v="77023"/>
    <n v="19178664.062184878"/>
    <m/>
    <m/>
    <m/>
    <m/>
    <m/>
    <n v="19178664.06218487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x v="0"/>
    <s v="MAY"/>
    <d v="2023-05-09T00:00:00"/>
    <n v="2"/>
    <s v="Bogotá - Belencito"/>
    <x v="0"/>
    <s v="17/03/2023 - 31/03/2023"/>
    <s v="USO DE VÍA PASAJEROS"/>
    <m/>
    <n v="11189.999529942652"/>
    <n v="850.96"/>
    <n v="9522242"/>
    <m/>
    <n v="9522242"/>
    <n v="38089"/>
    <n v="9484153"/>
    <n v="9484153"/>
    <x v="0"/>
    <x v="0"/>
    <d v="2023-06-08T00:00:00"/>
    <n v="0"/>
  </r>
  <r>
    <x v="0"/>
    <s v="MAY"/>
    <d v="2023-05-24T00:00:00"/>
    <n v="8"/>
    <s v="Bogotá - Belencito"/>
    <x v="0"/>
    <s v="01/04/2023 - 30/04/2023"/>
    <s v="USO DE VÍA PASAJEROS"/>
    <m/>
    <n v="43723.999952994265"/>
    <n v="850.96"/>
    <n v="37207375"/>
    <m/>
    <n v="37207375"/>
    <n v="148830"/>
    <n v="37058545"/>
    <n v="37058545"/>
    <x v="0"/>
    <x v="0"/>
    <d v="2023-06-08T00:00:00"/>
    <n v="0"/>
  </r>
  <r>
    <x v="0"/>
    <s v="JUN"/>
    <d v="2023-06-01T00:00:00"/>
    <n v="13"/>
    <s v="Bogotá - Belencito"/>
    <x v="0"/>
    <s v="01/05/2023 - 31/05/2023"/>
    <s v="USO DE VÍA PASAJEROS"/>
    <m/>
    <n v="46997.99990598853"/>
    <n v="850.96"/>
    <n v="39993418"/>
    <m/>
    <n v="39993418"/>
    <n v="159974"/>
    <n v="39833444"/>
    <n v="39833444"/>
    <x v="0"/>
    <x v="1"/>
    <d v="2023-07-28T00:00:00"/>
    <n v="0"/>
  </r>
  <r>
    <x v="0"/>
    <s v="JUN"/>
    <d v="2023-06-30T00:00:00"/>
    <s v="OC001"/>
    <s v="Bogotá - Belencito"/>
    <x v="1"/>
    <s v="01/06/2023 - 30/06/2023"/>
    <s v="USO DE VÍA CARGA"/>
    <n v="800917"/>
    <m/>
    <n v="8"/>
    <n v="6407339"/>
    <n v="0"/>
    <n v="6407339"/>
    <n v="25629"/>
    <n v="6381710"/>
    <n v="6381710"/>
    <x v="0"/>
    <x v="1"/>
    <d v="2023-07-28T00:00:00"/>
    <n v="0"/>
  </r>
  <r>
    <x v="0"/>
    <s v="JUL"/>
    <d v="2023-07-04T00:00:00"/>
    <n v="30"/>
    <s v="Bogotá - Belencito"/>
    <x v="0"/>
    <s v="01/06/2023 - 30/06/2023"/>
    <s v="USO DE VÍA PASAJEROS"/>
    <m/>
    <n v="20328.000141017204"/>
    <n v="850.96"/>
    <n v="17298315"/>
    <m/>
    <n v="17298315"/>
    <n v="69193"/>
    <n v="17229122"/>
    <n v="17229122"/>
    <x v="0"/>
    <x v="1"/>
    <d v="2023-07-28T00:00:00"/>
    <n v="0"/>
  </r>
  <r>
    <x v="0"/>
    <s v="JUL"/>
    <d v="2023-07-31T00:00:00"/>
    <s v="OC002"/>
    <s v="Bogotá - Belencito"/>
    <x v="1"/>
    <s v="01/07/2023 - 30/07/2023"/>
    <s v="USO DE VÍA CARGA"/>
    <n v="1003665"/>
    <m/>
    <n v="8"/>
    <n v="8029317"/>
    <m/>
    <n v="8029317"/>
    <n v="32117"/>
    <n v="7997200"/>
    <n v="4001104"/>
    <x v="0"/>
    <x v="1"/>
    <d v="2023-07-28T00:00:00"/>
    <n v="3996096"/>
  </r>
  <r>
    <x v="0"/>
    <s v="JUL"/>
    <d v="2023-07-31T00:00:00"/>
    <s v="OC002"/>
    <s v="Bogotá - Belencito"/>
    <x v="1"/>
    <s v="01/07/2023 - 30/07/2023"/>
    <s v="USO DE VÍA CARGA"/>
    <n v="0"/>
    <m/>
    <n v="8"/>
    <n v="0"/>
    <m/>
    <n v="0"/>
    <n v="0"/>
    <n v="0"/>
    <n v="3996096"/>
    <x v="0"/>
    <x v="2"/>
    <d v="2023-08-04T00:00:00"/>
    <n v="-3996096"/>
  </r>
  <r>
    <x v="0"/>
    <s v="AGO"/>
    <d v="2023-08-02T00:00:00"/>
    <n v="53"/>
    <s v="Bogotá - Belencito"/>
    <x v="0"/>
    <s v="01/07/2023 - 30/07/2023"/>
    <s v="USO DE VÍA PASAJEROS"/>
    <m/>
    <n v="27108.000376045875"/>
    <n v="850.96"/>
    <n v="23067824"/>
    <m/>
    <n v="23067824"/>
    <n v="92271"/>
    <n v="22975553"/>
    <n v="22975553"/>
    <x v="0"/>
    <x v="2"/>
    <d v="2023-08-30T00:00:00"/>
    <n v="0"/>
  </r>
  <r>
    <x v="0"/>
    <s v="AGO"/>
    <d v="2023-08-31T00:00:00"/>
    <s v="OC003"/>
    <s v="Bogotá - Belencito"/>
    <x v="1"/>
    <s v="01/07/2023 - 30/07/2023"/>
    <s v="USO DE VÍA CARGA"/>
    <n v="801545"/>
    <m/>
    <n v="8"/>
    <n v="6412356"/>
    <m/>
    <n v="6412356"/>
    <n v="25649"/>
    <n v="6386707"/>
    <n v="3996096"/>
    <x v="0"/>
    <x v="2"/>
    <d v="2023-08-30T00:00:00"/>
    <n v="2390611"/>
  </r>
  <r>
    <x v="0"/>
    <s v="AGO"/>
    <d v="2023-08-31T00:00:00"/>
    <n v="60"/>
    <s v="Bogotá - Belencito"/>
    <x v="0"/>
    <s v="01/08/2023 - 30/08/2023"/>
    <s v="USO DE VÍA PASAJEROS"/>
    <m/>
    <n v="41113.999482936917"/>
    <n v="850.96"/>
    <n v="34986369"/>
    <m/>
    <n v="34986369"/>
    <n v="139945"/>
    <n v="34846424"/>
    <n v="34846424"/>
    <x v="0"/>
    <x v="3"/>
    <d v="2023-10-05T00:00:00"/>
    <n v="0"/>
  </r>
  <r>
    <x v="0"/>
    <s v="AGO"/>
    <d v="2023-08-31T00:00:00"/>
    <s v="OC003"/>
    <s v="Bogotá - Belencito"/>
    <x v="1"/>
    <s v="01/07/2023 - 30/07/2023"/>
    <s v="USO DE VÍA CARGA"/>
    <n v="0"/>
    <m/>
    <n v="8"/>
    <m/>
    <m/>
    <m/>
    <m/>
    <m/>
    <n v="2390611"/>
    <x v="0"/>
    <x v="4"/>
    <d v="2023-11-03T00:00:00"/>
    <n v="-2390611"/>
  </r>
  <r>
    <x v="0"/>
    <s v="SEP"/>
    <d v="2023-09-30T00:00:00"/>
    <s v="OC004"/>
    <s v="Bogotá - Belencito"/>
    <x v="1"/>
    <s v="01/09/2023 - 30/09/2023"/>
    <s v="USO DE VÍA CARGA"/>
    <n v="901672"/>
    <m/>
    <n v="8"/>
    <n v="7213373"/>
    <m/>
    <n v="7213373"/>
    <n v="28853"/>
    <n v="7184520"/>
    <n v="7184520"/>
    <x v="0"/>
    <x v="4"/>
    <d v="2023-11-03T00:00:00"/>
    <n v="0"/>
  </r>
  <r>
    <x v="0"/>
    <s v="SEP"/>
    <d v="2023-09-30T00:00:00"/>
    <n v="73"/>
    <s v="Bogotá - Belencito"/>
    <x v="0"/>
    <s v="01/09/2023 - 30/09/2023"/>
    <s v="USO DE VÍA PASAJEROS"/>
    <m/>
    <n v="37821.999858982796"/>
    <n v="850.96"/>
    <n v="32185009"/>
    <m/>
    <n v="32185009"/>
    <n v="128740"/>
    <n v="32056269"/>
    <n v="32056269"/>
    <x v="0"/>
    <x v="4"/>
    <d v="2023-11-03T00:00:00"/>
    <n v="0"/>
  </r>
  <r>
    <x v="0"/>
    <s v="OCT"/>
    <d v="2023-10-31T00:00:00"/>
    <n v="90"/>
    <s v="Bogotá - Belencito"/>
    <x v="0"/>
    <s v="01/10/2023 - 31/10/2023"/>
    <s v="USO DE VÍA PASAJEROS"/>
    <m/>
    <n v="36570"/>
    <n v="850.96"/>
    <n v="31119607.200000003"/>
    <m/>
    <n v="31119607.200000003"/>
    <n v="124478"/>
    <n v="30995129.200000003"/>
    <n v="30995129.200000003"/>
    <x v="0"/>
    <x v="4"/>
    <d v="2023-11-30T00:00:00"/>
    <n v="0"/>
  </r>
  <r>
    <x v="0"/>
    <s v="OCT"/>
    <d v="2023-10-31T00:00:00"/>
    <s v="OC005"/>
    <s v="Bogotá - Belencito"/>
    <x v="1"/>
    <s v="01/10/2023 - 31/10/2023"/>
    <s v="USO DE VÍA CARGA"/>
    <n v="802914"/>
    <m/>
    <n v="8"/>
    <n v="6423314.0800000001"/>
    <m/>
    <n v="6423314.0800000001"/>
    <n v="25693"/>
    <n v="6397621.0800000001"/>
    <n v="6397621.0800000001"/>
    <x v="0"/>
    <x v="4"/>
    <d v="2023-11-30T00:00:00"/>
    <n v="0"/>
  </r>
  <r>
    <x v="0"/>
    <s v="NOV"/>
    <d v="2023-11-30T00:00:00"/>
    <s v="OC006"/>
    <s v="Bogotá - Belencito"/>
    <x v="1"/>
    <s v="01/11/2023 - 30/11/2023"/>
    <s v="USO DE VÍA CARGA"/>
    <n v="815841"/>
    <m/>
    <n v="8"/>
    <n v="6526731"/>
    <m/>
    <n v="6526731"/>
    <n v="26107"/>
    <n v="6500624"/>
    <n v="6500624"/>
    <x v="1"/>
    <x v="5"/>
    <d v="2024-01-31T00:00:00"/>
    <n v="0"/>
  </r>
  <r>
    <x v="0"/>
    <s v="NOV"/>
    <d v="2023-11-30T00:00:00"/>
    <n v="107"/>
    <s v="Bogotá - Belencito"/>
    <x v="0"/>
    <s v="01/11/2023 - 30/11/2023"/>
    <s v="USO VIA PASAJEROS"/>
    <m/>
    <n v="35066"/>
    <n v="850.96"/>
    <n v="29839763.359999999"/>
    <m/>
    <n v="29839763.359999999"/>
    <n v="119359"/>
    <n v="29720404.359999999"/>
    <n v="29720404.359999999"/>
    <x v="1"/>
    <x v="5"/>
    <d v="2024-01-31T00:00:00"/>
    <n v="0"/>
  </r>
  <r>
    <x v="0"/>
    <s v="DIC"/>
    <d v="2023-12-20T00:00:00"/>
    <n v="118"/>
    <s v="Bogotá - Belencito"/>
    <x v="2"/>
    <d v="2023-11-20T00:00:00"/>
    <s v="TREN ESPECIAL "/>
    <m/>
    <n v="514"/>
    <n v="850.96"/>
    <n v="437393.44"/>
    <m/>
    <n v="437393.44"/>
    <n v="1750"/>
    <n v="435643.44"/>
    <n v="435643.44"/>
    <x v="1"/>
    <x v="6"/>
    <d v="2024-02-26T00:00:00"/>
    <n v="0"/>
  </r>
  <r>
    <x v="0"/>
    <s v="DIC"/>
    <d v="2023-12-30T00:00:00"/>
    <n v="128"/>
    <s v="Bogotá - Belencito"/>
    <x v="0"/>
    <s v="01/12/2023 - 30/12/2023"/>
    <s v="USO VIA PASAJEROS"/>
    <m/>
    <n v="44115"/>
    <n v="850.96"/>
    <n v="37540100.399999999"/>
    <m/>
    <n v="37540100.399999999"/>
    <n v="150160"/>
    <n v="37389940.399999999"/>
    <n v="37389940.399999999"/>
    <x v="1"/>
    <x v="5"/>
    <d v="2024-01-31T00:00:00"/>
    <n v="0"/>
  </r>
  <r>
    <x v="0"/>
    <s v="DIC"/>
    <d v="2023-12-30T00:00:00"/>
    <s v="OC007"/>
    <s v="Bogotá - Belencito"/>
    <x v="1"/>
    <s v="01/12/2023 - 31/12/2023"/>
    <s v="USO DE VÍA CARGA"/>
    <n v="856208"/>
    <m/>
    <n v="8"/>
    <n v="6849667"/>
    <m/>
    <n v="6849667"/>
    <n v="27399"/>
    <n v="6822268"/>
    <n v="6822268"/>
    <x v="1"/>
    <x v="5"/>
    <d v="2024-01-31T00:00:00"/>
    <n v="0"/>
  </r>
  <r>
    <x v="1"/>
    <s v="ENE"/>
    <d v="2024-01-31T00:00:00"/>
    <s v="0C008"/>
    <s v="Bogotá - Belencito"/>
    <x v="1"/>
    <s v="01/1/2024 - 31/1/2024"/>
    <s v="USO DE VÍA CARGA"/>
    <n v="806159"/>
    <m/>
    <n v="8.7423999999999999"/>
    <n v="7047765"/>
    <m/>
    <n v="7047765"/>
    <n v="28191"/>
    <n v="7019574"/>
    <n v="7019574"/>
    <x v="1"/>
    <x v="6"/>
    <d v="2024-02-26T00:00:00"/>
    <n v="0"/>
  </r>
  <r>
    <x v="1"/>
    <s v="ENE"/>
    <d v="2024-01-31T00:00:00"/>
    <n v="142"/>
    <s v="Bogotá - Belencito"/>
    <x v="0"/>
    <s v="01/1/2024 - 31/1/2024"/>
    <s v="USO VIA PASAJEROS"/>
    <m/>
    <n v="23406"/>
    <n v="929.92908799999998"/>
    <n v="21765941.579999998"/>
    <m/>
    <n v="21765941.579999998"/>
    <n v="87064"/>
    <n v="21678877.579999998"/>
    <n v="21678877.579999998"/>
    <x v="1"/>
    <x v="6"/>
    <d v="2024-02-26T00:00:00"/>
    <n v="0"/>
  </r>
  <r>
    <x v="1"/>
    <s v="FEB"/>
    <d v="2024-02-29T00:00:00"/>
    <s v="OC009"/>
    <s v="Bogotá - Belencito"/>
    <x v="1"/>
    <s v="01/02/2024 - 29/02/2024"/>
    <s v="USO DE VÍA CARGA"/>
    <n v="1243965"/>
    <m/>
    <n v="8.7423999999999999"/>
    <n v="10875237"/>
    <m/>
    <n v="10875237"/>
    <n v="43501"/>
    <n v="10831736"/>
    <n v="10831736"/>
    <x v="1"/>
    <x v="7"/>
    <d v="2024-04-01T00:00:00"/>
    <n v="0"/>
  </r>
  <r>
    <x v="1"/>
    <s v="FEB"/>
    <d v="2024-02-29T00:00:00"/>
    <s v="OC009"/>
    <s v="Bogotá - Belencito"/>
    <x v="1"/>
    <s v="01/02/2024 - 29/02/2024"/>
    <s v="USO DE VÍA CARGA"/>
    <m/>
    <m/>
    <m/>
    <m/>
    <m/>
    <m/>
    <m/>
    <n v="0.19"/>
    <n v="0.19"/>
    <x v="1"/>
    <x v="7"/>
    <d v="2024-04-30T00:00:00"/>
    <n v="0"/>
  </r>
  <r>
    <x v="1"/>
    <s v="FEB"/>
    <d v="2024-02-29T00:00:00"/>
    <n v="160"/>
    <s v="Bogotá - Belencito"/>
    <x v="0"/>
    <s v="01/02/2024 - 29/02/2024"/>
    <s v="USO VIA PASAJEROS"/>
    <m/>
    <n v="34356"/>
    <n v="929.92908799999998"/>
    <n v="31948675.079999998"/>
    <m/>
    <n v="31948675.079999998"/>
    <n v="127795"/>
    <n v="31820880.079999998"/>
    <n v="31820880.079999998"/>
    <x v="1"/>
    <x v="7"/>
    <d v="2024-04-30T00:00:00"/>
    <n v="0"/>
  </r>
  <r>
    <x v="1"/>
    <s v="MAR"/>
    <d v="2024-03-31T00:00:00"/>
    <s v="OC010"/>
    <s v="Bogotá - Belencito"/>
    <x v="1"/>
    <s v="01/03/2024 - 31/03/2024"/>
    <s v="USO DE VÍA CARGA"/>
    <n v="1217128"/>
    <m/>
    <n v="8.7423999999999999"/>
    <n v="10640620.42"/>
    <m/>
    <n v="10640620.42"/>
    <n v="42562"/>
    <n v="10598058.42"/>
    <n v="10598058.42"/>
    <x v="1"/>
    <x v="7"/>
    <d v="2024-04-30T00:00:00"/>
    <n v="0"/>
  </r>
  <r>
    <x v="1"/>
    <s v="MAR"/>
    <d v="2024-03-31T00:00:00"/>
    <n v="177"/>
    <s v="Bogotá - Belencito"/>
    <x v="0"/>
    <s v="01/03/2024 - 31/03/2024"/>
    <s v="USO VIA PASAJEROS"/>
    <m/>
    <n v="43418"/>
    <n v="929.92908799999998"/>
    <n v="40375700.740000002"/>
    <m/>
    <n v="40375700.740000002"/>
    <n v="161503"/>
    <n v="40214197.740000002"/>
    <n v="40214197.740000002"/>
    <x v="1"/>
    <x v="8"/>
    <d v="2024-05-28T00:00:00"/>
    <n v="0"/>
  </r>
  <r>
    <x v="1"/>
    <s v="ABR"/>
    <d v="2024-04-30T00:00:00"/>
    <s v="OC011"/>
    <s v="Bogotá - Belencito"/>
    <x v="1"/>
    <s v="01/04/2024 - 30/04/2024"/>
    <s v="USO DE VÍA CARGA"/>
    <n v="1619942.16"/>
    <m/>
    <n v="8.74"/>
    <n v="14162182.369999999"/>
    <m/>
    <n v="14162182.369999999"/>
    <n v="56649"/>
    <n v="14105533.369999999"/>
    <n v="14105533.369999999"/>
    <x v="1"/>
    <x v="8"/>
    <d v="2024-05-28T00:00:00"/>
    <n v="0"/>
  </r>
  <r>
    <x v="1"/>
    <s v="ABR"/>
    <d v="2024-04-30T00:00:00"/>
    <n v="201"/>
    <s v="Bogotá - Belencito"/>
    <x v="0"/>
    <s v="01/04/2024 - 30/04/2024"/>
    <s v="USO DE VÍA PASAJEROS"/>
    <m/>
    <n v="35262"/>
    <n v="929.92908799999998"/>
    <n v="32791191.66"/>
    <m/>
    <n v="32791191.66"/>
    <n v="131165"/>
    <n v="32660026.66"/>
    <n v="32660026.66"/>
    <x v="1"/>
    <x v="8"/>
    <d v="2024-05-28T00:00:00"/>
    <n v="0"/>
  </r>
  <r>
    <x v="1"/>
    <s v="MAY"/>
    <d v="2024-05-31T00:00:00"/>
    <s v="OC012"/>
    <s v="Bogotá - Belencito"/>
    <x v="1"/>
    <s v="01/05/2024 - 31/05/2024"/>
    <s v="USO DE VÍA CARGA"/>
    <n v="1218151"/>
    <m/>
    <n v="8.74"/>
    <n v="10649560.960000001"/>
    <m/>
    <n v="10649560.960000001"/>
    <n v="42598"/>
    <n v="10606962.960000001"/>
    <n v="10606962.960000001"/>
    <x v="1"/>
    <x v="0"/>
    <d v="2024-06-26T00:00:00"/>
    <n v="0"/>
  </r>
  <r>
    <x v="1"/>
    <s v="MAY"/>
    <d v="2024-05-31T00:00:00"/>
    <n v="215"/>
    <s v="Bogotá - Belencito"/>
    <x v="0"/>
    <s v="01/05/2024 - 31/05/2024"/>
    <s v="USO DE VÍA PASAJEROS"/>
    <m/>
    <n v="32964"/>
    <n v="929.92908799999998"/>
    <n v="30654212.52"/>
    <m/>
    <n v="30654212.52"/>
    <n v="122617"/>
    <n v="30531595.52"/>
    <n v="30531595.52"/>
    <x v="1"/>
    <x v="0"/>
    <d v="2024-06-26T00:00:00"/>
    <n v="0"/>
  </r>
  <r>
    <x v="1"/>
    <s v="JUN"/>
    <d v="2024-06-30T00:00:00"/>
    <s v="OC013"/>
    <s v="Bogotá - Belencito"/>
    <x v="1"/>
    <s v="01/06/2024 - 30/06/2024"/>
    <s v="USO DE VÍA CARGA"/>
    <n v="1319474.9639999999"/>
    <m/>
    <n v="8.74"/>
    <n v="11535377.925273599"/>
    <m/>
    <n v="11535377.925273599"/>
    <n v="46142"/>
    <n v="11489235.93"/>
    <n v="11489235.93"/>
    <x v="1"/>
    <x v="1"/>
    <d v="2024-07-31T00:00:00"/>
    <n v="0"/>
  </r>
  <r>
    <x v="1"/>
    <s v="JUN"/>
    <d v="2024-06-30T00:00:00"/>
    <n v="237"/>
    <s v="Bogotá - Belencito"/>
    <x v="0"/>
    <s v="01/06/2024 - 30/06/2024"/>
    <s v="USO DE VÍA PASAJEROS"/>
    <m/>
    <n v="19428"/>
    <n v="929.92908799999998"/>
    <n v="18066680.039999999"/>
    <m/>
    <n v="18066680.039999999"/>
    <n v="72267"/>
    <n v="17994413.039999999"/>
    <n v="17994413.039999999"/>
    <x v="1"/>
    <x v="1"/>
    <d v="2024-07-31T00:00:00"/>
    <n v="0"/>
  </r>
  <r>
    <x v="1"/>
    <s v="JUL"/>
    <d v="2024-07-31T00:00:00"/>
    <s v="OC014"/>
    <s v="Bogotá - Belencito"/>
    <x v="1"/>
    <s v="01/07/2024 - 31/07/2024"/>
    <s v="USO DE VÍA CARGA"/>
    <n v="1341466.872"/>
    <m/>
    <n v="8.74"/>
    <n v="11727639.981772801"/>
    <m/>
    <n v="11727639.981772801"/>
    <n v="46911"/>
    <n v="11680728.981772801"/>
    <n v="11680728.981772801"/>
    <x v="1"/>
    <x v="2"/>
    <d v="2024-08-29T00:00:00"/>
    <n v="0"/>
  </r>
  <r>
    <x v="1"/>
    <s v="JUL"/>
    <d v="2024-07-31T00:00:00"/>
    <n v="247"/>
    <s v="Bogotá - Belencito"/>
    <x v="0"/>
    <s v="01/07/2024 - 31/07/2024"/>
    <s v="USO DE VÍA PASAJEROS"/>
    <m/>
    <n v="26264"/>
    <n v="929.92908799999998"/>
    <n v="24423681.520000011"/>
    <m/>
    <n v="24423681.520000011"/>
    <n v="97695"/>
    <n v="24325986.520000011"/>
    <n v="24325986.52"/>
    <x v="1"/>
    <x v="9"/>
    <d v="2024-09-30T00:00:00"/>
    <n v="0"/>
  </r>
  <r>
    <x v="1"/>
    <s v="AGO"/>
    <d v="2024-08-31T00:00:00"/>
    <s v="OC015"/>
    <s v="Bogotá - Belencito"/>
    <x v="1"/>
    <s v="01/08/2024 - 31/08/2024"/>
    <s v="USO DE VÍA CARGA"/>
    <n v="1068577.42"/>
    <m/>
    <n v="8.74"/>
    <n v="9341931.1999999993"/>
    <m/>
    <n v="9341931.1999999993"/>
    <n v="37368"/>
    <n v="9304563.1999999993"/>
    <n v="9304563.1999999993"/>
    <x v="1"/>
    <x v="9"/>
    <d v="2024-09-30T00:00:00"/>
    <n v="0"/>
  </r>
  <r>
    <x v="1"/>
    <s v="AGO"/>
    <d v="2024-08-31T00:00:00"/>
    <n v="267"/>
    <s v="Bogotá - Belencito"/>
    <x v="0"/>
    <s v="01/08/2024 - 31/08/2024"/>
    <s v="USO DE VÍA PASAJEROS"/>
    <m/>
    <n v="43540"/>
    <n v="929.92908799999998"/>
    <n v="40489152.200000003"/>
    <m/>
    <n v="40489152.200000003"/>
    <n v="161957"/>
    <n v="40327195.200000003"/>
    <n v="40327195.200000003"/>
    <x v="1"/>
    <x v="4"/>
    <d v="2024-11-27T00:00:00"/>
    <n v="0"/>
  </r>
  <r>
    <x v="1"/>
    <s v="SEP"/>
    <d v="2024-09-30T00:00:00"/>
    <s v="OC016"/>
    <s v="Bogotá - Belencito"/>
    <x v="1"/>
    <s v="01/09/2024 - 30/09/2024"/>
    <s v="USO DE VÍA CARGA"/>
    <n v="1386927.39"/>
    <m/>
    <n v="8.74"/>
    <n v="12125074.017832957"/>
    <m/>
    <n v="12125074.017832957"/>
    <n v="48500"/>
    <n v="12076574.017832957"/>
    <n v="12076574.017832957"/>
    <x v="1"/>
    <x v="3"/>
    <d v="2024-10-31T00:00:00"/>
    <n v="0"/>
  </r>
  <r>
    <x v="1"/>
    <s v="SEP"/>
    <d v="2024-09-30T00:00:00"/>
    <n v="287"/>
    <s v="Bogotá - Belencito"/>
    <x v="0"/>
    <s v="01/09/2024 - 30/09/2024"/>
    <s v="USO DE VÍA PASAJEROS"/>
    <m/>
    <n v="34638"/>
    <n v="929.92908799999998"/>
    <n v="32210915.340000018"/>
    <m/>
    <n v="32210915.340000018"/>
    <n v="128844"/>
    <n v="32082071.340000018"/>
    <n v="32082071.340000018"/>
    <x v="1"/>
    <x v="3"/>
    <d v="2024-10-31T00:00:00"/>
    <n v="0"/>
  </r>
  <r>
    <x v="1"/>
    <s v="OCT"/>
    <d v="2024-10-31T00:00:00"/>
    <s v="OC017"/>
    <s v="Bogotá - Belencito"/>
    <x v="1"/>
    <s v="01/10/2024-31/10/2024"/>
    <s v="USO DE VÍA CARGA"/>
    <n v="1333535.27"/>
    <m/>
    <n v="8.74"/>
    <n v="11658298.73"/>
    <m/>
    <n v="11658298.73"/>
    <n v="46633"/>
    <n v="11611665.73"/>
    <n v="11611665.73"/>
    <x v="1"/>
    <x v="4"/>
    <d v="2024-11-27T00:00:00"/>
    <n v="0"/>
  </r>
  <r>
    <x v="1"/>
    <s v="OCT"/>
    <d v="2024-10-31T00:00:00"/>
    <n v="308"/>
    <s v="Bogotá - Belencito"/>
    <x v="0"/>
    <s v="01/10/2024-31/10/2024"/>
    <s v="USO DE VÍA PASAJEROS"/>
    <m/>
    <n v="36820"/>
    <n v="929.93"/>
    <n v="34240022.600000001"/>
    <m/>
    <n v="34240022.600000001"/>
    <n v="136960"/>
    <n v="34103062.600000001"/>
    <m/>
    <x v="2"/>
    <x v="10"/>
    <m/>
    <n v="34103062.600000001"/>
  </r>
  <r>
    <x v="1"/>
    <s v="NOV"/>
    <d v="2024-11-30T00:00:00"/>
    <s v="OC018"/>
    <s v="Bogotá - Belencito"/>
    <x v="1"/>
    <s v="01/11/2024-30/11/2024"/>
    <s v="USO DE VÍA CARGA"/>
    <n v="699824.52"/>
    <m/>
    <n v="8.74"/>
    <n v="6118145.8836479997"/>
    <m/>
    <n v="6118145.8836479997"/>
    <n v="24473"/>
    <n v="6093672.8836479997"/>
    <m/>
    <x v="2"/>
    <x v="10"/>
    <m/>
    <n v="6093672.8836479997"/>
  </r>
  <r>
    <x v="1"/>
    <s v="NOV"/>
    <d v="2024-11-30T00:00:00"/>
    <n v="324"/>
    <s v="Bogotá - Belencito"/>
    <x v="0"/>
    <s v="01/11/2024-30/11/2024"/>
    <s v="USO DE VÍA PASAJEROS"/>
    <m/>
    <n v="37392"/>
    <n v="929.93"/>
    <n v="34771942.560000002"/>
    <m/>
    <n v="34771942.560000002"/>
    <n v="139088"/>
    <n v="34632854.560000002"/>
    <m/>
    <x v="2"/>
    <x v="10"/>
    <m/>
    <n v="34632854.560000002"/>
  </r>
  <r>
    <x v="1"/>
    <s v="DIC"/>
    <d v="2024-12-31T00:00:00"/>
    <s v="OC019"/>
    <s v="Bogotá - Belencito"/>
    <x v="1"/>
    <s v="01/12/2024-31/12/2024"/>
    <s v="USO DE VÍA CARGA"/>
    <n v="808621.71399999992"/>
    <m/>
    <n v="8.74"/>
    <n v="7069294.472473599"/>
    <m/>
    <n v="7069294.472473599"/>
    <n v="28277"/>
    <n v="7041017.472473599"/>
    <m/>
    <x v="2"/>
    <x v="10"/>
    <m/>
    <n v="7041017.472473599"/>
  </r>
  <r>
    <x v="1"/>
    <s v="DIC"/>
    <d v="2024-12-31T00:00:00"/>
    <n v="344"/>
    <s v="Bogotá - Belencito"/>
    <x v="1"/>
    <s v="01/12/2024-31/12/2024"/>
    <s v="USO DE VÍA PASAJEROS"/>
    <m/>
    <n v="55184"/>
    <n v="929.93"/>
    <n v="51317257.119999997"/>
    <m/>
    <n v="51317257.119999997"/>
    <n v="205269"/>
    <n v="51111988.119999997"/>
    <m/>
    <x v="2"/>
    <x v="10"/>
    <m/>
    <n v="51111988.119999997"/>
  </r>
  <r>
    <x v="2"/>
    <s v="ENE"/>
    <d v="2025-01-31T00:00:00"/>
    <s v="OC020"/>
    <s v="Bogotá - Belencito"/>
    <x v="1"/>
    <s v="01/1/2025-31/1/2025"/>
    <s v="USO DE VÍA CARGA"/>
    <n v="692265.48"/>
    <m/>
    <n v="9.1944800000000004"/>
    <n v="6366768.9424343035"/>
    <m/>
    <n v="6366768.9424343035"/>
    <n v="25467"/>
    <n v="6341301.9424343035"/>
    <m/>
    <x v="2"/>
    <x v="10"/>
    <m/>
    <n v="6341301.9424343035"/>
  </r>
  <r>
    <x v="2"/>
    <s v="ENE"/>
    <d v="2025-01-31T00:00:00"/>
    <n v="361"/>
    <s v="Bogotá - Belencito"/>
    <x v="1"/>
    <s v="01/1/2025-31/1/2025"/>
    <s v="USO DE VÍA PASAJEROS"/>
    <m/>
    <n v="25602"/>
    <n v="978.29"/>
    <n v="25046180.579999998"/>
    <m/>
    <n v="25046180.579999998"/>
    <n v="100185"/>
    <n v="24945995.579999998"/>
    <m/>
    <x v="2"/>
    <x v="10"/>
    <m/>
    <n v="24945995.57999999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6">
  <r>
    <x v="0"/>
    <x v="0"/>
    <d v="2023-05-09T00:00:00"/>
    <n v="3"/>
    <s v="NA"/>
    <s v="NA"/>
    <s v="Bogotá - Belencito"/>
    <x v="0"/>
    <s v="1/02/2023 - 15/04/2023"/>
    <s v="ARRIENDO DE BODEGA Y OFICINAS DE 99,11 m2, UBICADO EN EL KM5"/>
    <n v="4465171.55"/>
    <n v="712926.55"/>
    <n v="3752245"/>
    <n v="15009"/>
    <n v="3737236"/>
    <n v="3737236"/>
    <n v="2023"/>
    <n v="7"/>
    <d v="2023-07-28T00:00:00"/>
    <n v="0"/>
    <m/>
  </r>
  <r>
    <x v="0"/>
    <x v="0"/>
    <d v="2023-05-11T00:00:00"/>
    <n v="4"/>
    <s v="NA"/>
    <s v="NA"/>
    <s v="Bogotá - Belencito"/>
    <x v="1"/>
    <s v="1/02/2023 - 13/03/2023"/>
    <s v="ARRIENDO DE BODEGA DE 72 M2, UBICADO EN KM 5"/>
    <n v="1859767.7"/>
    <n v="296937.7"/>
    <n v="1562830"/>
    <n v="6251"/>
    <n v="1556579"/>
    <n v="1556579"/>
    <n v="2023"/>
    <n v="7"/>
    <d v="2023-07-28T00:00:00"/>
    <n v="0"/>
    <m/>
  </r>
  <r>
    <x v="0"/>
    <x v="0"/>
    <d v="2023-05-11T00:00:00"/>
    <n v="5"/>
    <s v="NA"/>
    <s v="NA"/>
    <s v="Bogotá - Belencito"/>
    <x v="1"/>
    <s v="14/03/2023 - 30/03/2023"/>
    <s v="ARRIENDO DE BODEGA DE 72 M2, UBICADO EN KM 5"/>
    <n v="735256.97"/>
    <n v="117393.97"/>
    <n v="617863"/>
    <n v="2471"/>
    <n v="615392"/>
    <n v="615392"/>
    <n v="2023"/>
    <n v="7"/>
    <d v="2023-07-28T00:00:00"/>
    <n v="0"/>
    <m/>
  </r>
  <r>
    <x v="0"/>
    <x v="0"/>
    <d v="2023-05-11T00:00:00"/>
    <n v="6"/>
    <s v="NA"/>
    <s v="NA"/>
    <s v="Bogotá - Belencito"/>
    <x v="1"/>
    <s v="01/04/2023 - 30/04/2023"/>
    <s v="ARRIENDO DE BODEGA DE 72 M2, UBICADO EN KM 5"/>
    <n v="1297511.74"/>
    <n v="207165.74"/>
    <n v="1090346"/>
    <n v="4361"/>
    <n v="1085985"/>
    <n v="1085985"/>
    <n v="2023"/>
    <n v="7"/>
    <d v="2023-07-28T00:00:00"/>
    <n v="0"/>
    <m/>
  </r>
  <r>
    <x v="0"/>
    <x v="0"/>
    <d v="2023-05-11T00:00:00"/>
    <n v="7"/>
    <s v="NA"/>
    <s v="NA"/>
    <s v="Bogotá - Belencito"/>
    <x v="1"/>
    <s v="01/05/2023 - 31/05/2023"/>
    <s v="ARRIENDO DE BODEGA DE 72 M2, UBICADO EN KM 5"/>
    <n v="1297511.74"/>
    <n v="207165.74"/>
    <n v="1090346"/>
    <n v="4361"/>
    <n v="1085985"/>
    <n v="1085985"/>
    <n v="2023"/>
    <n v="7"/>
    <d v="2023-07-28T00:00:00"/>
    <n v="0"/>
    <m/>
  </r>
  <r>
    <x v="0"/>
    <x v="0"/>
    <d v="2023-05-31T00:00:00"/>
    <n v="9"/>
    <n v="19"/>
    <n v="9"/>
    <s v="Bogotá - Belencito"/>
    <x v="2"/>
    <s v="1/02/2023 - 13/03/2023"/>
    <s v="ARRIENDO BODEGA  CON UNA ÁREA DE 2.234 M2 UBICADA EN KM5"/>
    <n v="64206895"/>
    <n v="10251521.050000001"/>
    <n v="53955373.950000003"/>
    <n v="215821"/>
    <n v="53739552.950000003"/>
    <m/>
    <m/>
    <m/>
    <m/>
    <n v="53739552.950000003"/>
    <m/>
  </r>
  <r>
    <x v="0"/>
    <x v="0"/>
    <d v="2023-05-31T00:00:00"/>
    <n v="10"/>
    <n v="20"/>
    <n v="10"/>
    <s v="Bogotá - Belencito"/>
    <x v="2"/>
    <s v="14/03/2023 - 30/03/2023"/>
    <s v="ARRIENDO BODEGA  CON UNA ÁREA DE 2.234 M2 UBICADA EN KM5"/>
    <n v="25384110.989999998"/>
    <n v="4052925.28"/>
    <n v="21331185.709999997"/>
    <n v="85325"/>
    <n v="21245860.709999997"/>
    <m/>
    <m/>
    <m/>
    <m/>
    <n v="21245860.709999997"/>
    <m/>
  </r>
  <r>
    <x v="0"/>
    <x v="0"/>
    <d v="2023-05-31T00:00:00"/>
    <n v="11"/>
    <n v="21"/>
    <n v="11"/>
    <s v="Bogotá - Belencito"/>
    <x v="2"/>
    <s v="01/04/2023 - 30/04/2023"/>
    <s v="ARRIENDO BODEGA  CON UNA ÁREA DE 2.234 M2 UBICADA EN KM5"/>
    <n v="44795503"/>
    <n v="7152223.1699999999"/>
    <n v="37643279.829999998"/>
    <n v="150573"/>
    <n v="37492706.829999998"/>
    <m/>
    <m/>
    <m/>
    <m/>
    <n v="37492706.829999998"/>
    <m/>
  </r>
  <r>
    <x v="0"/>
    <x v="0"/>
    <d v="2023-05-31T00:00:00"/>
    <n v="12"/>
    <n v="22"/>
    <n v="12"/>
    <s v="Bogotá - Belencito"/>
    <x v="2"/>
    <s v="01/05/2023 - 31/05/2023"/>
    <s v="ARRIENDO BODEGA  CON UNA ÁREA DE 2.234 M2 UBICADA EN KM5"/>
    <n v="44795503"/>
    <n v="7152223.1699999999"/>
    <n v="37643279.829999998"/>
    <n v="150573"/>
    <n v="37492706.829999998"/>
    <m/>
    <m/>
    <m/>
    <m/>
    <n v="37492706.829999998"/>
    <m/>
  </r>
  <r>
    <x v="0"/>
    <x v="1"/>
    <d v="2023-06-07T00:00:00"/>
    <n v="16"/>
    <s v="NA"/>
    <s v="NA"/>
    <s v="Bogotá - Belencito"/>
    <x v="1"/>
    <s v="01/06/2023 - 30/06/2023"/>
    <s v="ARRIENDO DE BODEGA DE 72 M2, UBICADO EN KM 5"/>
    <n v="1297511.74"/>
    <n v="207165.74"/>
    <n v="1090346"/>
    <n v="4361"/>
    <n v="1085985"/>
    <n v="1085985"/>
    <n v="2023"/>
    <n v="7"/>
    <d v="2023-07-28T00:00:00"/>
    <n v="0"/>
    <m/>
  </r>
  <r>
    <x v="0"/>
    <x v="1"/>
    <d v="2023-06-07T00:00:00"/>
    <n v="17"/>
    <s v="NA"/>
    <s v="NA"/>
    <s v="Bogotá - Belencito"/>
    <x v="2"/>
    <s v="01/06/2023 - 30/06/2023"/>
    <s v="ARRIENDO BODEGA  CON UNA ÁREA DE 2.234 M2 UBICADA EN KM5"/>
    <n v="44795503"/>
    <n v="7152223.1699999999"/>
    <n v="37643279.829999998"/>
    <n v="150573"/>
    <n v="37492706.829999998"/>
    <n v="37492706.549999997"/>
    <n v="2023"/>
    <n v="10"/>
    <d v="2023-10-05T00:00:00"/>
    <n v="0.2800000011920929"/>
    <m/>
  </r>
  <r>
    <x v="0"/>
    <x v="1"/>
    <d v="2023-06-07T00:00:00"/>
    <n v="17"/>
    <s v="NA"/>
    <s v="NA"/>
    <s v="Bogotá - Belencito"/>
    <x v="2"/>
    <s v="01/06/2023 - 30/06/2023"/>
    <s v="ARRIENDO BODEGA  CON UNA ÁREA DE 2.234 M2 UBICADA EN KM6"/>
    <m/>
    <m/>
    <m/>
    <m/>
    <m/>
    <n v="0.28000000000000003"/>
    <n v="2023"/>
    <n v="11"/>
    <d v="2023-11-03T00:00:00"/>
    <n v="-0.28000000000000003"/>
    <m/>
  </r>
  <r>
    <x v="0"/>
    <x v="1"/>
    <d v="2023-06-26T00:00:00"/>
    <n v="25"/>
    <n v="8"/>
    <n v="25"/>
    <s v="Bogotá - Belencito"/>
    <x v="3"/>
    <s v="1/02/2023 - 13/03/2023"/>
    <s v=" ARRIENDO DE BODEGA DE 128,2 M2, UBICADO EN KM 5 "/>
    <n v="4053414.89"/>
    <n v="647183.89"/>
    <n v="3406231"/>
    <n v="13625"/>
    <n v="3392606"/>
    <m/>
    <m/>
    <m/>
    <m/>
    <n v="3392606"/>
    <s v="Como la factura 25 se anulo, se reemplaza por la factura 41"/>
  </r>
  <r>
    <x v="0"/>
    <x v="1"/>
    <d v="2023-06-26T00:00:00"/>
    <n v="26"/>
    <n v="9"/>
    <n v="26"/>
    <s v="Bogotá - Belencito"/>
    <x v="3"/>
    <s v="14/03/2023 - 30/03/2023"/>
    <s v="ARRIENDO DE BODEGA DE 128,2 M2, UBICADO EN KM 5"/>
    <n v="1602512.31"/>
    <n v="255863.31"/>
    <n v="1346649"/>
    <n v="5387"/>
    <n v="1341262"/>
    <m/>
    <m/>
    <m/>
    <m/>
    <n v="1341262"/>
    <s v="Como la factura 26 se anulo, se reemplaza por la factura 42"/>
  </r>
  <r>
    <x v="0"/>
    <x v="1"/>
    <d v="2023-06-26T00:00:00"/>
    <n v="27"/>
    <n v="10"/>
    <n v="27"/>
    <s v="Bogotá - Belencito"/>
    <x v="3"/>
    <s v="01/04/2023 - 30/04/2023"/>
    <s v="ARRIENDO DE BODEGA DE 128,2 M2, UBICADO EN KM 5"/>
    <n v="2827963.6"/>
    <n v="451523.6"/>
    <n v="2376440"/>
    <n v="9506"/>
    <n v="2366934"/>
    <m/>
    <m/>
    <m/>
    <m/>
    <n v="2366934"/>
    <s v="Como la factura 27 se anulo, se reemplaza por la factura 43"/>
  </r>
  <r>
    <x v="0"/>
    <x v="1"/>
    <d v="2023-06-26T00:00:00"/>
    <n v="28"/>
    <s v="NA"/>
    <s v="NA"/>
    <s v="Bogotá - Belencito"/>
    <x v="3"/>
    <s v="01/05/2023 - 30/05/2023"/>
    <s v=" ARRIENDO DE BODEGA DE 128,2 M2, UBICADO EN KM 5 "/>
    <n v="2827963.6"/>
    <n v="451523.6"/>
    <n v="2376440"/>
    <n v="9506"/>
    <n v="2366934"/>
    <m/>
    <m/>
    <m/>
    <m/>
    <n v="2366934"/>
    <s v="Como la factura 28 se anulo, se reemplaza por la factura 44"/>
  </r>
  <r>
    <x v="0"/>
    <x v="1"/>
    <d v="2023-06-26T00:00:00"/>
    <n v="29"/>
    <s v="NA"/>
    <s v="NA"/>
    <s v="Bogotá - Belencito"/>
    <x v="3"/>
    <s v="01/06/2023 - 30/06/2023"/>
    <s v=" ARRIENDO DE BODEGA DE 128,2 M2, UBICADO EN KM 5 "/>
    <n v="2827963.6"/>
    <n v="451523.6"/>
    <n v="2376440"/>
    <n v="9506"/>
    <n v="2366934"/>
    <m/>
    <m/>
    <m/>
    <m/>
    <n v="2366934"/>
    <s v="Como la factura 29 se anulo, se reemplaza por la factura 45"/>
  </r>
  <r>
    <x v="0"/>
    <x v="2"/>
    <d v="2023-07-05T00:00:00"/>
    <n v="31"/>
    <s v="NA"/>
    <s v="NA"/>
    <s v="Bogotá - Belencito"/>
    <x v="2"/>
    <d v="2023-07-18T00:00:00"/>
    <s v="ARRIENDO BODEGA  CON UNA ÁREA DE 2.234 M2 UBICADA EN KM5"/>
    <n v="44795503"/>
    <n v="7152223.1699999999"/>
    <n v="37643279.829999998"/>
    <n v="150573"/>
    <n v="37492706.829999998"/>
    <n v="37492706.549999997"/>
    <n v="2023"/>
    <n v="10"/>
    <d v="2023-10-05T00:00:00"/>
    <n v="0.2800000011920929"/>
    <m/>
  </r>
  <r>
    <x v="0"/>
    <x v="2"/>
    <d v="2023-07-05T00:00:00"/>
    <n v="31"/>
    <s v="NA"/>
    <s v="NA"/>
    <s v="Bogotá - Belencito"/>
    <x v="2"/>
    <d v="2023-07-18T00:00:00"/>
    <s v="ARRIENDO BODEGA  CON UNA ÁREA DE 2.234 M2 UBICADA EN KM6"/>
    <m/>
    <m/>
    <m/>
    <m/>
    <m/>
    <n v="0.28000000000000003"/>
    <n v="2023"/>
    <n v="11"/>
    <d v="2023-11-03T00:00:00"/>
    <n v="-0.28000000000000003"/>
    <m/>
  </r>
  <r>
    <x v="0"/>
    <x v="2"/>
    <d v="2023-07-05T00:00:00"/>
    <n v="32"/>
    <s v="NA"/>
    <s v="NA"/>
    <s v="Bogotá - Belencito"/>
    <x v="1"/>
    <d v="2023-07-23T00:00:00"/>
    <s v="ARRIENDO DE BODEGA DE 72 M2, UBICADO EN KM 5"/>
    <n v="1297511.74"/>
    <n v="207165.74"/>
    <n v="1090346"/>
    <n v="4361"/>
    <n v="1085985"/>
    <n v="1085985"/>
    <n v="2023"/>
    <n v="7"/>
    <d v="2023-07-28T00:00:00"/>
    <n v="0"/>
    <m/>
  </r>
  <r>
    <x v="0"/>
    <x v="2"/>
    <d v="2023-07-01T00:00:00"/>
    <s v="Nota crédito No.2-8 del 28 de junio de 2023"/>
    <n v="8"/>
    <n v="25"/>
    <s v="Bogotá - Belencito"/>
    <x v="3"/>
    <s v="1/02/2023 - 13/03/2023"/>
    <s v="Nota de Crédito No. 8 para anular factura 25 ARRIENDO DE BODEGA DE 128,2 M2, UBICADO EN KM 5 porque la legalización del contrato de arrendamiento se realizo en el periodo 1/02/2023 al 13/03/2023"/>
    <n v="-4053414.89"/>
    <n v="-647183.89"/>
    <n v="-3406231"/>
    <n v="-13625"/>
    <n v="-3392606"/>
    <m/>
    <m/>
    <m/>
    <m/>
    <n v="-3392606"/>
    <m/>
  </r>
  <r>
    <x v="0"/>
    <x v="2"/>
    <d v="2023-07-01T00:00:00"/>
    <s v="Nota crédito No.2-9 del 28 de junio de 2023"/>
    <n v="9"/>
    <n v="26"/>
    <s v="Bogotá - Belencito"/>
    <x v="3"/>
    <s v="14/03/2023 - 30/03/2023"/>
    <s v="Nota de Crédito No.9 para anular factura No. 26 ARRIENDO DE BODEGA DE 128,2 M2, UBICADO EN KM 5 porque la legalización del contrato de arrendamiento se realizo en el periodo del 14 al 30 marzo de 2023."/>
    <n v="-1602512.31"/>
    <n v="-255863.31"/>
    <n v="-1346649"/>
    <n v="-5387"/>
    <n v="-1341262"/>
    <m/>
    <m/>
    <m/>
    <m/>
    <n v="-1341262"/>
    <m/>
  </r>
  <r>
    <x v="0"/>
    <x v="2"/>
    <d v="2023-07-01T00:00:00"/>
    <s v="Nota crédito No.2-10 del 28 de junio de 2023"/>
    <n v="10"/>
    <n v="27"/>
    <s v="Bogotá - Belencito"/>
    <x v="3"/>
    <s v="01/04/2023 - 30/04/2023"/>
    <s v="Nota Crédito No. 10 para analuar  Factura 27. ARRIENDO DE BODEGA DE 128,2 M2, UBICADO EN KM 5 porque la legalización del contrato de arrendamiento se realizo en el mes de abril de 2023"/>
    <n v="-2827963.6"/>
    <n v="-451523.6"/>
    <n v="-2376440"/>
    <n v="-9506"/>
    <n v="-2366934"/>
    <m/>
    <m/>
    <m/>
    <m/>
    <n v="-2366934"/>
    <m/>
  </r>
  <r>
    <x v="0"/>
    <x v="2"/>
    <d v="2023-07-01T00:00:00"/>
    <s v="Nota credito No.2-11 del 28 de junio de 2023"/>
    <n v="11"/>
    <n v="28"/>
    <s v="Bogotá - Belencito"/>
    <x v="3"/>
    <s v="01/05/2023 - 31/05/2023"/>
    <s v="Nota Crédito No, 11 para anular factura 28 ARRIENDO DE BODEGA DE 128,2 M2, UBICADO EN KM 5 porque la legalización del contrato de arrendamiento se realizo en el mes de mayo de 2023"/>
    <n v="-2827963.6"/>
    <n v="-451523.6"/>
    <n v="-2376440"/>
    <n v="-9506"/>
    <n v="-2366934"/>
    <m/>
    <m/>
    <m/>
    <m/>
    <n v="-2366934"/>
    <m/>
  </r>
  <r>
    <x v="0"/>
    <x v="2"/>
    <d v="2023-07-01T00:00:00"/>
    <s v="Nota credito No.2-12 del 28 de junio de 2023"/>
    <n v="12"/>
    <n v="29"/>
    <s v="Bogotá - Belencito"/>
    <x v="3"/>
    <s v="01/06/2023 - 30/06/2023"/>
    <s v="Nota Crédito No.12 para anular factura 29 ARRIENDO DE BODEGA DE 128,2 M2, UBICADO EN KM 5 porque la legalización del contrato de arrendamiento se realizo en el mes de junio de 2023"/>
    <n v="-2827963.6"/>
    <n v="-451523.6"/>
    <n v="-2376440"/>
    <n v="-9506"/>
    <n v="-2366934"/>
    <m/>
    <m/>
    <m/>
    <m/>
    <n v="-2366934"/>
    <m/>
  </r>
  <r>
    <x v="0"/>
    <x v="2"/>
    <d v="2023-07-18T00:00:00"/>
    <n v="41"/>
    <s v="NA"/>
    <s v="NA"/>
    <s v="Bogotá - Belencito"/>
    <x v="3"/>
    <s v="1/02/2023 - 13/03/2023"/>
    <s v=" ARRIENDO DE BODEGA DE 128,2 M2, UBICADO EN KM 5 "/>
    <n v="4053414.89"/>
    <n v="647183.89"/>
    <n v="3406231"/>
    <n v="13625"/>
    <n v="3392606"/>
    <n v="3392606"/>
    <n v="2023"/>
    <n v="8"/>
    <d v="2023-08-30T00:00:00"/>
    <n v="0"/>
    <s v="La factura 19 y 25 son reemplazadas porla factura 41. Como se anularon las facturas  19 y 25, por lo cual se carga la consigancion a la factura 41"/>
  </r>
  <r>
    <x v="0"/>
    <x v="2"/>
    <d v="2023-07-18T00:00:00"/>
    <n v="42"/>
    <s v="NA"/>
    <s v="NA"/>
    <s v="Bogotá - Belencito"/>
    <x v="3"/>
    <s v="14/03/2023 - 30/03/2023"/>
    <s v=" ARRIENDO DE BODEGA DE 128,2 M2, UBICADO EN KM 5 "/>
    <n v="1602512.31"/>
    <n v="255863.31"/>
    <n v="1346649"/>
    <n v="5387"/>
    <n v="1341262"/>
    <n v="1341262"/>
    <n v="2023"/>
    <n v="8"/>
    <d v="2023-08-30T00:00:00"/>
    <n v="0"/>
    <s v="La factura 20 y 26 son reemplazadas porla factura 42. Como se anularon las facturas  20 y 26, por lo cual se carga la consigancion a la factura 42"/>
  </r>
  <r>
    <x v="0"/>
    <x v="2"/>
    <d v="2023-07-18T00:00:00"/>
    <n v="43"/>
    <s v="NA"/>
    <s v="NA"/>
    <s v="Bogotá - Belencito"/>
    <x v="3"/>
    <s v="01/04/2023 - 30/04/2023"/>
    <s v=" ARRIENDO DE BODEGA DE 128,2 M2, UBICADO EN KM 5 "/>
    <n v="2827963.6"/>
    <n v="451523.6"/>
    <n v="2376440"/>
    <n v="9506"/>
    <n v="2366934"/>
    <n v="2366934"/>
    <n v="2023"/>
    <n v="8"/>
    <d v="2023-08-30T00:00:00"/>
    <n v="0"/>
    <s v="La factura 21 y 27 son reemplazadas porla factura 43. Como se anularon las facturas  21 y 27, por lo cual se carga la consigancion a la factura 43"/>
  </r>
  <r>
    <x v="0"/>
    <x v="2"/>
    <d v="2023-07-18T00:00:00"/>
    <n v="44"/>
    <s v="NA"/>
    <s v="NA"/>
    <s v="Bogotá - Belencito"/>
    <x v="3"/>
    <s v="01/05/2023 - 30/05/2023"/>
    <s v=" ARRIENDO DE BODEGA DE 128,2 M2, UBICADO EN KM 5 "/>
    <n v="2827963.6"/>
    <n v="451523.6"/>
    <n v="2376440"/>
    <n v="9506"/>
    <n v="2366934"/>
    <n v="2366934"/>
    <n v="2023"/>
    <n v="8"/>
    <d v="2023-08-30T00:00:00"/>
    <n v="0"/>
    <s v="La factura 22 y 28 son reemplazadas porla factura 44. Como se anularon las facturas  22 y 28, por lo cual se carga la consigancion a la factura 44"/>
  </r>
  <r>
    <x v="0"/>
    <x v="2"/>
    <d v="2023-07-18T00:00:00"/>
    <n v="45"/>
    <s v="NA"/>
    <s v="NA"/>
    <s v="Bogotá - Belencito"/>
    <x v="3"/>
    <s v="01/06/2023 - 30/06/2023"/>
    <s v=" ARRIENDO DE BODEGA DE 128,2 M2, UBICADO EN KM 5 "/>
    <n v="2827963.6"/>
    <n v="451523.6"/>
    <n v="2376440"/>
    <n v="9506"/>
    <n v="2366934"/>
    <n v="2366934"/>
    <n v="2023"/>
    <n v="8"/>
    <d v="2023-08-30T00:00:00"/>
    <n v="0"/>
    <s v="La factura 18 y 29 son reemplazadas porla factura 45. Como se anularon las facturas  18 y 29, por lo cual se carga la consigancion a la factura 45"/>
  </r>
  <r>
    <x v="0"/>
    <x v="2"/>
    <d v="2023-07-18T00:00:00"/>
    <n v="46"/>
    <s v="NA"/>
    <s v="NA"/>
    <s v="Bogotá - Belencito"/>
    <x v="3"/>
    <s v="1/07/2023 - 30/07/2023"/>
    <s v="ARRIENDO DE BODEGA DE 128,2 M2, UBICADO EN KM 5"/>
    <n v="2827963.6"/>
    <n v="451523.6"/>
    <n v="2376440"/>
    <n v="9506"/>
    <n v="2366934"/>
    <n v="2366934"/>
    <n v="2023"/>
    <n v="8"/>
    <d v="2023-08-30T00:00:00"/>
    <n v="0"/>
    <m/>
  </r>
  <r>
    <x v="0"/>
    <x v="2"/>
    <d v="2023-07-25T00:00:00"/>
    <s v="Nota credito No.2-19 "/>
    <n v="19"/>
    <n v="9"/>
    <s v="Bogotá - Belencito"/>
    <x v="2"/>
    <s v="1/02/2023 - 13/03/2023"/>
    <s v="Nota Crédito No. 19 para anular factura 9 ARRIENDO BODEGA  CON UNA AREA DE 2.234 M2 UBICADA EN KM5, porque la legalización del contrati de arrendamiento se realizo en el periodo 1/02/2023 al 13/03/2023"/>
    <n v="-64206895"/>
    <n v="-10251521.050000001"/>
    <n v="-53955373.950000003"/>
    <n v="-215821"/>
    <n v="-53739552.950000003"/>
    <m/>
    <m/>
    <m/>
    <m/>
    <n v="-53739552.950000003"/>
    <m/>
  </r>
  <r>
    <x v="0"/>
    <x v="2"/>
    <d v="2023-07-25T00:00:00"/>
    <s v="Nota credito No.2-20"/>
    <n v="20"/>
    <n v="10"/>
    <s v="Bogotá - Belencito"/>
    <x v="2"/>
    <s v="14/03/2023 - 30/03/2023"/>
    <s v="Nota Crédicto No.20 para anular factura 10 ARRIENDO BODEGA  CON UNA AREA DE 2.234 M2 UBICADA EN KM5, porque la legalización del contrati de arrendamiento se realizo en el mes de marzo de 2023"/>
    <n v="-25384110.989999998"/>
    <n v="-4052925.28"/>
    <n v="-21331185.709999997"/>
    <n v="-85325"/>
    <n v="-21245860.709999997"/>
    <m/>
    <m/>
    <m/>
    <m/>
    <n v="-21245860.709999997"/>
    <m/>
  </r>
  <r>
    <x v="0"/>
    <x v="2"/>
    <d v="2023-07-25T00:00:00"/>
    <s v="Nota credito No.2-21 "/>
    <n v="21"/>
    <n v="11"/>
    <s v="Bogotá - Belencito"/>
    <x v="2"/>
    <s v="01/04/2023 - 30/04/2023"/>
    <s v="Nota Crédito No.21 para anular factura 11 ARRIENDO BODEGA  CON UNA AREA DE 2.234 M2 UBICADA EN KM5, porque la legalización del contrati de arrendamiento se realizo en el mes de abril de 2023"/>
    <n v="-44795503"/>
    <n v="-7152223.1699999999"/>
    <n v="-37643279.829999998"/>
    <n v="-150573"/>
    <n v="-37492706.829999998"/>
    <m/>
    <m/>
    <m/>
    <m/>
    <n v="-37492706.829999998"/>
    <m/>
  </r>
  <r>
    <x v="0"/>
    <x v="2"/>
    <d v="2023-07-25T00:00:00"/>
    <s v="Nota credito No.2-22 "/>
    <n v="22"/>
    <n v="12"/>
    <s v="Bogotá - Belencito"/>
    <x v="2"/>
    <s v="01/05/2023 - 31/05/2023"/>
    <s v="Nota de Crédito No.22 para anular factura 12 ARRIENDO BODEGA  CON UNA AREA DE 2.234 M2 UBICADA EN KM5, porque la legalización del contrati de arrendamiento se realizo en el mes de mayo de 2023"/>
    <n v="-44795503"/>
    <n v="-7152223.1699999999"/>
    <n v="-37643279.829999998"/>
    <n v="-150573"/>
    <n v="-37492706.829999998"/>
    <m/>
    <m/>
    <m/>
    <m/>
    <n v="-37492706.829999998"/>
    <m/>
  </r>
  <r>
    <x v="0"/>
    <x v="2"/>
    <d v="2023-07-25T00:00:00"/>
    <n v="48"/>
    <s v="NA"/>
    <s v="NA"/>
    <s v="Bogotá - Belencito"/>
    <x v="2"/>
    <s v="1/02/2023 - 13/03/2023"/>
    <s v="ARRIENDO BODEGA  CON UNA AREA DE 2.234 M2 UBICADA EN KM5"/>
    <n v="64206895"/>
    <n v="10251521.050000001"/>
    <n v="53955373.950000003"/>
    <n v="215821"/>
    <n v="53739552.950000003"/>
    <n v="53739552.950000003"/>
    <n v="2023"/>
    <n v="8"/>
    <d v="2023-08-30T00:00:00"/>
    <n v="0"/>
    <s v="Como se anulo la factura  9, por lo cual se carga la consigancion a la factura 48"/>
  </r>
  <r>
    <x v="0"/>
    <x v="2"/>
    <d v="2023-07-25T00:00:00"/>
    <n v="49"/>
    <s v="NA"/>
    <s v="NA"/>
    <s v="Bogotá - Belencito"/>
    <x v="2"/>
    <s v="14/03/2023 - 30/03/2023"/>
    <s v="ARRIENDO BODEGA  CON UNA AREA DE 2.234 M2 UBICADA EN KM5"/>
    <n v="25384110.989999998"/>
    <n v="4052925.28"/>
    <n v="21331185.710000001"/>
    <n v="85325"/>
    <n v="21245860.710000001"/>
    <n v="21245860.710000001"/>
    <n v="2023"/>
    <n v="8"/>
    <d v="2023-08-30T00:00:00"/>
    <n v="0"/>
    <s v="Como se anulo la factura  10, por lo cual se carga la consigancion a la factura 49"/>
  </r>
  <r>
    <x v="0"/>
    <x v="2"/>
    <d v="2023-07-25T00:00:00"/>
    <n v="50"/>
    <s v="NA"/>
    <s v="NA"/>
    <s v="Bogotá - Belencito"/>
    <x v="2"/>
    <s v="01/04/2023 - 30/04/2023"/>
    <s v="ARRIENDO BODEGA  CON UNA AREA DE 2.234 M2 UBICADA EN KM5"/>
    <n v="44795503"/>
    <n v="7152223.1699999999"/>
    <n v="37643279.829999998"/>
    <n v="150573"/>
    <n v="37492706.829999998"/>
    <n v="37492706.829999998"/>
    <n v="2023"/>
    <n v="8"/>
    <d v="2023-08-30T00:00:00"/>
    <n v="0"/>
    <s v="Como se anulo la factura  11, por lo cual se carga la consigancion a la factura 50"/>
  </r>
  <r>
    <x v="0"/>
    <x v="2"/>
    <d v="2023-07-25T00:00:00"/>
    <n v="51"/>
    <s v="NA"/>
    <s v="NA"/>
    <s v="Bogotá - Belencito"/>
    <x v="2"/>
    <s v="01/05/2023 - 31/05/2023"/>
    <s v="ARRIENDO BODEGA  CON UNA AREA DE 2.234 M2 UBICADA EN KM5"/>
    <n v="44795503"/>
    <n v="7152223.1699999999"/>
    <n v="37643279.829999998"/>
    <n v="150573"/>
    <n v="37492706.829999998"/>
    <n v="37492706.829999998"/>
    <n v="2023"/>
    <n v="8"/>
    <d v="2023-08-30T00:00:00"/>
    <n v="0"/>
    <s v="Como se anulo la factura  12, por lo cual se carga la consigancion a la factura 51"/>
  </r>
  <r>
    <x v="0"/>
    <x v="3"/>
    <d v="2023-08-14T00:00:00"/>
    <n v="57"/>
    <s v="NA"/>
    <s v="NA"/>
    <s v="Bogotá - Belencito"/>
    <x v="1"/>
    <s v="01/08/2023 - 31/08/2023"/>
    <s v="ARRIENDO DE BODEGA DE 72 M2, UBICADO EN KM 5"/>
    <n v="1297512"/>
    <n v="207165.78"/>
    <n v="1090346.22"/>
    <n v="4361"/>
    <n v="1085985.22"/>
    <n v="1085985"/>
    <n v="2023"/>
    <n v="8"/>
    <d v="2023-08-30T00:00:00"/>
    <n v="0.21999999997206032"/>
    <m/>
  </r>
  <r>
    <x v="0"/>
    <x v="3"/>
    <d v="2023-08-14T00:00:00"/>
    <n v="57"/>
    <s v="NA"/>
    <s v="NA"/>
    <s v="Bogotá - Belencito"/>
    <x v="1"/>
    <s v="01/08/2023 - 31/08/2023"/>
    <s v="ARRIENDO DE BODEGA DE 72 M2, UBICADO EN KM 6"/>
    <m/>
    <m/>
    <m/>
    <m/>
    <m/>
    <n v="0.22"/>
    <n v="2023"/>
    <n v="11"/>
    <d v="2023-11-03T00:00:00"/>
    <n v="-0.22"/>
    <m/>
  </r>
  <r>
    <x v="0"/>
    <x v="3"/>
    <d v="2023-08-14T00:00:00"/>
    <n v="58"/>
    <n v="28"/>
    <n v="58"/>
    <s v="Bogotá - Belencito"/>
    <x v="2"/>
    <s v="01/08/2023 - 31/08/2023"/>
    <s v="ARRIENDO BODEGA  CON UNA AREA DE 2.234 M2 UBICADA EN KM5"/>
    <n v="44795251"/>
    <n v="7152182.9299999997"/>
    <n v="37643068.07"/>
    <n v="150572"/>
    <n v="37492496.07"/>
    <m/>
    <m/>
    <m/>
    <m/>
    <n v="37492496.07"/>
    <m/>
  </r>
  <r>
    <x v="0"/>
    <x v="3"/>
    <d v="2023-08-14T00:00:00"/>
    <n v="59"/>
    <s v="NA"/>
    <s v="NA"/>
    <s v="Bogotá - Belencito"/>
    <x v="3"/>
    <s v="01/08/2023 - 31/08/2023"/>
    <s v="ARRIENDO DE BODEGA DE 128,2 M2, UBICADO EN KM 5"/>
    <n v="2827964"/>
    <n v="451523.66"/>
    <n v="2376440.34"/>
    <n v="9506"/>
    <n v="2366934.34"/>
    <n v="2366934.34"/>
    <n v="2023"/>
    <n v="10"/>
    <d v="2023-10-05T00:00:00"/>
    <n v="0"/>
    <m/>
  </r>
  <r>
    <x v="0"/>
    <x v="3"/>
    <d v="2023-08-01T00:00:00"/>
    <s v="Nota credito No.2-3 del 16 de junio de 2023"/>
    <n v="3"/>
    <n v="18"/>
    <s v="Bogotá - Belencito"/>
    <x v="3"/>
    <s v="01/06/2023 - 30/06/2023"/>
    <s v="Nota de Credito No. 3 para anular factura 18 ARRIENDO DE BODEGA DE 128,2 M2, UBICADO EN KM 5 porque la legalización del contrato de arrendamiento se realizo en el mes de junio de 2023"/>
    <n v="-2827963.6"/>
    <n v="-451523.6"/>
    <n v="-2376440"/>
    <n v="-9506"/>
    <n v="-2366934"/>
    <m/>
    <m/>
    <m/>
    <m/>
    <n v="-2366934"/>
    <s v="Por trazabillidad se incluye nota credito y factura anulada"/>
  </r>
  <r>
    <x v="0"/>
    <x v="3"/>
    <d v="2023-08-01T00:00:00"/>
    <n v="18"/>
    <n v="3"/>
    <n v="18"/>
    <s v="Bogotá - Belencito"/>
    <x v="3"/>
    <s v="01/06/2023 - 30/06/2023"/>
    <s v="ARRIENDO DE BODEGA DE 128,2 M2, UBICADO EN KM 5"/>
    <n v="2827963.6"/>
    <n v="451523.6"/>
    <n v="2376440"/>
    <n v="9506"/>
    <n v="2366934"/>
    <m/>
    <m/>
    <m/>
    <m/>
    <n v="2366934"/>
    <s v="Como la factura 18 se anulo, se reemplaza por la factura 29 "/>
  </r>
  <r>
    <x v="0"/>
    <x v="3"/>
    <d v="2023-08-01T00:00:00"/>
    <s v="Nota credito No.2-4 del 16 de junio de 2023"/>
    <n v="4"/>
    <n v="19"/>
    <s v="Bogotá - Belencito"/>
    <x v="3"/>
    <s v="1/02/2023 - 13/03/2023"/>
    <s v="Nota de Crédito No.4 para anular factura No. 19 ARRIENDO DE BODEGA DE 128,2 M2, UBICADO EN KM 5 porque la legalización del contrato de arrendamiento se realizo en el periodo 1/02/2023 al 13/03/2023"/>
    <n v="-4053414.89"/>
    <n v="-647183.89"/>
    <n v="-3406231"/>
    <n v="-13625"/>
    <n v="-3392606"/>
    <m/>
    <m/>
    <m/>
    <m/>
    <n v="-3392606"/>
    <s v="Por trazabillidad se incluye nota credito y factura anulada"/>
  </r>
  <r>
    <x v="0"/>
    <x v="3"/>
    <d v="2023-08-01T00:00:00"/>
    <n v="19"/>
    <n v="4"/>
    <n v="19"/>
    <s v="Bogotá - Belencito"/>
    <x v="3"/>
    <s v="1/02/2023 - 13/03/2023"/>
    <s v=" ARRIENDO DE BODEGA DE 128,2 M2, UBICADO EN KM 5 "/>
    <n v="4053414.89"/>
    <n v="647183.89"/>
    <n v="3406231"/>
    <n v="13625"/>
    <n v="3392606"/>
    <m/>
    <m/>
    <m/>
    <m/>
    <n v="3392606"/>
    <s v="Como la factura 19 se anulo, se reemplaza por la factura 25"/>
  </r>
  <r>
    <x v="0"/>
    <x v="3"/>
    <d v="2023-08-01T00:00:00"/>
    <s v="Nota credito No.2-5 del 16 de junio de 2023"/>
    <n v="5"/>
    <n v="20"/>
    <s v="Bogotá - Belencito"/>
    <x v="3"/>
    <s v="14/03/2023 - 30/03/2023"/>
    <s v="Nota Crédito No. 5 para analuar  Factura 20. ARRIENDO DE BODEGA DE 128,2 M2, UBICADO EN KM 5 porque la legalización del contrato de arrendamiento se realizo en el periodo del 14 al 30 marzo de 2023."/>
    <n v="-1602512.31"/>
    <n v="-255863.31"/>
    <n v="-1346649"/>
    <n v="-5387"/>
    <n v="-1341262"/>
    <m/>
    <m/>
    <m/>
    <m/>
    <n v="-1341262"/>
    <s v="Por trazabillidad se incluye nota credito y factura anulada"/>
  </r>
  <r>
    <x v="0"/>
    <x v="3"/>
    <d v="2023-08-01T00:00:00"/>
    <n v="20"/>
    <n v="5"/>
    <n v="20"/>
    <s v="Bogotá - Belencito"/>
    <x v="3"/>
    <s v="14/03/2023 - 30/03/2023"/>
    <s v=" ARRIENDO DE BODEGA DE 128,2 M2, UBICADO EN KM 5 "/>
    <n v="1602512.31"/>
    <n v="255863.31"/>
    <n v="1346649"/>
    <n v="5387"/>
    <n v="1341262"/>
    <m/>
    <m/>
    <m/>
    <m/>
    <n v="1341262"/>
    <s v="Como la factura 20 se anulo, se reemplaza por la factura 26"/>
  </r>
  <r>
    <x v="0"/>
    <x v="3"/>
    <d v="2023-08-01T00:00:00"/>
    <s v="Nota credito No.2-6 del 16 de junio de 2023"/>
    <n v="6"/>
    <n v="21"/>
    <s v="Bogotá - Belencito"/>
    <x v="3"/>
    <s v="01/04/2023 - 30/04/2023"/>
    <s v="Nota Crédito No, 6 para anular factura 21 ARRIENDO DE BODEGA DE 128,2 M2, UBICADO EN KM 5 porque la legalización del contrato de arrendamiento se realizo en el mes de abril de 2023"/>
    <n v="-2827963.6"/>
    <n v="-451523.6"/>
    <n v="-2376440"/>
    <n v="-9506"/>
    <n v="-2366934"/>
    <m/>
    <m/>
    <m/>
    <m/>
    <n v="-2366934"/>
    <s v="Por trazabillidad se incluye nota credito y factura anulada"/>
  </r>
  <r>
    <x v="0"/>
    <x v="3"/>
    <d v="2023-08-01T00:00:00"/>
    <n v="21"/>
    <n v="6"/>
    <n v="21"/>
    <s v="Bogotá - Belencito"/>
    <x v="3"/>
    <s v="01/04/2023 - 30/04/2023"/>
    <s v=" ARRIENDO DE BODEGA DE 128,2 M2, UBICADO EN KM 5 "/>
    <n v="2827963.6"/>
    <n v="451523.6"/>
    <n v="2376440"/>
    <n v="9506"/>
    <n v="2366934"/>
    <m/>
    <m/>
    <m/>
    <m/>
    <n v="2366934"/>
    <s v="Como la factura 21 se anulo, se reemplaza por la factura 27"/>
  </r>
  <r>
    <x v="0"/>
    <x v="3"/>
    <d v="2023-08-01T00:00:00"/>
    <s v="Nota credito No.2-7 del 16 de junio de 2023"/>
    <n v="7"/>
    <n v="22"/>
    <s v="Bogotá - Belencito"/>
    <x v="3"/>
    <s v="01/05/2023 - 30/05/2023"/>
    <s v="Nota Crédito No.7 para anular factura 22 ARRIENDO DE BODEGA DE 128,2 M2, UBICADO EN KM 5 porque la legalización del contrato de arrendamiento se realizo en el mes de mayo de 2023"/>
    <n v="-2827963.6"/>
    <n v="-451523.6"/>
    <n v="-2376440"/>
    <n v="-9506"/>
    <n v="-2366934"/>
    <m/>
    <m/>
    <m/>
    <m/>
    <n v="-2366934"/>
    <s v="Por trazabillidad se incluye nota credito y factura anulada"/>
  </r>
  <r>
    <x v="0"/>
    <x v="3"/>
    <d v="2023-08-01T00:00:00"/>
    <n v="22"/>
    <n v="7"/>
    <n v="22"/>
    <s v="Bogotá - Belencito"/>
    <x v="3"/>
    <s v="01/05/2023 - 30/05/2023"/>
    <s v=" ARRIENDO DE BODEGA DE 128,2 M2, UBICADO EN KM 5 "/>
    <n v="2827963.6"/>
    <n v="451523.6"/>
    <n v="2376440"/>
    <n v="9506"/>
    <n v="2366934"/>
    <m/>
    <m/>
    <m/>
    <m/>
    <n v="2366934"/>
    <s v="Como la factura 22 se anulo, se reemplaza por la factura 28"/>
  </r>
  <r>
    <x v="0"/>
    <x v="4"/>
    <d v="2023-09-06T00:00:00"/>
    <n v="64"/>
    <s v="NA"/>
    <s v="NA"/>
    <s v="Bogotá - Belencito"/>
    <x v="2"/>
    <s v="01/09/2023 - 30/09/2023"/>
    <s v="ARRIENDO BODEGA  CON UNA AREA DE 2.234 M2 UBICADA EN KM5"/>
    <n v="44795251"/>
    <n v="7152182.9299999997"/>
    <n v="37643068.07"/>
    <n v="150572"/>
    <n v="37492496.07"/>
    <m/>
    <m/>
    <m/>
    <m/>
    <n v="37492496.07"/>
    <m/>
  </r>
  <r>
    <x v="0"/>
    <x v="4"/>
    <d v="2023-09-05T00:00:00"/>
    <n v="68"/>
    <s v="NA"/>
    <s v="NA"/>
    <s v="Bogotá - Belencito"/>
    <x v="3"/>
    <s v="01/09/2023 - 30/09/2023"/>
    <s v="ARRIENDO DE BODEGA DE 128,2 M2, UBICADO EN KM 5"/>
    <n v="2827964"/>
    <n v="451523.66"/>
    <n v="2376440.34"/>
    <n v="9506"/>
    <n v="2366934.34"/>
    <n v="2366934.34"/>
    <n v="2023"/>
    <n v="10"/>
    <d v="2023-10-05T00:00:00"/>
    <n v="0"/>
    <m/>
  </r>
  <r>
    <x v="0"/>
    <x v="4"/>
    <d v="2023-09-05T00:00:00"/>
    <n v="69"/>
    <s v="NA"/>
    <s v="NA"/>
    <s v="Bogotá - Belencito"/>
    <x v="1"/>
    <s v="01/09/2023 - 30/09/2023"/>
    <s v="ARRIENDO DE BODEGA DE 72 M2, UBICADO EN KM 5"/>
    <n v="1297512"/>
    <n v="207165.78"/>
    <n v="1090346.22"/>
    <n v="4361"/>
    <n v="1085985.22"/>
    <n v="1085985.22"/>
    <n v="2023"/>
    <n v="10"/>
    <d v="2023-10-05T00:00:00"/>
    <n v="0"/>
    <m/>
  </r>
  <r>
    <x v="0"/>
    <x v="5"/>
    <d v="2023-10-26T00:00:00"/>
    <s v="Nota credito No.2-29 "/>
    <n v="29"/>
    <n v="58"/>
    <s v="Bogotá - Belencito"/>
    <x v="2"/>
    <s v="1/08/2023-30/08/2023"/>
    <s v="Nota de credito 29 para anular la factura 58 para el ARRIENDO BODEGA  CON UNA AREA DE 2.234 M2 UBICADA EN KM5 porque Argos no la recibio en el sistema."/>
    <n v="-44795251"/>
    <n v="-7152182.9299999997"/>
    <n v="-37643068.07"/>
    <n v="-150572"/>
    <n v="-37492496.07"/>
    <m/>
    <m/>
    <m/>
    <m/>
    <n v="-37492496.07"/>
    <s v="Como la factura 58 se anulo, se reemplaza por la factura 88"/>
  </r>
  <r>
    <x v="0"/>
    <x v="5"/>
    <d v="2023-10-26T00:00:00"/>
    <s v="Nota credito No.2-30"/>
    <n v="30"/>
    <n v="64"/>
    <s v="Bogotá - Belencito"/>
    <x v="2"/>
    <s v="1/09/2023-30/09/2023"/>
    <s v="Nota de credito 30 para anular la factura 64 para el ARRIENDO BODEGA  CON UNA AREA DE 2.234 M2 UBICADA EN KM6 porque Argos la rechazo en el sistema."/>
    <n v="-44795251"/>
    <n v="-7152182.9299999997"/>
    <n v="-37643068.07"/>
    <n v="-150572"/>
    <n v="-37492496.07"/>
    <m/>
    <m/>
    <m/>
    <m/>
    <n v="-37492496.07"/>
    <s v="Como la factura 64 se anulo, se reemplaza por la factura 89"/>
  </r>
  <r>
    <x v="0"/>
    <x v="5"/>
    <d v="2023-10-26T00:00:00"/>
    <n v="88"/>
    <s v="NA"/>
    <s v="NA"/>
    <s v="Bogotá - Belencito"/>
    <x v="2"/>
    <s v="1/08/2023-30/08/2023"/>
    <s v="ARRIENDO BODEGA  CON UNA AREA DE 2.234 M2 UBICADA EN KM5"/>
    <n v="44795251"/>
    <n v="7152182.9299999997"/>
    <n v="37643068.07"/>
    <n v="150572"/>
    <n v="37492496.07"/>
    <n v="37492496.07"/>
    <n v="2023"/>
    <n v="11"/>
    <d v="2023-11-03T00:00:00"/>
    <n v="0"/>
    <m/>
  </r>
  <r>
    <x v="0"/>
    <x v="5"/>
    <d v="2023-10-26T00:00:00"/>
    <n v="89"/>
    <s v="NA"/>
    <s v="NA"/>
    <s v="Bogotá - Belencito"/>
    <x v="2"/>
    <s v="1/09/2023-30/09/2023"/>
    <s v="ARRIENDO BODEGA  CON UNA AREA DE 2.234 M2 UBICADA EN KM5"/>
    <n v="44795251"/>
    <n v="7152182.9299999997"/>
    <n v="37643068.07"/>
    <n v="150572"/>
    <n v="37492496.07"/>
    <n v="37492496.07"/>
    <n v="2023"/>
    <n v="11"/>
    <d v="2023-11-30T00:00:00"/>
    <n v="0"/>
    <m/>
  </r>
  <r>
    <x v="0"/>
    <x v="5"/>
    <d v="2023-10-03T00:00:00"/>
    <n v="76"/>
    <s v="NA"/>
    <s v="NA"/>
    <s v="Bogotá - Belencito"/>
    <x v="2"/>
    <s v="01/10/2023 - 30/10/2023"/>
    <s v="ARRIENDO BODEGA  CON UNA AREA DE 2.234 M2 UBICADA EN KM5"/>
    <n v="44795251"/>
    <n v="7152182.9299999997"/>
    <n v="37643068.07"/>
    <n v="150572"/>
    <n v="37492496.07"/>
    <n v="37492496.07"/>
    <n v="2023"/>
    <n v="11"/>
    <d v="2023-11-03T00:00:00"/>
    <n v="0"/>
    <m/>
  </r>
  <r>
    <x v="0"/>
    <x v="5"/>
    <d v="2023-10-03T00:00:00"/>
    <n v="78"/>
    <s v="NA"/>
    <s v="NA"/>
    <s v="Bogotá - Belencito"/>
    <x v="3"/>
    <s v="01/10/2023 - 30/10/2023"/>
    <s v="ARRIENDO DE BODEGA DE 128,2 M2, UBICADO EN KM 5"/>
    <n v="2827964"/>
    <n v="451523.66"/>
    <n v="2376440.34"/>
    <n v="9506"/>
    <n v="2366934.34"/>
    <n v="2366934.34"/>
    <n v="2023"/>
    <n v="11"/>
    <d v="2023-11-03T00:00:00"/>
    <n v="0"/>
    <m/>
  </r>
  <r>
    <x v="0"/>
    <x v="5"/>
    <d v="2023-10-20T00:00:00"/>
    <n v="86"/>
    <s v="NA"/>
    <s v="NA"/>
    <s v="Bogotá - Belencito"/>
    <x v="1"/>
    <s v="01/10/2023 - 30/10/2023"/>
    <s v="ARRIENDO DE BODEGA DE 72 M2, UBICADO EN KM 5"/>
    <n v="1297512"/>
    <n v="207165.78"/>
    <n v="1090346.22"/>
    <n v="4361"/>
    <n v="1085985.22"/>
    <n v="1085985.22"/>
    <n v="2023"/>
    <n v="11"/>
    <d v="2023-11-03T00:00:00"/>
    <n v="0"/>
    <m/>
  </r>
  <r>
    <x v="0"/>
    <x v="6"/>
    <d v="2023-11-16T00:00:00"/>
    <n v="95"/>
    <s v="NA"/>
    <s v="NA"/>
    <s v="Bogotá - Belencito"/>
    <x v="2"/>
    <s v="01/11/2023 - 30/11/2023"/>
    <s v="ARRIENDO BODEGA  CON UNA AREA DE 1,117 M2 UBICADA EN KM5"/>
    <n v="26877150"/>
    <n v="4291309.66"/>
    <n v="22585840.34"/>
    <n v="90343"/>
    <n v="22495497.34"/>
    <m/>
    <m/>
    <m/>
    <m/>
    <n v="22495497.34"/>
    <m/>
  </r>
  <r>
    <x v="0"/>
    <x v="6"/>
    <d v="2023-11-16T00:00:00"/>
    <n v="94"/>
    <s v="NA"/>
    <s v="NA"/>
    <s v="Bogotá - Belencito"/>
    <x v="3"/>
    <s v="01/11/2023 - 30/11/2023"/>
    <s v="ARRIENDO DE BODEGA DE 128,2 M2, UBICADO EN KM 5"/>
    <n v="2827964"/>
    <n v="451523.66"/>
    <n v="2376440.34"/>
    <n v="9506"/>
    <n v="2366934.34"/>
    <m/>
    <m/>
    <m/>
    <m/>
    <n v="2366934.34"/>
    <m/>
  </r>
  <r>
    <x v="0"/>
    <x v="6"/>
    <d v="2023-11-16T00:00:00"/>
    <n v="93"/>
    <s v="NA"/>
    <s v="NA"/>
    <s v="Bogotá - Belencito"/>
    <x v="1"/>
    <s v="01/11/2023 - 30/11/2023"/>
    <s v="ARRIENDO DE BODEGA DE 72 M2, UBICADO EN KM 5"/>
    <n v="1297512"/>
    <n v="207165.78"/>
    <n v="1090346.22"/>
    <n v="4361"/>
    <n v="1085985.22"/>
    <m/>
    <m/>
    <m/>
    <m/>
    <n v="1085985.22"/>
    <m/>
  </r>
  <r>
    <x v="0"/>
    <x v="7"/>
    <d v="2023-12-05T00:00:00"/>
    <s v="Nota credito No 2-34"/>
    <n v="34"/>
    <n v="93"/>
    <s v="Bogotá - Belencito"/>
    <x v="1"/>
    <s v="01/11/2023 - 30/11/2023"/>
    <s v="ARRIENDO DE BODEGA DE 72 M2, UBICADO EN KM 5"/>
    <n v="-1297512"/>
    <n v="-207165.78"/>
    <n v="-1090346.22"/>
    <n v="-4361"/>
    <n v="-1085985.22"/>
    <m/>
    <m/>
    <m/>
    <m/>
    <n v="-1085985.22"/>
    <s v="Como la factura 93 se anulo, se reemplaza por la factura 115"/>
  </r>
  <r>
    <x v="0"/>
    <x v="7"/>
    <d v="2023-12-05T00:00:00"/>
    <s v="Nota credito No 2-35"/>
    <n v="35"/>
    <n v="94"/>
    <s v="Bogotá - Belencito"/>
    <x v="3"/>
    <s v="01/11/2023 - 30/11/2023"/>
    <s v="ARRIENDO DE BODEGA DE 128,2 M2, UBICADO EN KM 5"/>
    <n v="-2827964"/>
    <n v="-451523.66"/>
    <n v="-2376440.34"/>
    <n v="-9506"/>
    <n v="-2366934.34"/>
    <m/>
    <m/>
    <m/>
    <m/>
    <n v="-2366934.34"/>
    <s v="Como la factura 94 se anulo, se reemplaza por la factura 114"/>
  </r>
  <r>
    <x v="0"/>
    <x v="7"/>
    <d v="2023-12-05T00:00:00"/>
    <n v="115"/>
    <s v="NA"/>
    <s v="NA"/>
    <s v="Bogotá - Belencito"/>
    <x v="1"/>
    <s v="01/11/2023 - 30/11/2023"/>
    <s v="ARRIENDO DE BODEGA DE 72 M2, UBICADO EN KM 5"/>
    <n v="1297512"/>
    <n v="207165.78"/>
    <n v="1090346.22"/>
    <n v="4361"/>
    <n v="1085985.22"/>
    <n v="1085985.22"/>
    <n v="2024"/>
    <n v="1"/>
    <d v="2024-01-31T00:00:00"/>
    <n v="0"/>
    <m/>
  </r>
  <r>
    <x v="0"/>
    <x v="7"/>
    <d v="2023-12-05T00:00:00"/>
    <n v="114"/>
    <s v="NA"/>
    <s v="NA"/>
    <s v="Bogotá - Belencito"/>
    <x v="3"/>
    <s v="01/11/2023 - 30/11/2023"/>
    <s v="ARRIENDO DE BODEGA DE 128,2 M2, UBICADO EN KM 5"/>
    <n v="2827964"/>
    <n v="451523.66"/>
    <n v="2376440.34"/>
    <n v="9506"/>
    <n v="2366934.34"/>
    <n v="2366934.34"/>
    <n v="2024"/>
    <n v="1"/>
    <d v="2024-01-31T00:00:00"/>
    <n v="0"/>
    <m/>
  </r>
  <r>
    <x v="0"/>
    <x v="7"/>
    <d v="2023-12-05T00:00:00"/>
    <n v="110"/>
    <s v="NA"/>
    <s v="NA"/>
    <s v="Bogotá - Belencito"/>
    <x v="2"/>
    <s v="01/12/2023 - 31/12/2023"/>
    <s v="ARRIENDO BODEGA  CON UNA AREA DE 1,117 M2 UBICADA EN KM5"/>
    <n v="26877150"/>
    <n v="4291309.66"/>
    <n v="22585840.34"/>
    <n v="90343"/>
    <n v="22495497.34"/>
    <n v="22495497.34"/>
    <n v="2024"/>
    <n v="1"/>
    <d v="2024-01-31T00:00:00"/>
    <n v="0"/>
    <m/>
  </r>
  <r>
    <x v="0"/>
    <x v="7"/>
    <d v="2023-12-05T00:00:00"/>
    <n v="111"/>
    <s v="NA"/>
    <s v="NA"/>
    <s v="Bogotá - Belencito"/>
    <x v="3"/>
    <s v="01/12/2023 - 31/12/2023"/>
    <s v="ARRIENDO DE BODEGA DE 128,2 M2, UBICADO EN KM 5"/>
    <n v="2827964"/>
    <n v="451523.66"/>
    <n v="2376440.34"/>
    <n v="9506"/>
    <n v="2366934.34"/>
    <n v="2366934.34"/>
    <n v="2024"/>
    <n v="1"/>
    <d v="2024-01-31T00:00:00"/>
    <n v="0"/>
    <m/>
  </r>
  <r>
    <x v="0"/>
    <x v="7"/>
    <d v="2023-12-05T00:00:00"/>
    <n v="113"/>
    <s v="NA"/>
    <s v="NA"/>
    <s v="Bogotá - Belencito"/>
    <x v="3"/>
    <s v="01/12/2023 - 31/12/2023"/>
    <s v="ARRIENDDO AREA 500 M2 UNBICADA EN EL KM5"/>
    <n v="4760000"/>
    <n v="760000"/>
    <n v="4000000"/>
    <n v="16000"/>
    <n v="3984000"/>
    <n v="3984000"/>
    <n v="2024"/>
    <n v="1"/>
    <d v="2024-01-31T00:00:00"/>
    <n v="0"/>
    <m/>
  </r>
  <r>
    <x v="0"/>
    <x v="7"/>
    <d v="2023-12-27T00:00:00"/>
    <s v="Nota credito No 2-39"/>
    <n v="39"/>
    <n v="95"/>
    <s v="Bogotá - Belencito"/>
    <x v="2"/>
    <s v="01/11/2023 - 30/11/2023"/>
    <s v="ARRIENDO BODEGA  CON UNA AREA DE 1,117 M2 UBICADA EN KM5"/>
    <n v="-26877150"/>
    <n v="-4291309.66"/>
    <n v="-22585840.34"/>
    <n v="-90343"/>
    <n v="-22495497.34"/>
    <m/>
    <m/>
    <m/>
    <m/>
    <n v="-22495497.34"/>
    <s v="Como la factura 95 se anulo, se reemplaza por la factura 123"/>
  </r>
  <r>
    <x v="0"/>
    <x v="7"/>
    <d v="2023-12-27T00:00:00"/>
    <n v="123"/>
    <s v="NA"/>
    <s v="NA"/>
    <s v="Bogotá - Belencito"/>
    <x v="2"/>
    <s v="01/11/2023 - 30/11/2023"/>
    <s v="ARRIENDO BODEGA  CON UNA AREA DE 1,117 M2 UBICADA EN KM5"/>
    <n v="26877150"/>
    <n v="4291309.66"/>
    <n v="22585840.34"/>
    <n v="90343"/>
    <n v="22495497.34"/>
    <n v="22495497.34"/>
    <n v="2024"/>
    <n v="1"/>
    <d v="2024-01-31T00:00:00"/>
    <n v="0"/>
    <m/>
  </r>
  <r>
    <x v="1"/>
    <x v="8"/>
    <d v="2024-01-05T00:00:00"/>
    <n v="133"/>
    <s v="NA"/>
    <s v="NA"/>
    <s v="Bogotá - Belencito"/>
    <x v="2"/>
    <s v="01/1/2024- 31/1/2024"/>
    <s v="ARRIENDO BODEGA  CON UNA AREA DE 1,117 M2 UBICADA EN KM5"/>
    <n v="26877150"/>
    <n v="4291309.66"/>
    <n v="22585840.34"/>
    <n v="90343"/>
    <n v="22495497.34"/>
    <n v="22495497.34"/>
    <n v="2024"/>
    <n v="1"/>
    <d v="2024-01-31T00:00:00"/>
    <n v="0"/>
    <m/>
  </r>
  <r>
    <x v="1"/>
    <x v="8"/>
    <d v="2024-01-05T00:00:00"/>
    <n v="134"/>
    <s v="NA"/>
    <s v="NA"/>
    <s v="Bogotá - Belencito"/>
    <x v="3"/>
    <s v="01/1/2024- 31/1/2024"/>
    <s v="ARRIENDO DE BODEGA DE 128,2 M2, UBICADO EN KM 5"/>
    <n v="2827964"/>
    <n v="451523.66"/>
    <n v="2376440.34"/>
    <n v="9506"/>
    <n v="2366934.34"/>
    <n v="2366934.34"/>
    <n v="2024"/>
    <n v="2"/>
    <d v="2024-02-26T00:00:00"/>
    <n v="0"/>
    <m/>
  </r>
  <r>
    <x v="1"/>
    <x v="8"/>
    <d v="2024-01-05T00:00:00"/>
    <n v="135"/>
    <s v="NA"/>
    <s v="NA "/>
    <s v="Bogotá - Belencito"/>
    <x v="3"/>
    <s v="01/1/2024- 31/1/2024"/>
    <s v="ARRIENDO DE AREA DE 500 M2, UBICADA EN EL KM5"/>
    <n v="4760000"/>
    <n v="760000"/>
    <n v="4000000"/>
    <n v="16000"/>
    <n v="3984000"/>
    <n v="3984000"/>
    <n v="2024"/>
    <n v="2"/>
    <d v="2024-02-26T00:00:00"/>
    <n v="0"/>
    <m/>
  </r>
  <r>
    <x v="1"/>
    <x v="8"/>
    <d v="2024-01-05T00:00:00"/>
    <n v="136"/>
    <s v="NA"/>
    <s v="NA "/>
    <s v="Bogotá - Belencito"/>
    <x v="3"/>
    <s v="01/1/2024- 31/1/2024"/>
    <s v="ARRIENDO DE ESPACIO DE 241.42 M2, UBICADA EN EL KM5"/>
    <n v="5325504.01"/>
    <n v="850290.56"/>
    <n v="4475213.4499999993"/>
    <n v="17901"/>
    <n v="4457312.4499999993"/>
    <n v="4457312.45"/>
    <n v="2024"/>
    <n v="2"/>
    <d v="2024-02-26T00:00:00"/>
    <n v="0"/>
    <m/>
  </r>
  <r>
    <x v="1"/>
    <x v="8"/>
    <d v="2024-01-24T00:00:00"/>
    <n v="140"/>
    <s v="NA"/>
    <s v="NA "/>
    <s v="Bogotá - Belencito"/>
    <x v="4"/>
    <s v="01/1/2024- 31/1/2024"/>
    <s v="ARRIENDO ESPACIO CUBIERTO AL INTERIOR DEL NUEVO TALLER ANI, UBICADO EN LAS INSTALACIONES DEL KILÓMETRO 5, CON UN AREA DE 1.986.8 METROS CUADRADOS"/>
    <n v="40192964"/>
    <n v="6417364"/>
    <n v="33775600"/>
    <n v="135102"/>
    <n v="33640498"/>
    <n v="33640498"/>
    <n v="2024"/>
    <n v="2"/>
    <d v="2024-02-27T00:00:00"/>
    <n v="0"/>
    <m/>
  </r>
  <r>
    <x v="1"/>
    <x v="9"/>
    <d v="2024-02-05T00:00:00"/>
    <n v="148"/>
    <s v="NA"/>
    <s v="NA "/>
    <s v="Bogotá - Belencito"/>
    <x v="4"/>
    <s v="01/2/2024- 29/2/2024"/>
    <s v="ARRIENDO ESPACIO CUBIERTO AL INTERIOR DEL NUEVO TALLER ANI, UBICADO EN LAS INSTALACIONES DEL KILÓMETRO 5, CON UN AREA DE 1.986.8 METROS CUADRADOS"/>
    <n v="40192964"/>
    <n v="6417364"/>
    <n v="33775600"/>
    <n v="135102"/>
    <n v="33640498"/>
    <n v="33640498"/>
    <n v="2024"/>
    <n v="2"/>
    <d v="2024-02-27T00:00:00"/>
    <n v="0"/>
    <m/>
  </r>
  <r>
    <x v="1"/>
    <x v="9"/>
    <d v="2024-02-05T00:00:00"/>
    <n v="149"/>
    <s v="NA"/>
    <s v="NA"/>
    <s v="Bogotá - Belencito"/>
    <x v="3"/>
    <s v="01/2/2024- 29/2/2024"/>
    <s v="ARRIENDO DE BODEGA DE 128,2 M2, UBICADO EN KM 5"/>
    <n v="2827964"/>
    <n v="451523.66"/>
    <n v="2376440.34"/>
    <n v="9506"/>
    <n v="2366934.34"/>
    <n v="2366934.34"/>
    <n v="2024"/>
    <n v="4"/>
    <d v="2024-04-01T00:00:00"/>
    <n v="0"/>
    <m/>
  </r>
  <r>
    <x v="1"/>
    <x v="9"/>
    <d v="2024-02-05T00:00:00"/>
    <n v="150"/>
    <s v="NA"/>
    <s v="NA "/>
    <s v="Bogotá - Belencito"/>
    <x v="3"/>
    <s v="01/2/2024- 29/2/2024"/>
    <s v="ARRIENDO DE AREA DE 500 M2, UBICADA EN EL KM5"/>
    <n v="4760000"/>
    <n v="760000"/>
    <n v="4000000"/>
    <n v="16000"/>
    <n v="3984000"/>
    <m/>
    <m/>
    <m/>
    <m/>
    <n v="3984000"/>
    <s v="Como la factura 150 se anulo, se reemplaza por la factura 211"/>
  </r>
  <r>
    <x v="1"/>
    <x v="9"/>
    <d v="2024-02-05T00:00:00"/>
    <n v="151"/>
    <s v="NA"/>
    <s v="NA "/>
    <s v="Bogotá - Belencito"/>
    <x v="3"/>
    <s v="01/2/2024- 29/2/2024"/>
    <s v="ARRIENDO DE ESPACIO DE 241.42 M2, UBICADA EN EL KM5"/>
    <n v="5325504.01"/>
    <n v="850290.56"/>
    <n v="4475213.4499999993"/>
    <n v="17901"/>
    <n v="4457312.4499999993"/>
    <n v="4457312.45"/>
    <n v="2024"/>
    <n v="4"/>
    <d v="2024-04-01T00:00:00"/>
    <n v="0"/>
    <m/>
  </r>
  <r>
    <x v="1"/>
    <x v="9"/>
    <d v="2024-02-26T00:00:00"/>
    <n v="163"/>
    <s v="NA"/>
    <s v="NA"/>
    <s v="Bogotá - Belencito"/>
    <x v="2"/>
    <s v="01/2/2024- 29/2/2024"/>
    <s v="ARRIENDO BODEGA  CON UNA AREA DE 1,117 M2 UBICADA EN KM5"/>
    <n v="26877150"/>
    <n v="4291309.66"/>
    <n v="22585840.34"/>
    <n v="90343"/>
    <n v="22495497.34"/>
    <n v="22495497.34"/>
    <n v="2024"/>
    <n v="4"/>
    <d v="2024-04-01T00:00:00"/>
    <n v="0"/>
    <m/>
  </r>
  <r>
    <x v="1"/>
    <x v="10"/>
    <d v="2024-03-15T00:00:00"/>
    <n v="170"/>
    <s v="NA"/>
    <s v="NA"/>
    <s v="Bogotá - Belencito"/>
    <x v="2"/>
    <s v="01/3/2024- 31/3/2024"/>
    <s v="ARRIENDO BODEGA  CON UNA AREA DE 1,117 M2 UBICADA EN KM5"/>
    <n v="26877150"/>
    <n v="4291309.66"/>
    <n v="22585840.34"/>
    <n v="90343"/>
    <n v="22495497.34"/>
    <n v="22495497.34"/>
    <n v="2024"/>
    <n v="4"/>
    <d v="2024-04-30T00:00:00"/>
    <n v="0"/>
    <m/>
  </r>
  <r>
    <x v="1"/>
    <x v="10"/>
    <d v="2024-03-15T00:00:00"/>
    <n v="171"/>
    <s v="NA"/>
    <s v="NA "/>
    <s v="Bogotá - Belencito"/>
    <x v="4"/>
    <s v="01/3/2024- 31/3/2024"/>
    <s v="ARRIENDO ESPACIO CUBIERTO AL INTERIOR DEL NUEVO TALLER ANI, UBICADO EN LAS INSTALACIONES DEL KILÓMETRO 5, CON UN AREA DE 1.986.8 METROS CUADRADOS"/>
    <n v="40192964"/>
    <n v="6417364"/>
    <n v="33775600"/>
    <n v="135102"/>
    <n v="33640498"/>
    <n v="33640498"/>
    <n v="2024"/>
    <n v="4"/>
    <d v="2024-04-30T00:00:00"/>
    <n v="0"/>
    <m/>
  </r>
  <r>
    <x v="1"/>
    <x v="10"/>
    <d v="2024-03-15T00:00:00"/>
    <n v="172"/>
    <s v="NA"/>
    <s v="NA"/>
    <s v="Bogotá - Belencito"/>
    <x v="3"/>
    <s v="01/3/2024- 31/3/2024"/>
    <s v="ARRIENDO DE BODEGA DE 128,2 M2, UBICADO EN KM 5"/>
    <n v="2827964"/>
    <n v="451523.66"/>
    <n v="2376440.34"/>
    <n v="9506"/>
    <n v="2366934.34"/>
    <n v="2366934.34"/>
    <n v="2024"/>
    <n v="5"/>
    <d v="2024-05-28T00:00:00"/>
    <n v="0"/>
    <m/>
  </r>
  <r>
    <x v="1"/>
    <x v="10"/>
    <d v="2024-03-15T00:00:00"/>
    <n v="173"/>
    <s v="NA"/>
    <s v="NA "/>
    <s v="Bogotá - Belencito"/>
    <x v="3"/>
    <s v="01/3/2024- 31/3/2024"/>
    <s v="ARRIENDO DE AREA DE 500 M2, UBICADA EN EL KM5"/>
    <n v="4760000"/>
    <n v="760000"/>
    <n v="4000000"/>
    <n v="16000"/>
    <n v="3984000"/>
    <m/>
    <m/>
    <m/>
    <m/>
    <n v="3984000"/>
    <s v="Como la factura 173 se anulo, se reemplaza por la factura 212"/>
  </r>
  <r>
    <x v="1"/>
    <x v="10"/>
    <d v="2024-03-15T00:00:00"/>
    <n v="174"/>
    <s v="NA"/>
    <s v="NA "/>
    <s v="Bogotá - Belencito"/>
    <x v="3"/>
    <s v="01/3/2024- 31/3/2024"/>
    <s v="ARRIENDO DE ESPACIO DE 241.42 M2, UBICADA EN EL KM5"/>
    <n v="5325504.01"/>
    <n v="850290.56"/>
    <n v="4475213.4499999993"/>
    <n v="17901"/>
    <n v="4457312.4499999993"/>
    <n v="4457312.4499999993"/>
    <n v="2024"/>
    <n v="5"/>
    <d v="2024-05-28T00:00:00"/>
    <n v="0"/>
    <m/>
  </r>
  <r>
    <x v="1"/>
    <x v="11"/>
    <d v="2024-04-09T00:00:00"/>
    <n v="184"/>
    <s v="NA"/>
    <s v="NA "/>
    <s v="Bogotá - Belencito"/>
    <x v="2"/>
    <s v="01/4/2024- 30/4/2024"/>
    <s v="ARRIENDO BODEGA  CON UNA AREA DE 1,117 M2 UBICADA EN KM5"/>
    <n v="26877150"/>
    <n v="4291309.66"/>
    <n v="22585840.34"/>
    <n v="90343"/>
    <n v="22495497.34"/>
    <n v="22495497.34"/>
    <n v="2024"/>
    <n v="5"/>
    <d v="2024-05-28T00:00:00"/>
    <n v="0"/>
    <m/>
  </r>
  <r>
    <x v="1"/>
    <x v="11"/>
    <d v="2024-04-09T00:00:00"/>
    <n v="185"/>
    <s v="NA"/>
    <s v="NA "/>
    <s v="Bogotá - Belencito"/>
    <x v="4"/>
    <s v="01/4/2024- 30/4/2024"/>
    <s v="ARRIENDO ESPACIO CUBIERTO AL INTERIOR DEL NUEVO TALLER ANI, UBICADO EN LAS INSTALACIONES DEL KILÓMETRO 5, CON UN AREA DE 1.986.8 METROS CUADRADOS"/>
    <n v="40192964"/>
    <n v="6417364"/>
    <n v="33775600"/>
    <n v="135102"/>
    <n v="33640498"/>
    <n v="33640498"/>
    <n v="2024"/>
    <n v="5"/>
    <d v="2024-05-28T00:00:00"/>
    <n v="0"/>
    <m/>
  </r>
  <r>
    <x v="1"/>
    <x v="11"/>
    <d v="2024-04-09T00:00:00"/>
    <n v="186"/>
    <s v="NA"/>
    <s v="NA "/>
    <s v="Bogotá - Belencito"/>
    <x v="3"/>
    <s v="01/4/2024- 30/4/2024"/>
    <s v="ARRIENDO DE BODEGA DE 128,2 M2, UBICADO EN KM 5"/>
    <n v="2827964"/>
    <n v="451523.66"/>
    <n v="2376440.34"/>
    <n v="9506"/>
    <n v="2366934.34"/>
    <n v="2366934.34"/>
    <n v="2024"/>
    <n v="5"/>
    <d v="2024-05-28T00:00:00"/>
    <n v="0"/>
    <m/>
  </r>
  <r>
    <x v="1"/>
    <x v="11"/>
    <d v="2024-04-09T00:00:00"/>
    <n v="187"/>
    <s v="NA"/>
    <s v="NA "/>
    <s v="Bogotá - Belencito"/>
    <x v="3"/>
    <s v="01/4/2024- 30/4/2024"/>
    <s v="ARRIENDO DE AREA DE 500 M2, UBICADA EN EL KM5"/>
    <n v="4760000"/>
    <n v="760000"/>
    <n v="4000000"/>
    <n v="16000"/>
    <n v="3984000"/>
    <n v="3984000"/>
    <n v="2024"/>
    <n v="5"/>
    <d v="2024-05-28T00:00:00"/>
    <n v="0"/>
    <m/>
  </r>
  <r>
    <x v="1"/>
    <x v="11"/>
    <d v="2024-04-09T00:00:00"/>
    <n v="188"/>
    <s v="NA"/>
    <s v="NA "/>
    <s v="Bogotá - Belencito"/>
    <x v="3"/>
    <s v="01/4/2024- 30/4/2024"/>
    <s v="ARRIENDO DE ESPACIO DE 241.42 M2, UBICADA EN EL KM5"/>
    <n v="5325504.01"/>
    <n v="850290.56"/>
    <n v="4475213.4499999993"/>
    <n v="17901"/>
    <n v="4457312.4499999993"/>
    <n v="4457312.4499999993"/>
    <n v="2024"/>
    <n v="5"/>
    <d v="2024-05-28T00:00:00"/>
    <n v="0"/>
    <m/>
  </r>
  <r>
    <x v="1"/>
    <x v="0"/>
    <d v="2024-05-03T00:00:00"/>
    <n v="207"/>
    <s v="NA"/>
    <s v="NA "/>
    <s v="Bogotá - Belencito"/>
    <x v="2"/>
    <s v="01/5/2024- 31/5/2024"/>
    <s v="ARRIENDO BODEGA  CON UNA AREA DE 1,117 M2 UBICADA EN KM5"/>
    <n v="26877150"/>
    <n v="4291309.66"/>
    <n v="22585840.34"/>
    <n v="90343"/>
    <n v="22495497.34"/>
    <n v="22495497.34"/>
    <n v="2024"/>
    <n v="5"/>
    <d v="2024-05-28T00:00:00"/>
    <n v="0"/>
    <m/>
  </r>
  <r>
    <x v="1"/>
    <x v="0"/>
    <d v="2024-05-03T00:00:00"/>
    <n v="206"/>
    <s v="NA"/>
    <s v="NA "/>
    <s v="Bogotá - Belencito"/>
    <x v="4"/>
    <s v="01/5/2024- 31/5/2024"/>
    <s v="ARRIENDO ESPACIO CUBIERTO AL INTERIOR DEL NUEVO TALLER ANI, UBICADO EN LAS INSTALACIONES DEL KILÓMETRO 5, CON UN AREA DE 1.986.8 METROS CUADRADOS"/>
    <n v="40192964"/>
    <n v="6417364"/>
    <n v="33775600"/>
    <n v="135102"/>
    <n v="33640498"/>
    <n v="33640498"/>
    <n v="2024"/>
    <n v="5"/>
    <d v="2024-05-28T00:00:00"/>
    <n v="0"/>
    <m/>
  </r>
  <r>
    <x v="1"/>
    <x v="0"/>
    <d v="2024-05-03T00:00:00"/>
    <n v="205"/>
    <s v="NA"/>
    <s v="NA "/>
    <s v="Bogotá - Belencito"/>
    <x v="3"/>
    <s v="01/5/2024- 31/5/2024"/>
    <s v="ARRIENDO DE BODEGA DE 128,2 M2, UBICADO EN KM 5"/>
    <n v="2827964"/>
    <n v="451523.66"/>
    <n v="2376440.34"/>
    <n v="9506"/>
    <n v="2366934.34"/>
    <n v="2366934.34"/>
    <n v="2024"/>
    <n v="7"/>
    <d v="2024-07-31T00:00:00"/>
    <n v="0"/>
    <m/>
  </r>
  <r>
    <x v="1"/>
    <x v="0"/>
    <d v="2024-05-03T00:00:00"/>
    <n v="204"/>
    <s v="NA"/>
    <s v="NA "/>
    <s v="Bogotá - Belencito"/>
    <x v="3"/>
    <s v="01/5/2024- 31/5/2024"/>
    <s v="ARRIENDO DE AREA DE 500 M2, UBICADA EN EL KM5+J100:J107"/>
    <n v="4760000"/>
    <n v="760000"/>
    <n v="4000000"/>
    <n v="16000"/>
    <n v="3984000"/>
    <n v="3984000"/>
    <n v="2024"/>
    <n v="7"/>
    <d v="2024-07-31T00:00:00"/>
    <n v="0"/>
    <m/>
  </r>
  <r>
    <x v="1"/>
    <x v="0"/>
    <d v="2024-05-03T00:00:00"/>
    <n v="203"/>
    <s v="NA"/>
    <s v="NA "/>
    <s v="Bogotá - Belencito"/>
    <x v="3"/>
    <s v="01/5/2024- 31/5/2024"/>
    <s v="ARRIENDO DE ESPACIO DE 241.42 M2, UBICADA EN EL KM5"/>
    <n v="5325504.01"/>
    <n v="850290.56"/>
    <n v="4475213.4499999993"/>
    <n v="17901"/>
    <n v="4457312.4499999993"/>
    <n v="4457312.45"/>
    <n v="2024"/>
    <n v="7"/>
    <d v="2024-07-31T00:00:00"/>
    <n v="0"/>
    <m/>
  </r>
  <r>
    <x v="1"/>
    <x v="0"/>
    <d v="2024-05-07T00:00:00"/>
    <s v="Nota credito No 2-54"/>
    <n v="54"/>
    <n v="150"/>
    <s v="Bogotá - Belencito"/>
    <x v="3"/>
    <s v="01/2/2024- 29/2/2024"/>
    <s v="ARRIENDO DE AREA DE 500 M2, UBICADA EN EL KM5"/>
    <n v="-4760000"/>
    <n v="-760000"/>
    <n v="-4000000"/>
    <n v="-16000"/>
    <n v="-3984000"/>
    <m/>
    <m/>
    <m/>
    <m/>
    <n v="-3984000"/>
    <s v="Como la factura 150 se anulo, se reemplaza por la factura 211"/>
  </r>
  <r>
    <x v="1"/>
    <x v="0"/>
    <d v="2024-05-07T00:00:00"/>
    <s v="Nota credito No 2-55"/>
    <n v="55"/>
    <n v="173"/>
    <s v="Bogotá - Belencito"/>
    <x v="3"/>
    <s v="01/3/2024- 31/3/2024"/>
    <s v="ARRIENDO DE AREA DE 500 M2, UBICADA EN EL KM5"/>
    <n v="-4760000"/>
    <n v="-760000"/>
    <n v="-4000000"/>
    <n v="-16000"/>
    <n v="-3984000"/>
    <m/>
    <m/>
    <m/>
    <m/>
    <n v="-3984000"/>
    <s v="Como la factura 173 se anulo, se reemplaza por la factura 212"/>
  </r>
  <r>
    <x v="1"/>
    <x v="0"/>
    <d v="2024-05-07T00:00:00"/>
    <n v="211"/>
    <s v="NA"/>
    <s v="NA "/>
    <s v="Bogotá - Belencito"/>
    <x v="3"/>
    <s v="01/2/2024- 29/2/2024"/>
    <s v="ARRIENDO DE AREA DE 500 M2, UBICADA EN EL KM5"/>
    <n v="4760000"/>
    <n v="760000"/>
    <n v="4000000"/>
    <n v="16000"/>
    <n v="3984000"/>
    <n v="3984000"/>
    <n v="2024"/>
    <n v="7"/>
    <d v="2024-07-31T00:00:00"/>
    <n v="0"/>
    <m/>
  </r>
  <r>
    <x v="1"/>
    <x v="0"/>
    <d v="2024-05-07T00:00:00"/>
    <n v="212"/>
    <s v="NA"/>
    <s v="NA "/>
    <s v="Bogotá - Belencito"/>
    <x v="3"/>
    <s v="01/3/2024- 31/3/2024"/>
    <s v="ARRIENDO DE AREA DE 500 M2, UBICADA EN EL KM5"/>
    <n v="4760000"/>
    <n v="760000"/>
    <n v="4000000"/>
    <n v="16000"/>
    <n v="3984000"/>
    <n v="3984000"/>
    <n v="2024"/>
    <n v="7"/>
    <d v="2024-07-31T00:00:00"/>
    <n v="0"/>
    <m/>
  </r>
  <r>
    <x v="1"/>
    <x v="1"/>
    <d v="2024-06-11T00:00:00"/>
    <n v="219"/>
    <s v="NA"/>
    <s v="NA "/>
    <s v="Bogotá - Belencito"/>
    <x v="2"/>
    <s v="01/6/2024- 30/6/2024"/>
    <s v="ARRIENDO BODEGA  CON UNA AREA DE 1,117 M2 UBICADA EN KM5"/>
    <n v="26877150"/>
    <n v="4291309.66"/>
    <n v="22585840.34"/>
    <n v="90343"/>
    <n v="22495497.34"/>
    <n v="22495497.34"/>
    <n v="2024"/>
    <n v="6"/>
    <d v="2024-06-26T00:00:00"/>
    <n v="0"/>
    <m/>
  </r>
  <r>
    <x v="1"/>
    <x v="1"/>
    <d v="2024-06-11T00:00:00"/>
    <n v="220"/>
    <s v="NA"/>
    <s v="NA "/>
    <s v="Bogotá - Belencito"/>
    <x v="4"/>
    <s v="01/6/2024- 30/6/2024"/>
    <s v="ARRIENDO ESPACIO CUBIERTO AL INTERIOR DEL NUEVO TALLER ANI, UBICADO EN LAS INSTALACIONES DEL KILÓMETRO 5, CON UN AREA DE 1.986.8 METROS CUADRADOS"/>
    <n v="40192964"/>
    <n v="6417364"/>
    <n v="33775600"/>
    <n v="135102"/>
    <n v="33640498"/>
    <n v="33640498"/>
    <n v="2024"/>
    <n v="7"/>
    <d v="2024-07-31T00:00:00"/>
    <n v="0"/>
    <m/>
  </r>
  <r>
    <x v="1"/>
    <x v="1"/>
    <d v="2024-06-11T00:00:00"/>
    <n v="221"/>
    <s v="NA"/>
    <s v="NA "/>
    <s v="Bogotá - Belencito"/>
    <x v="3"/>
    <s v="01/6/2024- 30/6/2024"/>
    <s v="ARRIENDO DE ESPACIO DE 241.42 M2, UBICADA EN EL KM5"/>
    <n v="5325504.01"/>
    <n v="850290.56"/>
    <n v="4475213.4499999993"/>
    <n v="17901"/>
    <n v="4457312.4499999993"/>
    <n v="4457312.45"/>
    <n v="2024"/>
    <n v="9"/>
    <d v="2024-09-30T00:00:00"/>
    <n v="0"/>
    <m/>
  </r>
  <r>
    <x v="1"/>
    <x v="1"/>
    <d v="2024-06-11T00:00:00"/>
    <n v="222"/>
    <s v="NA"/>
    <s v="NA "/>
    <s v="Bogotá - Belencito"/>
    <x v="3"/>
    <s v="01/6/2024- 30/6/2024"/>
    <s v="ARRIENDO DE AREA DE 500 M2, UBICADA EN EL KM5"/>
    <n v="4760000"/>
    <n v="760000"/>
    <n v="4000000"/>
    <n v="16000"/>
    <n v="3984000"/>
    <n v="3984000"/>
    <n v="2024"/>
    <n v="9"/>
    <d v="2024-09-30T00:00:00"/>
    <n v="0"/>
    <m/>
  </r>
  <r>
    <x v="1"/>
    <x v="1"/>
    <d v="2024-06-11T00:00:00"/>
    <n v="223"/>
    <s v="NA"/>
    <s v="NA "/>
    <s v="Bogotá - Belencito"/>
    <x v="3"/>
    <s v="01/6/2024- 30/6/2024"/>
    <s v="ARRIENDO DE BODEGA DE 128,2 M2, UBICADO EN KM 5"/>
    <n v="2827964"/>
    <n v="451523.66"/>
    <n v="2376440.34"/>
    <n v="9506"/>
    <n v="2366934.34"/>
    <n v="2366934.34"/>
    <n v="2024"/>
    <n v="9"/>
    <d v="2024-09-30T00:00:00"/>
    <n v="0"/>
    <m/>
  </r>
  <r>
    <x v="1"/>
    <x v="2"/>
    <d v="2024-07-10T00:00:00"/>
    <n v="240"/>
    <s v="NA"/>
    <s v="NA "/>
    <s v="Bogotá - Belencito"/>
    <x v="4"/>
    <s v="01/7/2024- 31/7/2024"/>
    <s v="ARRIENDO ESPACIO CUBIERTO AL INTERIOR DEL NUEVO TALLER ANI, UBICADO EN LAS INSTALACIONES DEL KILÓMETRO 5, CON UN AREA DE 1.986.8 METROS CUADRADOS"/>
    <n v="40192964"/>
    <n v="6417364"/>
    <n v="33775600"/>
    <n v="135102"/>
    <n v="33640498"/>
    <n v="33640498"/>
    <n v="2024"/>
    <n v="8"/>
    <d v="2024-08-29T00:00:00"/>
    <n v="0"/>
    <m/>
  </r>
  <r>
    <x v="1"/>
    <x v="2"/>
    <d v="2024-07-10T00:00:00"/>
    <n v="241"/>
    <s v="NA"/>
    <s v="NA "/>
    <s v="Bogotá - Belencito"/>
    <x v="3"/>
    <s v="01/7/2024- 31/7/2024"/>
    <s v="ARRIENDO DE ESPACIO DE 241.42 M2, UBICADA EN EL KM5"/>
    <n v="5325504.01"/>
    <n v="850290.56"/>
    <n v="4475213.4499999993"/>
    <n v="17901"/>
    <n v="4457312.4499999993"/>
    <n v="4457312.45"/>
    <n v="2024"/>
    <n v="9"/>
    <d v="2024-09-30T00:00:00"/>
    <n v="0"/>
    <m/>
  </r>
  <r>
    <x v="1"/>
    <x v="2"/>
    <d v="2024-07-10T00:00:00"/>
    <n v="242"/>
    <s v="NA"/>
    <s v="NA "/>
    <s v="Bogotá - Belencito"/>
    <x v="3"/>
    <s v="01/7/2024- 31/7/2024"/>
    <s v="ARRIENDO DE BODEGA DE 128,2 M2, UBICADO EN KM 5"/>
    <n v="3090399.06"/>
    <n v="493425.06"/>
    <n v="2596974"/>
    <n v="10388"/>
    <n v="2586586"/>
    <n v="2586586"/>
    <n v="2024"/>
    <n v="9"/>
    <d v="2024-09-30T00:00:00"/>
    <n v="0"/>
    <m/>
  </r>
  <r>
    <x v="1"/>
    <x v="2"/>
    <d v="2024-07-10T00:00:00"/>
    <n v="243"/>
    <s v="NA"/>
    <s v="NA "/>
    <s v="Bogotá - Belencito"/>
    <x v="3"/>
    <s v="01/7/2024- 31/7/2024"/>
    <s v="ARRIENDO DE AREA DE 500 M2, UBICADA EN EL KM5"/>
    <n v="4760000"/>
    <n v="760000"/>
    <n v="4000000"/>
    <n v="16000"/>
    <n v="3984000"/>
    <n v="396640.38"/>
    <n v="2024"/>
    <n v="7"/>
    <d v="2024-07-31T00:00:00"/>
    <n v="3587359.62"/>
    <m/>
  </r>
  <r>
    <x v="1"/>
    <x v="2"/>
    <d v="2024-07-10T00:00:00"/>
    <n v="243"/>
    <s v="NA"/>
    <s v="NA "/>
    <s v="Bogotá - Belencito"/>
    <x v="3"/>
    <s v="01/7/2024- 31/7/2024"/>
    <s v="ARRIENDO DE AREA DE 500 M2, UBICADA EN EL KM5"/>
    <m/>
    <m/>
    <n v="0"/>
    <n v="0"/>
    <n v="0"/>
    <n v="3587359.62"/>
    <n v="2024"/>
    <n v="9"/>
    <d v="2024-09-30T00:00:00"/>
    <n v="-3587359.62"/>
    <m/>
  </r>
  <r>
    <x v="1"/>
    <x v="2"/>
    <d v="2024-07-10T00:00:00"/>
    <n v="245"/>
    <s v="NA"/>
    <s v="NA "/>
    <s v="Bogotá - Belencito"/>
    <x v="2"/>
    <s v="01/7/2024- 31/7/2024"/>
    <s v="ARRIENDO BODEGA  CON UNA AREA DE 1,117 M2 UBICADA EN KM5"/>
    <n v="29371348.52"/>
    <n v="4689543.04"/>
    <n v="24681805.48"/>
    <n v="98727"/>
    <n v="24583078.48"/>
    <n v="24583078.48"/>
    <n v="2024"/>
    <n v="7"/>
    <d v="2024-07-31T00:00:00"/>
    <n v="0"/>
    <m/>
  </r>
  <r>
    <x v="1"/>
    <x v="3"/>
    <d v="2024-08-09T00:00:00"/>
    <n v="253"/>
    <s v="NA"/>
    <s v="NA "/>
    <s v="Bogotá - Belencito"/>
    <x v="2"/>
    <s v="01/8/2024- 31/8/2024"/>
    <s v="ARRIENDO BODEGA  CON UNA AREA DE 1,117 M2 UBICADA EN KM5"/>
    <n v="29371348.52"/>
    <n v="4689543.04"/>
    <n v="24681805.48"/>
    <n v="98727"/>
    <n v="24583078.48"/>
    <n v="24583078.48"/>
    <n v="2024"/>
    <n v="8"/>
    <d v="2024-08-29T00:00:00"/>
    <n v="0"/>
    <m/>
  </r>
  <r>
    <x v="1"/>
    <x v="3"/>
    <d v="2024-08-09T00:00:00"/>
    <n v="254"/>
    <s v="NA"/>
    <s v="NA "/>
    <s v="Bogotá - Belencito"/>
    <x v="4"/>
    <s v="01/8/2024- 31/8/2024"/>
    <s v="ARRIENDO ESPACIO CUBIERTO AL INTERIOR DEL NUEVO TALLER ANI, UBICADO EN LAS INSTALACIONES DEL KILÓMETRO 5, CON UN AREA DE 1.986.8 METROS CUADRADOS"/>
    <n v="40192964"/>
    <n v="6417364"/>
    <n v="33775600"/>
    <n v="135102"/>
    <n v="33640498"/>
    <n v="33640498"/>
    <n v="2024"/>
    <n v="9"/>
    <d v="2024-09-30T00:00:00"/>
    <n v="0"/>
    <m/>
  </r>
  <r>
    <x v="1"/>
    <x v="3"/>
    <d v="2024-08-09T00:00:00"/>
    <n v="255"/>
    <s v="NA"/>
    <s v="NA "/>
    <s v="Bogotá - Belencito"/>
    <x v="3"/>
    <s v="01/8/2024- 31/8/2024"/>
    <s v="ARRIENDO DE ESPACIO DE 241.42 M2, UBICADA EN EL KM5"/>
    <n v="5325504.01"/>
    <n v="850290.56"/>
    <n v="4475213.4499999993"/>
    <n v="17901"/>
    <n v="4457312.4499999993"/>
    <n v="4457312.4499999993"/>
    <n v="2024"/>
    <n v="11"/>
    <d v="2024-11-27T00:00:00"/>
    <n v="0"/>
    <m/>
  </r>
  <r>
    <x v="1"/>
    <x v="3"/>
    <d v="2024-08-09T00:00:00"/>
    <n v="256"/>
    <s v="NA"/>
    <s v="NA "/>
    <s v="Bogotá - Belencito"/>
    <x v="3"/>
    <s v="01/8/2024- 31/8/2024"/>
    <s v="ARRIENDO DE BODEGA DE 128,2 M2, UBICADO EN KM 5"/>
    <n v="3090399.06"/>
    <n v="493425.06"/>
    <n v="2596974"/>
    <n v="10388"/>
    <n v="2586586"/>
    <n v="2586586"/>
    <n v="2024"/>
    <n v="11"/>
    <d v="2024-11-27T00:00:00"/>
    <n v="0"/>
    <m/>
  </r>
  <r>
    <x v="1"/>
    <x v="3"/>
    <d v="2024-08-09T00:00:00"/>
    <n v="257"/>
    <s v="NA"/>
    <s v="NA "/>
    <s v="Bogotá - Belencito"/>
    <x v="3"/>
    <s v="01/8/2024- 31/8/2024"/>
    <s v="ARRIENDO DE AREA DE 500 M2, UBICADA EN EL KM5"/>
    <n v="4760000"/>
    <n v="760000"/>
    <n v="4000000"/>
    <n v="16000"/>
    <n v="3984000"/>
    <n v="3984000"/>
    <n v="2024"/>
    <n v="11"/>
    <d v="2024-11-27T00:00:00"/>
    <n v="0"/>
    <m/>
  </r>
  <r>
    <x v="1"/>
    <x v="3"/>
    <d v="2024-08-27T00:00:00"/>
    <n v="265"/>
    <s v="NA"/>
    <s v="NA "/>
    <s v="Bogotá - Belencito"/>
    <x v="2"/>
    <s v="29/6/2024- 30/6/2024"/>
    <s v="ARRIENDO BODEGA  CON UNA AREA DE 1,117 M2 UBICADA EN KM5"/>
    <n v="166279.97"/>
    <n v="26548.9"/>
    <n v="139731.07"/>
    <n v="559"/>
    <n v="139172.07"/>
    <n v="139172.07"/>
    <n v="2024"/>
    <n v="9"/>
    <d v="2024-09-30T00:00:00"/>
    <n v="0"/>
    <s v="Ajuste retroactivo del canon de arrendamiento correspondiente al periodo del 29 al 30 de junio de 2024, aplicando IPC más IVA. Este valor se requiere para quedar a paz y salvo del mes de junio de 2024, considerando que el contrato se firmó el 29 de junio de 2023 y el nuevo canon inició el 29 de junio de 2024"/>
  </r>
  <r>
    <x v="1"/>
    <x v="3"/>
    <d v="2024-08-27T00:00:00"/>
    <n v="266"/>
    <s v="NA"/>
    <s v="NA "/>
    <s v="Bogotá - Belencito"/>
    <x v="3"/>
    <s v="20/6/2024- 30/6/2024"/>
    <s v="ARRIENDO DE BODEGA DE 128,2 M2, UBICADO EN KM 5"/>
    <n v="87478.35"/>
    <n v="13967.13"/>
    <n v="73511.22"/>
    <n v="294"/>
    <n v="73217.22"/>
    <m/>
    <m/>
    <m/>
    <m/>
    <n v="73217.22"/>
    <s v="Ajuste retroactivo del canon de arrendamiento correspondiente al periodo del 20 al 30 de junio de 2024, aplicando IPC más IVA. Este valor se requiere para quedar a paz y salvo del mes de junio de 2024, considerando que el contrato se firmó el 20 de junio de 2023 y el nuevo canon inició el 20 de junio de 2024."/>
  </r>
  <r>
    <x v="1"/>
    <x v="4"/>
    <d v="2024-09-24T00:00:00"/>
    <n v="281"/>
    <s v="NA"/>
    <s v="NA "/>
    <s v="Bogotá - Belencito"/>
    <x v="3"/>
    <s v="01/9/2024- 30/9/2024"/>
    <s v="ARRIENDO DE ESPACIO DE 241.42 M2, UBICADA EN EL KM5"/>
    <n v="5325504.01"/>
    <n v="850290.56"/>
    <n v="4475213.4499999993"/>
    <n v="17901"/>
    <n v="4457312.4499999993"/>
    <n v="4457312.4499999993"/>
    <n v="2024"/>
    <n v="11"/>
    <d v="2024-11-27T00:00:00"/>
    <n v="0"/>
    <m/>
  </r>
  <r>
    <x v="1"/>
    <x v="4"/>
    <d v="2024-09-24T00:00:00"/>
    <n v="282"/>
    <s v="NA"/>
    <s v="NA "/>
    <s v="Bogotá - Belencito"/>
    <x v="3"/>
    <s v="01/9/2024- 30/9/2024"/>
    <s v="ARRIENDO DE BODEGA DE 128,2 M2, UBICADO EN KM 5"/>
    <n v="3090399.06"/>
    <n v="493425.06"/>
    <n v="2596974"/>
    <n v="10388"/>
    <n v="2586586"/>
    <n v="2586586"/>
    <n v="2024"/>
    <n v="11"/>
    <d v="2024-11-27T00:00:00"/>
    <n v="0"/>
    <m/>
  </r>
  <r>
    <x v="1"/>
    <x v="4"/>
    <d v="2024-09-24T00:00:00"/>
    <n v="283"/>
    <s v="NA"/>
    <s v="NA "/>
    <s v="Bogotá - Belencito"/>
    <x v="3"/>
    <s v="01/9/2024- 30/9/2024"/>
    <s v="ARRIENDO DE AREA DE 500 M2, UBICADA EN EL KM5"/>
    <n v="4760000"/>
    <n v="760000"/>
    <n v="4000000"/>
    <n v="16000"/>
    <n v="3984000"/>
    <n v="3984000"/>
    <n v="2024"/>
    <n v="11"/>
    <d v="2024-11-27T00:00:00"/>
    <n v="0"/>
    <m/>
  </r>
  <r>
    <x v="1"/>
    <x v="4"/>
    <d v="2024-09-24T00:00:00"/>
    <n v="284"/>
    <s v="NA"/>
    <s v="NA "/>
    <s v="Bogotá - Belencito"/>
    <x v="4"/>
    <s v="01/9/2024- 30/9/2024"/>
    <s v="ARRIENDO ESPACIO CUBIERTO AL INTERIOR DEL NUEVO TALLER ANI, UBICADO EN LAS INSTALACIONES DEL KILÓMETRO 5, CON UN AREA DE 1.986.8 METROS CUADRADOS"/>
    <n v="40192964"/>
    <n v="6417364"/>
    <n v="33775600"/>
    <n v="135102"/>
    <n v="33640498"/>
    <n v="33640498"/>
    <n v="2024"/>
    <n v="10"/>
    <d v="2024-10-31T00:00:00"/>
    <n v="0"/>
    <m/>
  </r>
  <r>
    <x v="1"/>
    <x v="4"/>
    <d v="2024-09-24T00:00:00"/>
    <n v="285"/>
    <s v="NA"/>
    <s v="NA "/>
    <s v="Bogotá - Belencito"/>
    <x v="2"/>
    <s v="01/9/2024- 30/9/2024"/>
    <s v="ARRIENDO BODEGA  CON UNA AREA DE 1,117 M2 UBICADA EN KM5"/>
    <n v="29371348.52"/>
    <n v="4689543.04"/>
    <n v="24681805.48"/>
    <n v="98727"/>
    <n v="24583078.48"/>
    <n v="24583078.48"/>
    <n v="2024"/>
    <n v="9"/>
    <d v="2024-09-30T00:00:00"/>
    <n v="0"/>
    <m/>
  </r>
  <r>
    <x v="1"/>
    <x v="5"/>
    <d v="2024-10-10T00:00:00"/>
    <n v="290"/>
    <s v="NA"/>
    <s v="NA "/>
    <s v="Bogotá - Belencito"/>
    <x v="4"/>
    <s v="01/10/2024- 31/10/2024"/>
    <s v="ARRIENDO ESPACIO CUBIERTO AL INTERIOR DEL NUEVO TALLER ANI, UBICADO EN LAS INSTALACIONES DEL KILÓMETRO 5, CON UN AREA DE 1.986.8 METROS CUADRADOS"/>
    <n v="40192964"/>
    <n v="6417364"/>
    <n v="33775600"/>
    <n v="135102"/>
    <n v="33640498"/>
    <n v="33640498"/>
    <n v="2024"/>
    <n v="10"/>
    <d v="2024-10-31T00:00:00"/>
    <n v="0"/>
    <m/>
  </r>
  <r>
    <x v="1"/>
    <x v="5"/>
    <d v="2024-10-10T00:00:00"/>
    <n v="291"/>
    <s v="NA"/>
    <s v="NA "/>
    <s v="Bogotá - Belencito"/>
    <x v="2"/>
    <s v="01/10/2024- 31/10/2024"/>
    <s v="ARRIENDO BODEGA  CON UNA AREA DE 1,117 M2 UBICADA EN KM5"/>
    <n v="29371348.52"/>
    <n v="4689543.04"/>
    <n v="24681805.48"/>
    <n v="98727"/>
    <n v="24583078.48"/>
    <n v="24583078.48"/>
    <n v="2024"/>
    <n v="10"/>
    <d v="2024-10-31T00:00:00"/>
    <n v="0"/>
    <m/>
  </r>
  <r>
    <x v="1"/>
    <x v="5"/>
    <d v="2024-10-10T00:00:00"/>
    <n v="292"/>
    <s v="NA"/>
    <s v="NA "/>
    <s v="Bogotá - Belencito"/>
    <x v="3"/>
    <s v="01/10/2024- 31/10/2024"/>
    <s v="ARRIENDO DE ESPACIO DE 241.42 M2, UBICADA EN EL KM5"/>
    <n v="5325504.01"/>
    <n v="850290.56"/>
    <n v="4475213.4499999993"/>
    <n v="17901"/>
    <n v="4457312.4499999993"/>
    <n v="4457312.4499999993"/>
    <n v="2024"/>
    <n v="11"/>
    <d v="2024-11-27T00:00:00"/>
    <n v="0"/>
    <m/>
  </r>
  <r>
    <x v="1"/>
    <x v="5"/>
    <d v="2024-10-10T00:00:00"/>
    <n v="293"/>
    <s v="NA"/>
    <s v="NA "/>
    <s v="Bogotá - Belencito"/>
    <x v="3"/>
    <s v="01/10/2024- 31/10/2024"/>
    <s v="ARRIENDO DE AREA DE 500 M2, UBICADA EN EL KM5"/>
    <n v="4760000"/>
    <n v="760000"/>
    <n v="4000000"/>
    <n v="16000"/>
    <n v="3984000"/>
    <n v="3984000"/>
    <n v="2024"/>
    <n v="11"/>
    <d v="2024-11-27T00:00:00"/>
    <n v="0"/>
    <m/>
  </r>
  <r>
    <x v="1"/>
    <x v="5"/>
    <d v="2024-10-10T00:00:00"/>
    <n v="294"/>
    <s v="NA"/>
    <s v="NA "/>
    <s v="Bogotá - Belencito"/>
    <x v="3"/>
    <s v="01/10/2024- 31/10/2024"/>
    <s v="ARRIENDO DE BODEGA DE 128,2 M2, UBICADO EN KM 5"/>
    <n v="3090399.06"/>
    <n v="493425.06"/>
    <n v="2596974"/>
    <n v="10388"/>
    <n v="2586586"/>
    <n v="2586586"/>
    <n v="2024"/>
    <n v="11"/>
    <d v="2024-11-27T00:00:00"/>
    <n v="0"/>
    <m/>
  </r>
  <r>
    <x v="1"/>
    <x v="5"/>
    <d v="2024-10-02T00:00:00"/>
    <s v="Nota credito No 2-62"/>
    <n v="62"/>
    <n v="266"/>
    <s v="Bogotá - Belencito"/>
    <x v="3"/>
    <s v="20/6/2024- 30/6/2024"/>
    <s v="ARRIENDO DE BODEGA DE 128,2 M2, UBICADO EN KM 5"/>
    <n v="-87478.35"/>
    <n v="-13967.13"/>
    <n v="-73511.22"/>
    <n v="-294"/>
    <n v="-73217.22"/>
    <m/>
    <m/>
    <m/>
    <m/>
    <n v="-73217.22"/>
    <s v="Como la factura 266 se anulo, se reemplaza por la factura 307"/>
  </r>
  <r>
    <x v="1"/>
    <x v="5"/>
    <d v="2024-10-21T00:00:00"/>
    <n v="299"/>
    <s v="NA"/>
    <s v="NA "/>
    <s v="Bogotá - Belencito"/>
    <x v="3"/>
    <s v="28/11/2023-30/11/2023"/>
    <s v="ARRIENDO DE AREA DE 500 M2, UBICADA EN EL KM5"/>
    <n v="476000"/>
    <n v="76000"/>
    <n v="400000"/>
    <n v="1600"/>
    <n v="398400"/>
    <n v="398400"/>
    <n v="2024"/>
    <n v="11"/>
    <d v="2024-11-27T00:00:00"/>
    <n v="0"/>
    <m/>
  </r>
  <r>
    <x v="1"/>
    <x v="5"/>
    <d v="2024-10-29T00:00:00"/>
    <n v="307"/>
    <s v="NA"/>
    <s v="NA "/>
    <s v="Bogotá - Belencito"/>
    <x v="3"/>
    <s v="14/03/2024-30-06/2024"/>
    <s v="ARRIENDO DE BODEGA DE 128,2 M2, UBICADO EN KM 5"/>
    <n v="936018.38"/>
    <n v="149448.31"/>
    <n v="786570.07000000007"/>
    <n v="3146"/>
    <n v="783424.07000000007"/>
    <m/>
    <m/>
    <m/>
    <m/>
    <n v="783424.07000000007"/>
    <s v="Ajuste retroactivo del canon de arrendamiento correspondiente al periodo del 14 de marzo al 30 de junio de 2024, aplicando IPC más IVA. Este valor se requiere para quedar a paz y salvo."/>
  </r>
  <r>
    <x v="1"/>
    <x v="6"/>
    <d v="2024-11-01T00:00:00"/>
    <n v="309"/>
    <s v="NA"/>
    <s v="NA "/>
    <s v="Bogotá - Belencito"/>
    <x v="2"/>
    <s v="14/03/2024-31/03/2024_x000a_1/04/2024-30/04/2024"/>
    <s v="ARRIENDO BODEGA  CON UNA AREA DE 1,117 M2 UBICADA EN KM4"/>
    <n v="3907577.68"/>
    <n v="623898.96"/>
    <n v="3283678.72"/>
    <n v="13135"/>
    <n v="3270543.72"/>
    <n v="3270543.72"/>
    <n v="2025"/>
    <n v="2"/>
    <d v="2025-02-26T00:00:00"/>
    <n v="0"/>
    <s v="Ajuste retroactivo del canon de arrendamiento correspondiente al periodo del 14 de marzo al 30 de abril de 2024, aplicando IPC más IVA. "/>
  </r>
  <r>
    <x v="1"/>
    <x v="6"/>
    <d v="2024-11-07T00:00:00"/>
    <n v="312"/>
    <s v="NA"/>
    <s v="NA "/>
    <s v="Bogotá - Belencito"/>
    <x v="2"/>
    <s v="1/05/2024-30/05/2024_x000a_"/>
    <s v="ARRIENDO BODEGA  CON UNA AREA DE 1,117 M2 UBICADA EN KM4"/>
    <n v="2494198.52"/>
    <n v="398233.38"/>
    <n v="2095965.1400000001"/>
    <n v="8384"/>
    <n v="2087581.1400000001"/>
    <n v="2087581.1400000001"/>
    <n v="2025"/>
    <n v="2"/>
    <d v="2025-02-26T00:00:00"/>
    <n v="0"/>
    <s v="Ajuste retroactivo del canon de arrendamiento correspondiente al periodo del 1 de mayo al 30   aplicando IPC más IVA. "/>
  </r>
  <r>
    <x v="1"/>
    <x v="6"/>
    <d v="2024-11-13T00:00:00"/>
    <n v="314"/>
    <s v="NA"/>
    <s v="NA "/>
    <s v="Bogotá - Belencito"/>
    <x v="2"/>
    <s v="01/11/2024- 30/11/2024"/>
    <s v="ARRIENDO BODEGA  CON UNA AREA DE 1,117 M2 UBICADA EN KM5"/>
    <n v="29371348.52"/>
    <n v="4689543.04"/>
    <n v="24681805.48"/>
    <n v="98727"/>
    <n v="24583078.48"/>
    <n v="24583078.48"/>
    <n v="2025"/>
    <n v="2"/>
    <d v="2024-02-26T00:00:00"/>
    <n v="0"/>
    <m/>
  </r>
  <r>
    <x v="1"/>
    <x v="6"/>
    <d v="2024-11-13T00:00:00"/>
    <n v="315"/>
    <s v="NA"/>
    <s v="NA "/>
    <s v="Bogotá - Belencito"/>
    <x v="4"/>
    <s v="01/11/2024- 30/11/2024"/>
    <s v="ARRIENDO ESPACIO CUBIERTO AL INTERIOR DEL NUEVO TALLER ANI, UBICADO EN LAS INSTALACIONES DEL KILÓMETRO 5, CON UN AREA DE 1.986.8 METROS CUADRADOS"/>
    <n v="40192964"/>
    <n v="6417364"/>
    <n v="33775600"/>
    <n v="135102"/>
    <n v="33640498"/>
    <n v="33640498"/>
    <n v="2024"/>
    <n v="11"/>
    <d v="2024-11-27T00:00:00"/>
    <n v="0"/>
    <m/>
  </r>
  <r>
    <x v="1"/>
    <x v="6"/>
    <d v="2024-11-13T00:00:00"/>
    <n v="316"/>
    <s v="NA"/>
    <s v="NA "/>
    <s v="Bogotá - Belencito"/>
    <x v="3"/>
    <s v="01/11/2024- 30/11/2024"/>
    <s v="ARRIENDO DE ESPACIO DE 241.42 M2, UBICADA EN EL KM5"/>
    <n v="5325504.01"/>
    <n v="850290.56"/>
    <n v="4475213.4499999993"/>
    <n v="17901"/>
    <n v="4457312.4499999993"/>
    <n v="4457312.4499999993"/>
    <n v="2025"/>
    <n v="2"/>
    <d v="2024-02-26T00:00:00"/>
    <n v="0"/>
    <m/>
  </r>
  <r>
    <x v="1"/>
    <x v="6"/>
    <d v="2024-11-13T00:00:00"/>
    <n v="317"/>
    <s v="NA"/>
    <s v="NA "/>
    <s v="Bogotá - Belencito"/>
    <x v="3"/>
    <s v="01/11/2024- 30/11/2024"/>
    <s v="ARRIENDO DE AREA DE 500 M2, UBICADA EN EL KM5"/>
    <n v="4804172.8"/>
    <n v="767052.80000000005"/>
    <n v="4037120"/>
    <n v="16148"/>
    <n v="4020972"/>
    <n v="4020972"/>
    <n v="2025"/>
    <n v="2"/>
    <d v="2025-02-26T00:00:00"/>
    <n v="0"/>
    <m/>
  </r>
  <r>
    <x v="1"/>
    <x v="6"/>
    <d v="2024-11-13T00:00:00"/>
    <n v="318"/>
    <s v="NA"/>
    <s v="NA "/>
    <s v="Bogotá - Belencito"/>
    <x v="3"/>
    <s v="01/11/2024- 30/11/2024"/>
    <s v="ARRIENDO DE BODEGA DE 128,2 M2, UBICADO EN KM 5"/>
    <n v="3090399.06"/>
    <n v="493425.06"/>
    <n v="2596974"/>
    <n v="10388"/>
    <n v="2586586"/>
    <n v="2586586"/>
    <n v="2025"/>
    <n v="2"/>
    <d v="2025-02-26T00:00:00"/>
    <n v="0"/>
    <m/>
  </r>
  <r>
    <x v="1"/>
    <x v="7"/>
    <d v="2024-12-09T00:00:00"/>
    <n v="331"/>
    <s v="NA"/>
    <s v="NA "/>
    <s v="Bogotá - Belencito"/>
    <x v="2"/>
    <s v="01/12/2024- 30/12/2024"/>
    <s v="ARRIENDO BODEGA  CON UNA AREA DE 1,117 M2 UBICADA EN KM5"/>
    <n v="29371348.52"/>
    <n v="4689543.04"/>
    <n v="24681805.48"/>
    <n v="98727"/>
    <n v="24583078.48"/>
    <n v="24583078.48"/>
    <n v="2025"/>
    <n v="4"/>
    <d v="2025-04-23T00:00:00"/>
    <n v="0"/>
    <m/>
  </r>
  <r>
    <x v="1"/>
    <x v="7"/>
    <d v="2024-12-09T00:00:00"/>
    <n v="332"/>
    <s v="NA"/>
    <s v="NA "/>
    <s v="Bogotá - Belencito"/>
    <x v="4"/>
    <s v="01/12/2024- 30/12/2024"/>
    <s v="ARRIENDO ESPACIO CUBIERTO AL INTERIOR DEL NUEVO TALLER ANI, UBICADO EN LAS INSTALACIONES DEL KILÓMETRO 5, CON UN AREA DE 1.986.8 METROS CUADRADOS"/>
    <n v="40192964"/>
    <n v="6417364"/>
    <n v="33775600"/>
    <n v="135102"/>
    <n v="33640498"/>
    <n v="33640498"/>
    <n v="2025"/>
    <n v="5"/>
    <d v="2025-05-28T00:00:00"/>
    <n v="0"/>
    <m/>
  </r>
  <r>
    <x v="1"/>
    <x v="7"/>
    <d v="2024-12-09T00:00:00"/>
    <n v="328"/>
    <s v="NA"/>
    <s v="NA "/>
    <s v="Bogotá - Belencito"/>
    <x v="3"/>
    <s v="01/12/2024- 30/12/2024"/>
    <s v="ARRIENDO DE ESPACIO DE 241.42 M2, UBICADA EN EL KM5"/>
    <n v="5819710.7800000003"/>
    <n v="929197.52"/>
    <n v="4890513.26"/>
    <n v="19562"/>
    <n v="4870951.26"/>
    <n v="4870951.26"/>
    <n v="2025"/>
    <n v="4"/>
    <d v="2025-04-23T00:00:00"/>
    <n v="0"/>
    <m/>
  </r>
  <r>
    <x v="1"/>
    <x v="7"/>
    <d v="2024-12-09T00:00:00"/>
    <n v="329"/>
    <s v="NA"/>
    <s v="NA "/>
    <s v="Bogotá - Belencito"/>
    <x v="3"/>
    <s v="01/12/2024- 30/12/2024"/>
    <s v="ARRIENDO DE AREA DE 500 M2, UBICADA EN EL KM5"/>
    <n v="5201728"/>
    <n v="830528"/>
    <n v="4371200"/>
    <n v="17485"/>
    <n v="4353715"/>
    <n v="4353715"/>
    <n v="2025"/>
    <n v="4"/>
    <d v="2025-04-23T00:00:00"/>
    <n v="0"/>
    <m/>
  </r>
  <r>
    <x v="1"/>
    <x v="7"/>
    <d v="2024-12-09T00:00:00"/>
    <n v="330"/>
    <s v="NA"/>
    <s v="NA "/>
    <s v="Bogotá - Belencito"/>
    <x v="3"/>
    <s v="01/12/2024- 30/12/2024"/>
    <s v="ARRIENDO DE BODEGA DE 128,2 M2, UBICADO EN KM 5"/>
    <n v="3090399.06"/>
    <n v="493425.06"/>
    <n v="2596974"/>
    <n v="10388"/>
    <n v="2586586"/>
    <n v="366977.92973828316"/>
    <n v="2025"/>
    <n v="2"/>
    <d v="2025-02-26T00:00:00"/>
    <n v="2219608.0702617168"/>
    <m/>
  </r>
  <r>
    <x v="1"/>
    <x v="7"/>
    <d v="2024-12-09T00:00:00"/>
    <n v="330"/>
    <s v="NA"/>
    <s v="NA "/>
    <s v="Bogotá - Belencito"/>
    <x v="3"/>
    <s v="01/12/2024- 30/12/2024"/>
    <s v="ARRIENDO DE BODEGA DE 128,2 M2, UBICADO EN KM 6"/>
    <m/>
    <m/>
    <n v="0"/>
    <n v="0"/>
    <m/>
    <n v="1574619.6085938399"/>
    <n v="2025"/>
    <n v="4"/>
    <d v="2025-04-23T00:00:00"/>
    <n v="-1574619.6085938399"/>
    <m/>
  </r>
  <r>
    <x v="1"/>
    <x v="7"/>
    <d v="2024-12-09T00:00:00"/>
    <n v="330"/>
    <s v="NA"/>
    <s v="NA "/>
    <s v="Bogotá - Belencito"/>
    <x v="3"/>
    <s v="01/12/2024- 30/12/2024"/>
    <s v="ARRIENDO DE BODEGA DE 128,2 M2, UBICADO EN KM 5"/>
    <m/>
    <m/>
    <n v="0"/>
    <n v="0"/>
    <n v="0"/>
    <n v="644988.46"/>
    <n v="2025"/>
    <n v="5"/>
    <d v="2025-05-28T00:00:00"/>
    <n v="-644988.46"/>
    <m/>
  </r>
  <r>
    <x v="1"/>
    <x v="7"/>
    <d v="2024-12-09T00:00:00"/>
    <n v="334"/>
    <s v="NA"/>
    <s v="NA "/>
    <s v="Bogotá - Belencito"/>
    <x v="2"/>
    <s v="01/06/2024-28/06/2024"/>
    <s v="ARRIENDO BODEGA  CON UNA AREA DE 1,117 M2 UBICADA EN KM5"/>
    <n v="2327918.61"/>
    <n v="371684.48"/>
    <n v="1956234.13"/>
    <n v="7825"/>
    <n v="1948409.13"/>
    <n v="1948409.13"/>
    <n v="2025"/>
    <n v="2"/>
    <d v="2025-02-26T00:00:00"/>
    <n v="0"/>
    <s v="Ajuste retroactivo del canon de arrendamiento correspondiente al periodo del 1 al 28 de junio de 2024, aplicando IPC más IVA. Este valor se requiere para quedar a paz y salvo del mes de junio de 2024, considerando que  los dias 29 y 30 ya se consignaron a la agencia nacional de infraestructura en la factura 265."/>
  </r>
  <r>
    <x v="2"/>
    <x v="8"/>
    <d v="2025-01-14T00:00:00"/>
    <n v="358"/>
    <s v="NA"/>
    <s v="NA "/>
    <s v="Bogotá - Belencito"/>
    <x v="2"/>
    <s v="01/1/2025- 30/1/2025"/>
    <s v="ARRIENDO BODEGA  CON UNA AREA DE 1,117 M2 UBICADA EN KM5"/>
    <n v="29371348.52"/>
    <n v="4689543.0410084017"/>
    <n v="24681805.478991598"/>
    <n v="98727"/>
    <n v="24583078.478991598"/>
    <n v="24583078.478991598"/>
    <n v="2025"/>
    <n v="7"/>
    <d v="2025-07-07T00:00:00"/>
    <n v="0"/>
    <m/>
  </r>
  <r>
    <x v="2"/>
    <x v="8"/>
    <d v="2025-01-17T00:00:00"/>
    <n v="356"/>
    <s v="NA"/>
    <s v="NA "/>
    <s v="Bogotá - Belencito"/>
    <x v="4"/>
    <s v="01/1/2025- 30/1/2025"/>
    <s v="ARRIENDO ESPACIO CUBIERTO AL INTERIOR DEL NUEVO TALLER ANI, UBICADO EN LAS INSTALACIONES DEL KILÓMETRO 5, CON UN AREA DE 1.986.8 METROS CUADRADOS"/>
    <n v="42282998.127999999"/>
    <n v="6751066.9279999956"/>
    <n v="35531931.200000003"/>
    <n v="142128"/>
    <n v="35389803.200000003"/>
    <n v="35389803.200000003"/>
    <n v="2025"/>
    <n v="7"/>
    <d v="2025-07-07T00:00:00"/>
    <n v="0"/>
    <m/>
  </r>
  <r>
    <x v="2"/>
    <x v="8"/>
    <d v="2025-01-17T00:00:00"/>
    <n v="353"/>
    <s v="NA"/>
    <s v="NA "/>
    <s v="Bogotá - Belencito"/>
    <x v="3"/>
    <s v="01/1/2025- 30/1/2025"/>
    <s v="ARRIENDO DE ESPACIO DE 241.42 M2, UBICADA EN EL KM5"/>
    <n v="5819710.7800000003"/>
    <n v="929197.51949579827"/>
    <n v="4890513.260504202"/>
    <n v="19562"/>
    <n v="4870951.260504202"/>
    <n v="4870951.260504202"/>
    <n v="2025"/>
    <n v="7"/>
    <d v="2025-07-07T00:00:00"/>
    <n v="0"/>
    <m/>
  </r>
  <r>
    <x v="2"/>
    <x v="8"/>
    <d v="2025-01-17T00:00:00"/>
    <n v="354"/>
    <s v="NA"/>
    <s v="NA "/>
    <s v="Bogotá - Belencito"/>
    <x v="3"/>
    <s v="01/1/2025- 30/1/2025"/>
    <s v="ARRIENDO DE AREA DE 500 M2, UBICADA EN EL KM5"/>
    <n v="5201728"/>
    <n v="830528"/>
    <n v="4371200"/>
    <n v="17485"/>
    <n v="4353715"/>
    <m/>
    <m/>
    <m/>
    <m/>
    <n v="4353715"/>
    <m/>
  </r>
  <r>
    <x v="2"/>
    <x v="8"/>
    <d v="2025-01-17T00:00:00"/>
    <n v="354"/>
    <s v="NA"/>
    <s v="NA "/>
    <s v="Bogotá - Belencito"/>
    <x v="3"/>
    <s v="01/1/2025- 30/1/2025"/>
    <s v="ARRIENDO DE AREA DE 500 M2, UBICADA EN EL KM6"/>
    <m/>
    <n v="0"/>
    <n v="0"/>
    <n v="0"/>
    <n v="0"/>
    <n v="3954701.6"/>
    <n v="2025"/>
    <n v="7"/>
    <d v="2025-07-07T00:00:00"/>
    <n v="-3954701.6"/>
    <m/>
  </r>
  <r>
    <x v="3"/>
    <x v="8"/>
    <d v="2025-01-17T00:00:00"/>
    <n v="354"/>
    <s v="NA"/>
    <s v="NA "/>
    <s v="Bogotá - Belencito"/>
    <x v="3"/>
    <s v="01/1/2025- 30/1/2025"/>
    <s v="ARRIENDO DE AREA DE 500 M2, UBICADA EN EL KM7"/>
    <m/>
    <n v="0"/>
    <n v="0"/>
    <n v="0"/>
    <n v="0"/>
    <n v="399013.4"/>
    <n v="2025"/>
    <n v="8"/>
    <d v="2025-08-04T00:00:00"/>
    <n v="-399013.4"/>
    <m/>
  </r>
  <r>
    <x v="2"/>
    <x v="8"/>
    <d v="2025-01-17T00:00:00"/>
    <n v="355"/>
    <s v="NA"/>
    <s v="NA "/>
    <s v="Bogotá - Belencito"/>
    <x v="3"/>
    <s v="01/1/2025- 30/1/2025"/>
    <s v="ARRIENDO DE BODEGA DE 128,2 M2, UBICADO EN KM 5"/>
    <n v="3090399.06"/>
    <n v="493425.06000000006"/>
    <n v="2596974"/>
    <n v="10388"/>
    <n v="2586586"/>
    <m/>
    <m/>
    <m/>
    <m/>
    <n v="2586586"/>
    <m/>
  </r>
  <r>
    <x v="2"/>
    <x v="8"/>
    <d v="2025-01-17T00:00:00"/>
    <n v="355"/>
    <s v="NA"/>
    <s v="NA "/>
    <s v="Bogotá - Belencito"/>
    <x v="3"/>
    <s v="01/1/2025- 30/1/2025"/>
    <s v="ARRIENDO DE BODEGA DE 128,2 M2, UBICADO EN KM 5"/>
    <m/>
    <m/>
    <n v="0"/>
    <m/>
    <n v="0"/>
    <n v="347368.41833211499"/>
    <n v="2025"/>
    <n v="5"/>
    <d v="2025-05-28T00:00:00"/>
    <n v="-347368.41833211499"/>
    <m/>
  </r>
  <r>
    <x v="2"/>
    <x v="8"/>
    <d v="2025-01-17T00:00:00"/>
    <n v="356"/>
    <s v="NA"/>
    <s v="NA "/>
    <s v="Bogotá - Belencito"/>
    <x v="3"/>
    <s v="01/1/2025- 30/1/2025"/>
    <s v="ARRIENDO DE BODEGA DE 128,2 M2, UBICADO EN KM 6"/>
    <m/>
    <m/>
    <n v="0"/>
    <m/>
    <n v="0"/>
    <n v="2239217.58"/>
    <n v="2025"/>
    <n v="7"/>
    <d v="2025-07-07T00:00:00"/>
    <n v="-2239217.58"/>
    <m/>
  </r>
  <r>
    <x v="2"/>
    <x v="9"/>
    <d v="2025-02-11T00:00:00"/>
    <n v="366"/>
    <s v="NA"/>
    <s v="NA "/>
    <s v="Bogotá - Belencito"/>
    <x v="4"/>
    <s v="01/02/2025- 28/02/2025"/>
    <s v="ARRIENDO ESPACIO CUBIERTO AL INTERIOR DEL NUEVO TALLER ANI, UBICADO EN LAS INSTALACIONES DEL KILÓMETRO 5, CON UN AREA DE 1.986.8 METROS CUADRADOS"/>
    <n v="42282998.127999999"/>
    <n v="6751066.9279999956"/>
    <n v="35531931.200000003"/>
    <n v="142128"/>
    <n v="35389803.200000003"/>
    <n v="35389803.200000003"/>
    <n v="2025"/>
    <n v="8"/>
    <d v="2025-08-04T00:00:00"/>
    <n v="0"/>
    <m/>
  </r>
  <r>
    <x v="2"/>
    <x v="9"/>
    <d v="2025-02-11T00:00:00"/>
    <n v="367"/>
    <s v="NA"/>
    <s v="NA "/>
    <s v="Bogotá - Belencito"/>
    <x v="2"/>
    <s v="01/02/2025- 28/02/2025"/>
    <s v="ARRIENDO BODEGA  CON UNA AREA DE 1,117 M2 UBICADA EN KM5"/>
    <n v="29371348.52"/>
    <n v="4689543.0410084017"/>
    <n v="24681805.478991598"/>
    <n v="98727"/>
    <n v="24583078.478991598"/>
    <n v="24583078.478991598"/>
    <n v="2025"/>
    <n v="8"/>
    <d v="2025-08-04T00:00:00"/>
    <n v="0"/>
    <m/>
  </r>
  <r>
    <x v="2"/>
    <x v="9"/>
    <d v="2025-02-11T00:00:00"/>
    <n v="368"/>
    <s v="NA"/>
    <s v="NA "/>
    <s v="Bogotá - Belencito"/>
    <x v="3"/>
    <s v="01/02/2025- 28/02/2025"/>
    <s v="ARRIENDO DE ESPACIO DE 241.42 M2, UBICADA EN EL KM5"/>
    <n v="5819710.7800000003"/>
    <n v="929197.51949579827"/>
    <n v="4890513.260504202"/>
    <n v="19562"/>
    <n v="4870951.260504202"/>
    <n v="4870951.260504202"/>
    <n v="2025"/>
    <n v="8"/>
    <d v="2025-08-04T00:00:00"/>
    <n v="0"/>
    <m/>
  </r>
  <r>
    <x v="2"/>
    <x v="9"/>
    <d v="2025-02-11T00:00:00"/>
    <n v="369"/>
    <s v="NA"/>
    <s v="NA "/>
    <s v="Bogotá - Belencito"/>
    <x v="3"/>
    <s v="01/02/2025- 28/02/2025"/>
    <s v="ARRIENDO DE AREA DE 500 M2, UBICADA EN EL KM5"/>
    <n v="5201728"/>
    <n v="830528"/>
    <n v="4371200"/>
    <n v="17485"/>
    <n v="4353715"/>
    <n v="4353715"/>
    <n v="2025"/>
    <n v="8"/>
    <d v="2025-08-04T00:00:00"/>
    <n v="0"/>
    <m/>
  </r>
  <r>
    <x v="2"/>
    <x v="9"/>
    <d v="2025-02-11T00:00:00"/>
    <n v="370"/>
    <s v="NA"/>
    <s v="NA "/>
    <s v="Bogotá - Belencito"/>
    <x v="3"/>
    <s v="01/02/2025- 28/02/2025"/>
    <s v="ARRIENDO DE BODEGA DE 128,2 M2, UBICADO EN KM 5"/>
    <n v="3090399.06"/>
    <n v="493425.06000000006"/>
    <n v="2596974"/>
    <n v="10388"/>
    <n v="2586586"/>
    <n v="2586586"/>
    <n v="2025"/>
    <n v="8"/>
    <d v="2025-08-04T00:00:00"/>
    <n v="0"/>
    <m/>
  </r>
  <r>
    <x v="2"/>
    <x v="10"/>
    <d v="2025-03-13T00:00:00"/>
    <n v="381"/>
    <s v="NA"/>
    <s v="NA "/>
    <s v="Bogotá - Belencito"/>
    <x v="4"/>
    <s v="01/03/2025- 30/03/2025"/>
    <s v="ARRIENDO ESPACIO CUBIERTO AL INTERIOR DEL NUEVO TALLER ANI, UBICADO EN LAS INSTALACIONES DEL KILÓMETRO 5, CON UN AREA DE 1.986.8 METROS CUADRADOS"/>
    <n v="42282998.127999999"/>
    <n v="6751066.9279999956"/>
    <n v="35531931.200000003"/>
    <n v="142128"/>
    <n v="35389803.200000003"/>
    <n v="35389803.200000003"/>
    <n v="2025"/>
    <n v="9"/>
    <d v="2025-09-04T00:00:00"/>
    <n v="0"/>
    <m/>
  </r>
  <r>
    <x v="2"/>
    <x v="10"/>
    <d v="2025-03-13T00:00:00"/>
    <n v="383"/>
    <s v="NA"/>
    <s v="NA "/>
    <s v="Bogotá - Belencito"/>
    <x v="3"/>
    <s v="01/03/2025- 30/03/2025"/>
    <s v="ARRIENDO DE ESPACIO DE 241.42 M2, UBICADA EN EL KM5"/>
    <n v="5819710.7800000003"/>
    <n v="929197.51949579827"/>
    <n v="4890513.260504202"/>
    <n v="19562"/>
    <n v="4870951.260504202"/>
    <n v="4870951.260504202"/>
    <n v="2025"/>
    <n v="8"/>
    <d v="2025-08-05T00:00:00"/>
    <n v="0"/>
    <m/>
  </r>
  <r>
    <x v="2"/>
    <x v="10"/>
    <d v="2025-03-13T00:00:00"/>
    <n v="384"/>
    <s v="NA"/>
    <s v="NA "/>
    <s v="Bogotá - Belencito"/>
    <x v="3"/>
    <s v="01/03/2025- 30/03/2025"/>
    <s v="ARRIENDO DE AREA DE 500 M2, UBICADA EN EL KM5"/>
    <n v="5201728"/>
    <n v="830528"/>
    <n v="4371200"/>
    <n v="17485"/>
    <n v="4353715"/>
    <n v="4353715"/>
    <n v="2025"/>
    <n v="8"/>
    <d v="2025-08-06T00:00:00"/>
    <n v="0"/>
    <m/>
  </r>
  <r>
    <x v="2"/>
    <x v="10"/>
    <d v="2025-03-13T00:00:00"/>
    <n v="385"/>
    <s v="NA"/>
    <s v="NA "/>
    <s v="Bogotá - Belencito"/>
    <x v="3"/>
    <s v="01/03/2025- 30/03/2025"/>
    <s v="ARRIENDO DE BODEGA DE 128,2 M2, UBICADO EN KM 5"/>
    <n v="3181462.82"/>
    <n v="507964.65193277318"/>
    <n v="2673498.1680672267"/>
    <n v="10694"/>
    <n v="2662804.1680672267"/>
    <n v="2662804.1680672267"/>
    <n v="2025"/>
    <n v="8"/>
    <d v="2025-08-07T00:00:00"/>
    <n v="0"/>
    <m/>
  </r>
  <r>
    <x v="2"/>
    <x v="10"/>
    <d v="2025-03-13T00:00:00"/>
    <n v="386"/>
    <s v="NA"/>
    <s v="NA "/>
    <s v="Bogotá - Belencito"/>
    <x v="2"/>
    <s v="01/03/2025- 30/03/2025"/>
    <s v="ARRIENDO BODEGA  CON UNA AREA DE 1,117 M2 UBICADA EN KM5"/>
    <n v="30236824.25"/>
    <n v="4827728.2415966392"/>
    <n v="25409096.008403361"/>
    <n v="101636"/>
    <n v="25307460.008403361"/>
    <n v="25307460.008403361"/>
    <n v="2025"/>
    <n v="9"/>
    <d v="2025-09-04T00:00:00"/>
    <n v="0"/>
    <m/>
  </r>
  <r>
    <x v="2"/>
    <x v="10"/>
    <d v="2025-03-31T00:00:00"/>
    <n v="393"/>
    <s v="NA"/>
    <s v="NA "/>
    <s v="Bogotá - Belencito"/>
    <x v="5"/>
    <s v="27/01/2025-30/01/2025"/>
    <s v="ARRIENDO DE BODEGA CON UN AREA DE 240 M2 UBICADA EN EL KM5"/>
    <n v="885194.88"/>
    <n v="141333.63630252099"/>
    <n v="743861.24369747902"/>
    <n v="2975"/>
    <n v="740886.24369747902"/>
    <m/>
    <m/>
    <m/>
    <m/>
    <n v="740886.24369747902"/>
    <m/>
  </r>
  <r>
    <x v="2"/>
    <x v="10"/>
    <d v="2025-03-31T00:00:00"/>
    <n v="394"/>
    <s v="NA"/>
    <s v="NA "/>
    <s v="Bogotá - Belencito"/>
    <x v="5"/>
    <s v="1/02/2025-28/02/2025"/>
    <s v="ARRIENDO DE BODEGA CON UN AREA DE 240 M2 UBICADA EN EL KM5"/>
    <n v="6638961.5999999996"/>
    <n v="1060002.2722689072"/>
    <n v="5578959.3277310925"/>
    <n v="22316"/>
    <n v="5556643.3277310925"/>
    <m/>
    <m/>
    <m/>
    <m/>
    <n v="5556643.3277310925"/>
    <m/>
  </r>
  <r>
    <x v="2"/>
    <x v="10"/>
    <d v="2025-03-31T00:00:00"/>
    <n v="395"/>
    <s v="NA"/>
    <s v="NA "/>
    <s v="Bogotá - Belencito"/>
    <x v="5"/>
    <s v="1/03/2025-30/03/2025"/>
    <s v="ARRIENDO DE BODEGA CON UN AREA DE 240 M2 UBICADA EN EL KM5"/>
    <n v="6638961.5999999996"/>
    <n v="1060002.2722689072"/>
    <n v="5578959.3277310925"/>
    <n v="22316"/>
    <n v="5556643.3277310925"/>
    <m/>
    <m/>
    <m/>
    <m/>
    <n v="5556643.3277310925"/>
    <m/>
  </r>
  <r>
    <x v="2"/>
    <x v="10"/>
    <d v="2025-03-31T00:00:00"/>
    <n v="397"/>
    <s v="NA"/>
    <s v="NA "/>
    <s v="Bogotá - Belencito"/>
    <x v="5"/>
    <s v="27/01/2025-30/01/2025"/>
    <s v="ARRIENDO DE LOTE DE 30M2 UBICADO EN EL KM5"/>
    <n v="49936.59"/>
    <n v="7973.0689915966359"/>
    <n v="41963.521008403361"/>
    <n v="168"/>
    <n v="41795.521008403361"/>
    <m/>
    <m/>
    <m/>
    <m/>
    <n v="41795.521008403361"/>
    <m/>
  </r>
  <r>
    <x v="2"/>
    <x v="10"/>
    <d v="2025-03-31T00:00:00"/>
    <n v="398"/>
    <s v="NA"/>
    <s v="NA "/>
    <s v="Bogotá - Belencito"/>
    <x v="5"/>
    <s v="1/02/2025-28/02/2025"/>
    <s v="ARRIENDO DE LOTE DE 30M2 UBICADO EN EL KM5"/>
    <n v="374524.42"/>
    <n v="59798.016638655448"/>
    <n v="314726.40336134454"/>
    <n v="1259"/>
    <n v="313467.40336134454"/>
    <m/>
    <m/>
    <m/>
    <m/>
    <n v="313467.40336134454"/>
    <m/>
  </r>
  <r>
    <x v="2"/>
    <x v="10"/>
    <d v="2025-03-31T00:00:00"/>
    <n v="399"/>
    <s v="NA"/>
    <s v="NA "/>
    <s v="Bogotá - Belencito"/>
    <x v="5"/>
    <s v="1/03/2025-30/03/2025"/>
    <s v="ARRIENDO DE LOTE DE 30M2 UBICADO EN EL KM5"/>
    <n v="374524.42"/>
    <n v="59798.016638655448"/>
    <n v="314726.40336134454"/>
    <n v="1259"/>
    <n v="313467.40336134454"/>
    <m/>
    <m/>
    <m/>
    <m/>
    <n v="313467.40336134454"/>
    <m/>
  </r>
  <r>
    <x v="2"/>
    <x v="11"/>
    <d v="2025-04-23T00:00:00"/>
    <n v="407"/>
    <s v="NA"/>
    <s v="NA "/>
    <s v="Bogotá - Belencito"/>
    <x v="4"/>
    <s v="01/04/2025- 30/04/2025"/>
    <s v="ARRIENDO ESPACIO CUBIERTO AL INTERIOR DEL NUEVO TALLER ANI, UBICADO EN LAS INSTALACIONES DEL KILÓMETRO 5, CON UN AREA DE 1.986.8 METROS CUADRADOS"/>
    <n v="42282998.127999999"/>
    <n v="6751066.9279999956"/>
    <n v="35531931.200000003"/>
    <n v="142128"/>
    <n v="35389803.200000003"/>
    <m/>
    <m/>
    <m/>
    <m/>
    <n v="35389803.200000003"/>
    <m/>
  </r>
  <r>
    <x v="2"/>
    <x v="11"/>
    <d v="2025-04-23T00:00:00"/>
    <n v="404"/>
    <s v="NA"/>
    <s v="NA "/>
    <s v="Bogotá - Belencito"/>
    <x v="3"/>
    <s v="01/04/2025- 30/04/2025"/>
    <s v="ARRIENDO DE ESPACIO DE 241.42 M2, UBICADA EN EL KM5"/>
    <n v="5819710.7800000003"/>
    <n v="929197.51949579827"/>
    <n v="4890513.260504202"/>
    <n v="19562"/>
    <n v="4870951.260504202"/>
    <n v="4870951.260504202"/>
    <n v="2025"/>
    <n v="9"/>
    <d v="2025-09-04T00:00:00"/>
    <n v="0"/>
    <m/>
  </r>
  <r>
    <x v="2"/>
    <x v="11"/>
    <d v="2025-04-23T00:00:00"/>
    <n v="405"/>
    <s v="NA"/>
    <s v="NA "/>
    <s v="Bogotá - Belencito"/>
    <x v="3"/>
    <s v="01/04/2025- 30/04/2025"/>
    <s v="ARRIENDO DE AREA DE 500 M2, UBICADA EN EL KM5"/>
    <n v="5201728"/>
    <n v="830528"/>
    <n v="4371200"/>
    <n v="17485"/>
    <n v="4353715"/>
    <m/>
    <m/>
    <m/>
    <m/>
    <n v="4353715"/>
    <m/>
  </r>
  <r>
    <x v="2"/>
    <x v="11"/>
    <d v="2025-04-23T00:00:00"/>
    <n v="406"/>
    <s v="NA"/>
    <s v="NA "/>
    <s v="Bogotá - Belencito"/>
    <x v="3"/>
    <s v="01/04/2025- 30/04/2025"/>
    <s v="ARRIENDO DE AREA DE 500 M2, UBICADA EN EL KM6"/>
    <m/>
    <m/>
    <n v="0"/>
    <n v="0"/>
    <n v="0"/>
    <n v="2843707.63"/>
    <n v="2025"/>
    <n v="9"/>
    <d v="2025-09-04T00:00:00"/>
    <n v="-2843707.63"/>
    <m/>
  </r>
  <r>
    <x v="2"/>
    <x v="11"/>
    <d v="2025-04-23T00:00:00"/>
    <n v="406"/>
    <s v="NA"/>
    <s v="NA "/>
    <s v="Bogotá - Belencito"/>
    <x v="3"/>
    <s v="01/04/2025- 30/04/2025"/>
    <s v="ARRIENDO DE BODEGA DE 128,2 M2, UBICADO EN KM 5"/>
    <n v="3251099.81"/>
    <n v="519083.16294117644"/>
    <n v="2732016.6470588236"/>
    <n v="10928"/>
    <n v="2721088.6470588236"/>
    <m/>
    <m/>
    <m/>
    <m/>
    <n v="2721088.6470588236"/>
    <m/>
  </r>
  <r>
    <x v="2"/>
    <x v="11"/>
    <d v="2025-04-23T00:00:00"/>
    <n v="406"/>
    <s v="NA"/>
    <s v="NA "/>
    <s v="Bogotá - Belencito"/>
    <x v="3"/>
    <s v="01/04/2025- 30/04/2025"/>
    <s v="ARRIENDO DE BODEGA DE 128,2 M2, UBICADO EN KM 6"/>
    <m/>
    <n v="0"/>
    <n v="0"/>
    <n v="0"/>
    <n v="0"/>
    <n v="1473439.13"/>
    <n v="2025"/>
    <n v="8"/>
    <d v="2025-08-04T00:00:00"/>
    <n v="-1473439.13"/>
    <m/>
  </r>
  <r>
    <x v="2"/>
    <x v="11"/>
    <d v="2025-04-23T00:00:00"/>
    <n v="406"/>
    <s v="NA"/>
    <s v="NA "/>
    <s v="Bogotá - Belencito"/>
    <x v="3"/>
    <s v="01/04/2025- 30/04/2025"/>
    <s v="ARRIENDO DE BODEGA DE 128,2 M2, UBICADO EN KM 7"/>
    <m/>
    <n v="0"/>
    <n v="0"/>
    <n v="0"/>
    <n v="0"/>
    <n v="1247649.52"/>
    <n v="2025"/>
    <n v="9"/>
    <d v="2025-09-04T00:00:00"/>
    <n v="-1247649.52"/>
    <m/>
  </r>
  <r>
    <x v="2"/>
    <x v="11"/>
    <d v="2025-04-23T00:00:00"/>
    <n v="408"/>
    <s v="NA"/>
    <s v="NA "/>
    <s v="Bogotá - Belencito"/>
    <x v="2"/>
    <s v="01/04/2025- 30/04/2025"/>
    <s v="ARRIENDO BODEGA  CON UNA AREA DE 1,117 M2 UBICADA EN KM5"/>
    <n v="30898658.640000001"/>
    <n v="4933399.278655462"/>
    <n v="25965259.361344539"/>
    <n v="103861"/>
    <n v="25861398.361344539"/>
    <m/>
    <m/>
    <m/>
    <m/>
    <n v="25861398.361344539"/>
    <m/>
  </r>
  <r>
    <x v="2"/>
    <x v="11"/>
    <d v="2025-04-10T00:00:00"/>
    <s v="Nota credito No 2-65"/>
    <n v="65"/>
    <n v="393"/>
    <s v="Bogotá - Belencito"/>
    <x v="5"/>
    <s v="27/01/2025-30/01/2025"/>
    <s v="ARRIENDO DE BODEGA CON UN AREA DE 240 M2 UBICADA EN EL KM5"/>
    <n v="-885194.88"/>
    <n v="-141333.63630252099"/>
    <n v="-743861.24369747902"/>
    <n v="-2975"/>
    <n v="-740886.24369747902"/>
    <m/>
    <m/>
    <m/>
    <m/>
    <n v="-740886.24369747902"/>
    <s v="Como la factura 393 se anulo, se reemplaza por la factura 410"/>
  </r>
  <r>
    <x v="2"/>
    <x v="11"/>
    <d v="2025-04-10T00:00:00"/>
    <s v="Nota credito No 2-66"/>
    <n v="66"/>
    <n v="394"/>
    <s v="Bogotá - Belencito"/>
    <x v="5"/>
    <s v="1/02/2025-28/02/2025"/>
    <s v="ARRIENDO DE BODEGA CON UN AREA DE 240 M2 UBICADA EN EL KM5"/>
    <n v="-6638961.5999999996"/>
    <n v="-1060002.2722689072"/>
    <n v="-5578959.3277310925"/>
    <n v="-22316"/>
    <n v="-5556643.3277310925"/>
    <m/>
    <m/>
    <m/>
    <m/>
    <n v="-5556643.3277310925"/>
    <s v="Como la factura 394 se anulo, se reemplaza por la factura 411"/>
  </r>
  <r>
    <x v="2"/>
    <x v="11"/>
    <d v="2025-04-10T00:00:00"/>
    <s v="Nota credito No 2-67"/>
    <n v="67"/>
    <n v="395"/>
    <s v="Bogotá - Belencito"/>
    <x v="5"/>
    <s v="1/03/2025-30/03/2025"/>
    <s v="ARRIENDO DE BODEGA CON UN AREA DE 240 M2 UBICADA EN EL KM5"/>
    <n v="-6638961.5999999996"/>
    <n v="-1060002.2722689072"/>
    <n v="-5578959.3277310925"/>
    <n v="-22316"/>
    <n v="-5556643.3277310925"/>
    <m/>
    <m/>
    <m/>
    <m/>
    <n v="-5556643.3277310925"/>
    <s v="Como la factura 395 se anulo, se reemplaza por la factura 412"/>
  </r>
  <r>
    <x v="2"/>
    <x v="11"/>
    <d v="2025-04-10T00:00:00"/>
    <s v="Nota credito No 2-68"/>
    <n v="68"/>
    <n v="397"/>
    <s v="Bogotá - Belencito"/>
    <x v="5"/>
    <s v="27/01/2025-30/01/2025"/>
    <s v="ARRIENDO DE LOTE DE 30M2 UBICADO EN EL KM5"/>
    <n v="-49936.59"/>
    <n v="-7973.0689915966359"/>
    <n v="-41963.521008403361"/>
    <n v="-168"/>
    <n v="-41795.521008403361"/>
    <m/>
    <m/>
    <m/>
    <m/>
    <n v="-41795.521008403361"/>
    <s v="Como la factura 397 se anulo, se reemplaza por la factura 413"/>
  </r>
  <r>
    <x v="2"/>
    <x v="11"/>
    <d v="2025-04-10T00:00:00"/>
    <s v="Nota credito No 2-69"/>
    <n v="69"/>
    <n v="398"/>
    <s v="Bogotá - Belencito"/>
    <x v="5"/>
    <s v="1/02/2025-28/02/2025"/>
    <s v="ARRIENDO DE LOTE DE 30M2 UBICADO EN EL KM5"/>
    <n v="-374524.42"/>
    <n v="-59798.016638655448"/>
    <n v="-314726.40336134454"/>
    <n v="-1259"/>
    <n v="-313467.40336134454"/>
    <m/>
    <m/>
    <m/>
    <m/>
    <n v="-313467.40336134454"/>
    <s v="Como la factura 398 se anulo, se reemplaza por la factura 414"/>
  </r>
  <r>
    <x v="2"/>
    <x v="11"/>
    <d v="2025-04-10T00:00:00"/>
    <s v="Nota credito No 2-70"/>
    <n v="70"/>
    <n v="399"/>
    <s v="Bogotá - Belencito"/>
    <x v="5"/>
    <s v="1/03/2025-30/03/2025"/>
    <s v="ARRIENDO DE LOTE DE 30M2 UBICADO EN EL KM5"/>
    <n v="-374524.42"/>
    <n v="-59798.016638655448"/>
    <n v="-314726.40336134454"/>
    <n v="-1259"/>
    <n v="-313467.40336134454"/>
    <m/>
    <m/>
    <m/>
    <m/>
    <n v="-313467.40336134454"/>
    <s v="Como la factura 399 se anulo, se reemplaza por la factura 415"/>
  </r>
  <r>
    <x v="2"/>
    <x v="11"/>
    <d v="2025-04-23T00:00:00"/>
    <n v="410"/>
    <s v="NA"/>
    <s v="NA "/>
    <s v="Bogotá - Belencito"/>
    <x v="5"/>
    <s v="27/01/2025-30/01/2025"/>
    <s v="ARRIENDO DE BODEGA CON UN AREA DE 240 M2 UBICADA EN EL KM5"/>
    <n v="885194.88"/>
    <n v="141333.63630252099"/>
    <n v="743861.24369747902"/>
    <n v="2975"/>
    <n v="740886.24369747902"/>
    <m/>
    <m/>
    <m/>
    <m/>
    <n v="740886.24369747902"/>
    <m/>
  </r>
  <r>
    <x v="2"/>
    <x v="11"/>
    <d v="2025-04-23T00:00:00"/>
    <n v="411"/>
    <s v="NA"/>
    <s v="NA "/>
    <s v="Bogotá - Belencito"/>
    <x v="5"/>
    <s v="1/02/2025-28/02/2025"/>
    <s v="ARRIENDO DE BODEGA CON UN AREA DE 240 M2 UBICADA EN EL KM5"/>
    <n v="6638961.5999999996"/>
    <n v="1060002.2722689072"/>
    <n v="5578959.3277310925"/>
    <n v="22316"/>
    <n v="5556643.3277310925"/>
    <m/>
    <m/>
    <m/>
    <m/>
    <n v="5556643.3277310925"/>
    <m/>
  </r>
  <r>
    <x v="2"/>
    <x v="11"/>
    <d v="2025-04-23T00:00:00"/>
    <n v="412"/>
    <s v="NA"/>
    <s v="NA "/>
    <s v="Bogotá - Belencito"/>
    <x v="5"/>
    <s v="1/03/2025-30/03/2025"/>
    <s v="ARRIENDO DE BODEGA CON UN AREA DE 240 M2 UBICADA EN EL KM5"/>
    <n v="6638961.5999999996"/>
    <n v="1060002.2722689072"/>
    <n v="5578959.3277310925"/>
    <n v="22316"/>
    <n v="5556643.3277310925"/>
    <m/>
    <m/>
    <m/>
    <m/>
    <n v="5556643.3277310925"/>
    <m/>
  </r>
  <r>
    <x v="2"/>
    <x v="11"/>
    <d v="2025-04-23T00:00:00"/>
    <n v="413"/>
    <s v="NA"/>
    <s v="NA "/>
    <s v="Bogotá - Belencito"/>
    <x v="5"/>
    <s v="27/01/2025-30/01/2025"/>
    <s v="ARRIENDO DE LOTE DE 30M2 UBICADO EN EL KM5"/>
    <n v="49936.59"/>
    <n v="7973.0689915966359"/>
    <n v="41963.521008403361"/>
    <n v="168"/>
    <n v="41795.521008403361"/>
    <m/>
    <m/>
    <m/>
    <m/>
    <n v="41795.521008403361"/>
    <m/>
  </r>
  <r>
    <x v="2"/>
    <x v="11"/>
    <d v="2025-04-23T00:00:00"/>
    <n v="414"/>
    <s v="NA"/>
    <s v="NA "/>
    <s v="Bogotá - Belencito"/>
    <x v="5"/>
    <s v="1/02/2025-28/02/2025"/>
    <s v="ARRIENDO DE LOTE DE 30M2 UBICADO EN EL KM5"/>
    <n v="374524.42"/>
    <n v="59798.016638655448"/>
    <n v="314726.40336134454"/>
    <n v="1259"/>
    <n v="313467.40336134454"/>
    <m/>
    <m/>
    <m/>
    <m/>
    <n v="313467.40336134454"/>
    <m/>
  </r>
  <r>
    <x v="2"/>
    <x v="11"/>
    <d v="2025-04-23T00:00:00"/>
    <n v="415"/>
    <s v="NA"/>
    <s v="NA "/>
    <s v="Bogotá - Belencito"/>
    <x v="5"/>
    <s v="1/03/2025-30/03/2025"/>
    <s v="ARRIENDO DE LOTE DE 30M2 UBICADO EN EL KM5"/>
    <n v="374524.42"/>
    <n v="59798.016638655448"/>
    <n v="314726.40336134454"/>
    <n v="1259"/>
    <n v="313467.40336134454"/>
    <m/>
    <m/>
    <m/>
    <m/>
    <n v="313467.40336134454"/>
    <m/>
  </r>
  <r>
    <x v="2"/>
    <x v="11"/>
    <d v="2025-04-23T00:00:00"/>
    <n v="416"/>
    <s v="NA"/>
    <s v="NA "/>
    <s v="Bogotá - Belencito"/>
    <x v="5"/>
    <s v="1/04/2025-30/04/2025"/>
    <s v="ARRIENDO DE BODEGA CON UN AREA DE 240 M2 UBICADA EN EL KM5"/>
    <n v="6638961.5999999996"/>
    <n v="1060002.2722689072"/>
    <n v="5578959.3277310925"/>
    <n v="22316"/>
    <n v="5556643.3277310925"/>
    <m/>
    <m/>
    <m/>
    <m/>
    <n v="5556643.3277310925"/>
    <m/>
  </r>
  <r>
    <x v="2"/>
    <x v="11"/>
    <d v="2025-04-23T00:00:00"/>
    <n v="417"/>
    <s v="NA"/>
    <s v="NA "/>
    <s v="Bogotá - Belencito"/>
    <x v="5"/>
    <s v="1/04/2025-30/04/2025"/>
    <s v="ARRIENDO DE LOTE DE 30M2 UBICADO EN EL KM5"/>
    <n v="374524.42"/>
    <n v="59798.016638655448"/>
    <n v="314726.40336134454"/>
    <n v="1259"/>
    <n v="313467.40336134454"/>
    <m/>
    <m/>
    <m/>
    <m/>
    <n v="313467.40336134454"/>
    <m/>
  </r>
  <r>
    <x v="2"/>
    <x v="0"/>
    <d v="2025-05-14T00:00:00"/>
    <n v="424"/>
    <s v="NA"/>
    <s v="NA "/>
    <s v="Bogotá - Belencito"/>
    <x v="3"/>
    <s v="01/05/2025- 30/05/2025"/>
    <s v="ARRIENDO DE ESPACIO DE 241.42 M2, UBICADA EN EL KM5"/>
    <n v="5819710.7800000003"/>
    <n v="929197.51949579827"/>
    <n v="4890513.260504202"/>
    <n v="19562"/>
    <n v="4870951.260504202"/>
    <m/>
    <m/>
    <m/>
    <m/>
    <n v="4870951.260504202"/>
    <m/>
  </r>
  <r>
    <x v="2"/>
    <x v="0"/>
    <d v="2025-05-14T00:00:00"/>
    <n v="425"/>
    <s v="NA"/>
    <s v="NA "/>
    <s v="Bogotá - Belencito"/>
    <x v="3"/>
    <s v="01/05/2025- 30/05/2025"/>
    <s v="ARRIENDO DE AREA DE 500 M2, UBICADA EN EL KM5"/>
    <n v="5201728"/>
    <n v="830528"/>
    <n v="4371200"/>
    <n v="17485"/>
    <n v="4353715"/>
    <m/>
    <m/>
    <m/>
    <m/>
    <n v="4353715"/>
    <m/>
  </r>
  <r>
    <x v="2"/>
    <x v="0"/>
    <d v="2025-05-14T00:00:00"/>
    <n v="426"/>
    <s v="NA"/>
    <s v="NA "/>
    <s v="Bogotá - Belencito"/>
    <x v="3"/>
    <s v="01/05/2025- 30/05/2025"/>
    <s v="ARRIENDO DE BODEGA DE 128,2 M2, UBICADO EN KM 5"/>
    <n v="3251099.81"/>
    <n v="519083.16294117644"/>
    <n v="2732016.6470588236"/>
    <n v="10928"/>
    <n v="2721088.6470588236"/>
    <m/>
    <m/>
    <m/>
    <m/>
    <n v="2721088.6470588236"/>
    <m/>
  </r>
  <r>
    <x v="2"/>
    <x v="0"/>
    <d v="2025-05-14T00:00:00"/>
    <n v="427"/>
    <s v="NA"/>
    <s v="NA "/>
    <s v="Bogotá - Belencito"/>
    <x v="2"/>
    <s v="01/05/2025- 30/05/2025"/>
    <s v="ARRIENDO BODEGA  CON UNA AREA DE 1,117 M2 UBICADA EN KM5"/>
    <n v="30898658.640000001"/>
    <n v="4933399.278655462"/>
    <n v="25965259.361344539"/>
    <n v="103861"/>
    <n v="25861398.361344539"/>
    <m/>
    <m/>
    <m/>
    <m/>
    <n v="25861398.361344539"/>
    <m/>
  </r>
  <r>
    <x v="2"/>
    <x v="0"/>
    <d v="2025-05-14T00:00:00"/>
    <n v="428"/>
    <s v="NA"/>
    <s v="NA "/>
    <s v="Bogotá - Belencito"/>
    <x v="4"/>
    <s v="01/05/2025- 30/05/2025"/>
    <s v="ARRIENDO ESPACIO CUBIERTO AL INTERIOR DEL NUEVO TALLER ANI, UBICADO EN LAS INSTALACIONES DEL KILÓMETRO 5, CON UN AREA DE 1.986.8 METROS CUADRADOS"/>
    <n v="42282998.127999999"/>
    <n v="6751066.9279999956"/>
    <n v="35531931.200000003"/>
    <n v="142128"/>
    <n v="35389803.200000003"/>
    <m/>
    <m/>
    <m/>
    <m/>
    <n v="35389803.200000003"/>
    <m/>
  </r>
  <r>
    <x v="2"/>
    <x v="0"/>
    <d v="2025-05-29T00:00:00"/>
    <n v="437"/>
    <s v="NA"/>
    <s v="NA "/>
    <s v="Bogotá - Belencito"/>
    <x v="5"/>
    <s v="01/05/2025- 30/05/2025"/>
    <s v="ARRIENDO DE BODEGA CON UN AREA DE 240 M2 UBICADA EN EL KM5"/>
    <n v="6638961.5999999996"/>
    <n v="1060002.2722689072"/>
    <n v="5578959.3277310925"/>
    <n v="22316"/>
    <n v="5556643.3277310925"/>
    <m/>
    <m/>
    <m/>
    <m/>
    <n v="5556643.3277310925"/>
    <m/>
  </r>
  <r>
    <x v="2"/>
    <x v="0"/>
    <d v="2025-05-29T00:00:00"/>
    <n v="438"/>
    <s v="NA"/>
    <s v="NA "/>
    <s v="Bogotá - Belencito"/>
    <x v="5"/>
    <s v="01/05/2025- 30/05/2025"/>
    <s v="ARRIENDO DE LOTE DE 30M2 UBICADO EN EL KM5"/>
    <n v="374524.42"/>
    <n v="59798.016638655448"/>
    <n v="314726.40336134454"/>
    <n v="1259"/>
    <n v="313467.40336134454"/>
    <m/>
    <m/>
    <m/>
    <m/>
    <n v="313467.40336134454"/>
    <m/>
  </r>
  <r>
    <x v="2"/>
    <x v="0"/>
    <d v="2025-05-16T00:00:00"/>
    <s v="Nota credito No 2-75"/>
    <n v="75"/>
    <n v="417"/>
    <s v="Bogotá - Belencito"/>
    <x v="5"/>
    <s v="1/04/2025-30/04/2025"/>
    <s v="ARRIENDO DE LOTE DE 30M2 UBICADO EN EL KM5"/>
    <n v="-374524.42"/>
    <n v="-59798.016638655448"/>
    <n v="-314726.40336134454"/>
    <n v="-1259"/>
    <n v="-313467.40336134454"/>
    <m/>
    <m/>
    <m/>
    <m/>
    <n v="-313467.40336134454"/>
    <s v="Como la factura 417 se anulo, se reemplaza por la factura 442"/>
  </r>
  <r>
    <x v="2"/>
    <x v="0"/>
    <d v="2025-05-31T00:00:00"/>
    <n v="442"/>
    <s v="NA"/>
    <s v="NA "/>
    <s v="Bogotá - Belencito"/>
    <x v="5"/>
    <s v="1/04/2025-30/04/2025"/>
    <s v="ARRIENDO DE LOTE DE 30M2 UBICADO EN EL KM5"/>
    <n v="374524.42"/>
    <n v="59798.016638655448"/>
    <n v="314726.40336134454"/>
    <n v="1259"/>
    <n v="313467.40336134454"/>
    <m/>
    <m/>
    <m/>
    <m/>
    <n v="313467.40336134454"/>
    <m/>
  </r>
  <r>
    <x v="2"/>
    <x v="1"/>
    <d v="2025-06-21T00:00:00"/>
    <n v="451"/>
    <s v="NA"/>
    <s v="NA "/>
    <s v="Bogotá - Belencito"/>
    <x v="3"/>
    <s v="01/06/2025- 30/06/2025"/>
    <s v="ARRIENDO DE ESPACIO DE 241.42 M2, UBICADA EN EL KM5"/>
    <n v="5819710.7800000003"/>
    <n v="929197.51949579827"/>
    <n v="4890513.260504202"/>
    <n v="19562"/>
    <n v="4870951.260504202"/>
    <m/>
    <m/>
    <m/>
    <m/>
    <n v="4870951.260504202"/>
    <m/>
  </r>
  <r>
    <x v="2"/>
    <x v="1"/>
    <d v="2025-06-21T00:00:00"/>
    <n v="450"/>
    <s v="NA"/>
    <s v="NA "/>
    <s v="Bogotá - Belencito"/>
    <x v="3"/>
    <s v="01/06/2025- 30/06/2025"/>
    <s v="ARRIENDO DE AREA DE 500 M2, UBICADA EN EL KM5"/>
    <n v="5201728"/>
    <n v="830528"/>
    <n v="4371200"/>
    <n v="17485"/>
    <n v="4353715"/>
    <m/>
    <m/>
    <m/>
    <m/>
    <n v="4353715"/>
    <m/>
  </r>
  <r>
    <x v="2"/>
    <x v="1"/>
    <d v="2025-06-21T00:00:00"/>
    <n v="449"/>
    <s v="NA"/>
    <s v="NA "/>
    <s v="Bogotá - Belencito"/>
    <x v="3"/>
    <s v="01/06/2025- 30/06/2025"/>
    <s v="ARRIENDO DE BODEGA DE 128,2 M2, UBICADO EN KM 5"/>
    <n v="3251099.81"/>
    <n v="519083.16294117644"/>
    <n v="2732016.6470588236"/>
    <n v="10928"/>
    <n v="2721088.6470588236"/>
    <m/>
    <m/>
    <m/>
    <m/>
    <n v="2721088.6470588236"/>
    <m/>
  </r>
  <r>
    <x v="2"/>
    <x v="1"/>
    <d v="2025-06-21T00:00:00"/>
    <n v="453"/>
    <s v="NA"/>
    <s v="NA "/>
    <s v="Bogotá - Belencito"/>
    <x v="2"/>
    <s v="01/06/2025- 30/06/2025"/>
    <s v="ARRIENDO BODEGA  CON UNA AREA DE 1,117 M2 UBICADA EN KM5"/>
    <n v="30898658.640000001"/>
    <n v="4933399.278655462"/>
    <n v="25965259.361344539"/>
    <n v="103861"/>
    <n v="25861398.361344539"/>
    <m/>
    <m/>
    <m/>
    <m/>
    <n v="25861398.361344539"/>
    <m/>
  </r>
  <r>
    <x v="2"/>
    <x v="1"/>
    <d v="2025-06-21T00:00:00"/>
    <n v="452"/>
    <s v="NA"/>
    <s v="NA "/>
    <s v="Bogotá - Belencito"/>
    <x v="4"/>
    <s v="01/06/2025- 30/06/2025"/>
    <s v="ARRIENDO ESPACIO CUBIERTO AL INTERIOR DEL NUEVO TALLER ANI, UBICADO EN LAS INSTALACIONES DEL KILÓMETRO 5, CON UN AREA DE 1.986.8 METROS CUADRADOS"/>
    <n v="42282998.127999999"/>
    <n v="6751066.9279999956"/>
    <n v="35531931.200000003"/>
    <n v="142128"/>
    <n v="35389803.200000003"/>
    <m/>
    <m/>
    <m/>
    <m/>
    <n v="35389803.200000003"/>
    <m/>
  </r>
  <r>
    <x v="2"/>
    <x v="1"/>
    <d v="2025-06-27T00:00:00"/>
    <n v="456"/>
    <s v="NA"/>
    <s v="NA "/>
    <s v="Bogotá - Belencito"/>
    <x v="5"/>
    <s v="01/06/2025- 30/06/2025"/>
    <s v="ARRIENDO DE LOTE DE 30M2 UBICADO EN EL KM5"/>
    <n v="374524.42"/>
    <n v="59798.016638655448"/>
    <n v="314726.40336134454"/>
    <n v="1259"/>
    <n v="313467.40336134454"/>
    <m/>
    <m/>
    <m/>
    <m/>
    <n v="313467.40336134454"/>
    <m/>
  </r>
  <r>
    <x v="2"/>
    <x v="1"/>
    <d v="2025-06-26T00:00:00"/>
    <s v="Nota credito No 2-81"/>
    <n v="81"/>
    <n v="437"/>
    <s v="Bogotá - Belencito"/>
    <x v="5"/>
    <s v="1/05/2025-30/05/2025"/>
    <s v="ARRIENDO DE BODEGA CON UN AREA DE 240 M2 UBICADA EN EL KM5"/>
    <n v="-6638961.5999999996"/>
    <n v="-1060002.2722689072"/>
    <n v="-5578959.3277310925"/>
    <n v="-22316"/>
    <n v="-5556643.3277310925"/>
    <m/>
    <m/>
    <m/>
    <m/>
    <n v="-5556643.3277310925"/>
    <s v="Como la factura 437 se anulo, se reemplaza por la factura 454"/>
  </r>
  <r>
    <x v="2"/>
    <x v="1"/>
    <d v="2025-06-26T00:00:00"/>
    <s v="Nota credito No 2-82"/>
    <n v="82"/>
    <n v="438"/>
    <s v="Bogotá - Belencito"/>
    <x v="5"/>
    <s v="1/05/2025-30/05/2025"/>
    <s v="ARRIENDO DE LOTE DE 30M2 UBICADO EN EL KM5"/>
    <n v="-374524.42"/>
    <n v="-59798.016638655448"/>
    <n v="-314726.40336134454"/>
    <n v="-1259"/>
    <n v="-313467.40336134454"/>
    <m/>
    <m/>
    <m/>
    <m/>
    <n v="-313467.40336134454"/>
    <s v="Como la factura 438 se anulo, se reemplaza por la factura 455"/>
  </r>
  <r>
    <x v="2"/>
    <x v="1"/>
    <d v="2025-06-27T00:00:00"/>
    <n v="454"/>
    <s v="NA"/>
    <s v="NA "/>
    <s v="Bogotá - Belencito"/>
    <x v="5"/>
    <s v="01/05/2025- 30/05/2025"/>
    <s v="ARRIENDO DE BODEGA CON UN AREA DE 240 M2 UBICADA EN EL KM5"/>
    <n v="6638961.5999999996"/>
    <n v="1060002.2722689072"/>
    <n v="5578959.3277310925"/>
    <n v="22316"/>
    <n v="5556643.3277310925"/>
    <m/>
    <m/>
    <m/>
    <m/>
    <n v="5556643.3277310925"/>
    <m/>
  </r>
  <r>
    <x v="2"/>
    <x v="1"/>
    <d v="2025-06-27T00:00:00"/>
    <n v="455"/>
    <s v="NA"/>
    <s v="NA "/>
    <s v="Bogotá - Belencito"/>
    <x v="5"/>
    <s v="01/05/2025- 30/05/2025"/>
    <s v="ARRIENDO DE LOTE DE 30M2 UBICADO EN EL KM5"/>
    <n v="374524.42"/>
    <n v="59798.016638655448"/>
    <n v="314726.40336134454"/>
    <n v="1259"/>
    <n v="313467.40336134454"/>
    <m/>
    <m/>
    <m/>
    <m/>
    <n v="313467.40336134454"/>
    <m/>
  </r>
  <r>
    <x v="2"/>
    <x v="2"/>
    <d v="2025-07-23T00:00:00"/>
    <n v="465"/>
    <s v="NA"/>
    <s v="NA "/>
    <s v="Bogotá - Belencito"/>
    <x v="3"/>
    <s v="01/07/2025- 30/07/2025"/>
    <s v="ARRIENDO DE ESPACIO DE 241.42 M2, UBICADA EN EL KM5"/>
    <n v="2909855.39"/>
    <n v="464598.75974789914"/>
    <n v="2445256.630252101"/>
    <n v="9781"/>
    <n v="2435475.630252101"/>
    <m/>
    <m/>
    <m/>
    <m/>
    <n v="2435475.630252101"/>
    <m/>
  </r>
  <r>
    <x v="2"/>
    <x v="2"/>
    <d v="2025-07-23T00:00:00"/>
    <n v="466"/>
    <s v="NA"/>
    <s v="NA "/>
    <s v="Bogotá - Belencito"/>
    <x v="3"/>
    <s v="01/07/2025- 30/07/2025"/>
    <s v="ARRIENDO DE AREA DE 500 M2, UBICADA EN EL KM5"/>
    <n v="5201728"/>
    <n v="830528"/>
    <n v="4371200"/>
    <n v="17485"/>
    <n v="4353715"/>
    <m/>
    <m/>
    <m/>
    <m/>
    <n v="4353715"/>
    <m/>
  </r>
  <r>
    <x v="2"/>
    <x v="2"/>
    <d v="2025-07-23T00:00:00"/>
    <n v="467"/>
    <s v="NA"/>
    <s v="NA "/>
    <s v="Bogotá - Belencito"/>
    <x v="3"/>
    <s v="01/07/2025- 30/07/2025"/>
    <s v="ARRIENDO DE BODEGA DE 128,2 M2, UBICADO EN KM 5"/>
    <n v="3251099.81"/>
    <n v="519083.16294117644"/>
    <n v="2732016.6470588236"/>
    <n v="10928"/>
    <n v="2721088.6470588236"/>
    <m/>
    <m/>
    <m/>
    <m/>
    <n v="2721088.6470588236"/>
    <m/>
  </r>
  <r>
    <x v="2"/>
    <x v="2"/>
    <d v="2025-07-23T00:00:00"/>
    <n v="468"/>
    <s v="NA"/>
    <s v="NA "/>
    <s v="Bogotá - Belencito"/>
    <x v="2"/>
    <s v="01/07/2025- 30/07/2025"/>
    <s v="ARRIENDO BODEGA  CON UNA AREA DE 1,117 M2 UBICADA EN KM5"/>
    <n v="30898658.640000001"/>
    <n v="4933399.278655462"/>
    <n v="25965259.361344539"/>
    <n v="103861"/>
    <n v="25861398.361344539"/>
    <m/>
    <m/>
    <m/>
    <m/>
    <n v="25861398.361344539"/>
    <m/>
  </r>
  <r>
    <x v="2"/>
    <x v="2"/>
    <d v="2025-07-23T00:00:00"/>
    <n v="469"/>
    <s v="NA"/>
    <s v="NA "/>
    <s v="Bogotá - Belencito"/>
    <x v="4"/>
    <s v="01/07/2025- 30/07/2025"/>
    <s v="ARRIENDO ESPACIO CUBIERTO AL INTERIOR DEL NUEVO TALLER ANI, UBICADO EN LAS INSTALACIONES DEL KILÓMETRO 5, CON UN AREA DE 1.986.8 METROS CUADRADOS"/>
    <n v="42282998.127999999"/>
    <n v="6751066.9279999956"/>
    <n v="35531931.200000003"/>
    <n v="142128"/>
    <n v="35389803.200000003"/>
    <m/>
    <m/>
    <m/>
    <m/>
    <n v="35389803.200000003"/>
    <m/>
  </r>
  <r>
    <x v="2"/>
    <x v="2"/>
    <d v="2025-07-23T00:00:00"/>
    <n v="470"/>
    <s v="NA"/>
    <s v="NA "/>
    <s v="Bogotá - Belencito"/>
    <x v="5"/>
    <s v="01/07/2025- 30/07/2025"/>
    <s v="ARRIENDO DE LOTE DE 30M2 UBICADO EN EL KM5"/>
    <n v="374524.42"/>
    <n v="59798.016638655448"/>
    <n v="314726.40336134454"/>
    <n v="1259"/>
    <n v="313467.40336134454"/>
    <m/>
    <m/>
    <m/>
    <m/>
    <n v="313467.40336134454"/>
    <m/>
  </r>
  <r>
    <x v="2"/>
    <x v="3"/>
    <d v="2025-08-21T00:00:00"/>
    <n v="486"/>
    <s v="NA"/>
    <s v="NA "/>
    <s v="Bogotá - Belencito"/>
    <x v="3"/>
    <s v="01/08/2025- 30/08/2025"/>
    <s v="ARRIENDO DE AREA DE 500 M2, UBICADA EN EL KM5"/>
    <n v="5201728"/>
    <n v="830528"/>
    <n v="4371200"/>
    <n v="17485"/>
    <n v="4353715"/>
    <m/>
    <m/>
    <m/>
    <m/>
    <n v="4353715"/>
    <m/>
  </r>
  <r>
    <x v="2"/>
    <x v="3"/>
    <d v="2025-08-21T00:00:00"/>
    <n v="487"/>
    <s v="NA"/>
    <s v="NA "/>
    <s v="Bogotá - Belencito"/>
    <x v="3"/>
    <s v="01/08/2025- 30/08/2025"/>
    <s v="ARRIENDO DE BODEGA DE 128,2 M2, UBICADO EN KM 5"/>
    <n v="3251099.81"/>
    <n v="519083.16294117644"/>
    <n v="2732016.6470588236"/>
    <n v="10928"/>
    <n v="2721088.6470588236"/>
    <m/>
    <m/>
    <m/>
    <m/>
    <n v="2721088.6470588236"/>
    <m/>
  </r>
  <r>
    <x v="2"/>
    <x v="3"/>
    <d v="2025-08-21T00:00:00"/>
    <n v="484"/>
    <s v="NA"/>
    <s v="NA "/>
    <s v="Bogotá - Belencito"/>
    <x v="2"/>
    <s v="01/08/2025- 30/08/2025"/>
    <s v="ARRIENDO BODEGA  CON UNA AREA DE 1,117 M2 UBICADA EN KM5"/>
    <n v="30898658.640000001"/>
    <n v="4933399.278655462"/>
    <n v="25965259.361344539"/>
    <n v="103861"/>
    <n v="25861398.361344539"/>
    <m/>
    <m/>
    <m/>
    <m/>
    <n v="25861398.361344539"/>
    <m/>
  </r>
  <r>
    <x v="2"/>
    <x v="3"/>
    <d v="2025-08-21T00:00:00"/>
    <n v="490"/>
    <s v="NA"/>
    <s v="NA "/>
    <s v="Bogotá - Belencito"/>
    <x v="4"/>
    <s v="01/08/2025- 30/08/2025"/>
    <s v="ARRIENDO ESPACIO CUBIERTO AL INTERIOR DEL NUEVO TALLER ANI, UBICADO EN LAS INSTALACIONES DEL KILÓMETRO 5, CON UN AREA DE 1.986.8 METROS CUADRADOS"/>
    <n v="42282998.127999999"/>
    <n v="6751066.9279999956"/>
    <n v="35531931.200000003"/>
    <n v="142128"/>
    <n v="35389803.200000003"/>
    <m/>
    <m/>
    <m/>
    <m/>
    <n v="35389803.200000003"/>
    <m/>
  </r>
  <r>
    <x v="2"/>
    <x v="3"/>
    <d v="2025-08-21T00:00:00"/>
    <n v="483"/>
    <s v="NA"/>
    <s v="NA "/>
    <s v="Bogotá - Belencito"/>
    <x v="5"/>
    <s v="01/08/2025- 30/08/2025"/>
    <s v="ARRIENDO DE LOTE DE 30M2 UBICADO EN EL KM5"/>
    <n v="374524.42"/>
    <n v="59798.016638655448"/>
    <n v="314726.40336134454"/>
    <n v="1259"/>
    <n v="313467.40336134454"/>
    <m/>
    <m/>
    <m/>
    <m/>
    <n v="313467.40336134454"/>
    <m/>
  </r>
  <r>
    <x v="2"/>
    <x v="3"/>
    <d v="2025-08-21T00:00:00"/>
    <s v="Nota credito No 2-94"/>
    <n v="94"/>
    <n v="456"/>
    <s v="Bogotá - Belencito"/>
    <x v="5"/>
    <s v="1/06/2025-30/06/2025"/>
    <s v="ARRIENDO DE BODEGA CON UN AREA DE 240 M2 UBICADA EN EL KM5"/>
    <n v="-374524.42"/>
    <n v="-59798.016638655448"/>
    <n v="-314726.40336134454"/>
    <n v="-1259"/>
    <n v="-313467.40336134454"/>
    <m/>
    <m/>
    <m/>
    <m/>
    <n v="-313467.40336134454"/>
    <s v="Como la factura 456 se anulo, se reemplaza por la factura 481"/>
  </r>
  <r>
    <x v="2"/>
    <x v="3"/>
    <d v="2025-08-21T00:00:00"/>
    <s v="Nota credito No 2-95"/>
    <n v="95"/>
    <n v="470"/>
    <s v="Bogotá - Belencito"/>
    <x v="5"/>
    <s v="1/07/2025-30/07/2025"/>
    <s v="ARRIENDO DE BODEGA CON UN AREA DE 240 M2 UBICADA EN EL KM5"/>
    <n v="-374524.42"/>
    <n v="-59798.016638655448"/>
    <n v="-314726.40336134454"/>
    <n v="-1259"/>
    <n v="-313467.40336134454"/>
    <m/>
    <m/>
    <m/>
    <m/>
    <n v="-313467.40336134454"/>
    <s v="Como la factura 470 se anulo, se reemplaza por la factura 482"/>
  </r>
  <r>
    <x v="2"/>
    <x v="3"/>
    <d v="2025-08-21T00:00:00"/>
    <n v="481"/>
    <s v="NA"/>
    <s v="NA "/>
    <s v="Bogotá - Belencito"/>
    <x v="5"/>
    <s v="01/06/2025- 30/06/2025"/>
    <s v="ARRIENDO DE LOTE DE 30M2 UBICADO EN EL KM5"/>
    <n v="374524.42"/>
    <n v="59798.016638655448"/>
    <n v="314726.40336134454"/>
    <n v="1259"/>
    <n v="313467.40336134454"/>
    <m/>
    <m/>
    <m/>
    <m/>
    <n v="313467.40336134454"/>
    <m/>
  </r>
  <r>
    <x v="2"/>
    <x v="3"/>
    <d v="2025-08-21T00:00:00"/>
    <n v="482"/>
    <s v="NA"/>
    <s v="NA "/>
    <s v="Bogotá - Belencito"/>
    <x v="5"/>
    <s v="01/07/2025- 30/07/2025"/>
    <s v="ARRIENDO DE LOTE DE 30M2 UBICADO EN EL KM5"/>
    <n v="374524.42"/>
    <n v="59798.016638655448"/>
    <n v="314726.40336134454"/>
    <n v="1259"/>
    <n v="313467.40336134454"/>
    <m/>
    <m/>
    <m/>
    <m/>
    <n v="313467.40336134454"/>
    <m/>
  </r>
  <r>
    <x v="2"/>
    <x v="4"/>
    <d v="2025-09-16T00:00:00"/>
    <n v="512"/>
    <s v="NA"/>
    <s v="NA "/>
    <s v="Bogotá - Belencito"/>
    <x v="3"/>
    <s v="01/09/2025- 30/09/2025"/>
    <s v="ARRIENDO DE AREA DE 500 M2, UBICADA EN EL KM5"/>
    <n v="5201728"/>
    <n v="830528"/>
    <n v="4371200"/>
    <n v="17485"/>
    <n v="4353715"/>
    <m/>
    <m/>
    <m/>
    <m/>
    <n v="4353715"/>
    <m/>
  </r>
  <r>
    <x v="2"/>
    <x v="4"/>
    <d v="2025-09-16T00:00:00"/>
    <n v="513"/>
    <s v="NA"/>
    <s v="NA "/>
    <s v="Bogotá - Belencito"/>
    <x v="3"/>
    <s v="01/09/2025- 30/09/2025"/>
    <s v="ARRIENDO DE BODEGA DE 128,2 M2, UBICADO EN KM 5"/>
    <n v="3251099.81"/>
    <n v="519083.16294117644"/>
    <n v="2732016.6470588236"/>
    <n v="10928"/>
    <n v="2721088.6470588236"/>
    <m/>
    <m/>
    <m/>
    <m/>
    <n v="2721088.6470588236"/>
    <m/>
  </r>
  <r>
    <x v="2"/>
    <x v="4"/>
    <d v="2025-09-16T00:00:00"/>
    <n v="515"/>
    <s v="NA"/>
    <s v="NA "/>
    <s v="Bogotá - Belencito"/>
    <x v="2"/>
    <s v="01/09/2025- 30/09/2025"/>
    <s v="ARRIENDO BODEGA  CON UNA AREA DE 1,117 M2 UBICADA EN KM5"/>
    <n v="30898658.640000001"/>
    <n v="4933399.278655462"/>
    <n v="25965259.361344539"/>
    <n v="103861"/>
    <n v="25861398.361344539"/>
    <m/>
    <m/>
    <m/>
    <m/>
    <n v="25861398.361344539"/>
    <m/>
  </r>
  <r>
    <x v="2"/>
    <x v="4"/>
    <d v="2025-09-16T00:00:00"/>
    <n v="514"/>
    <s v="NA"/>
    <s v="NA "/>
    <s v="Bogotá - Belencito"/>
    <x v="4"/>
    <s v="01/09/2025- 30/09/2025"/>
    <s v="ARRIENDO ESPACIO CUBIERTO AL INTERIOR DEL NUEVO TALLER ANI, UBICADO EN LAS INSTALACIONES DEL KILÓMETRO 5, CON UN AREA DE 1.986.8 METROS CUADRADOS"/>
    <n v="42282998.127999999"/>
    <n v="6751066.9279999956"/>
    <n v="35531931.200000003"/>
    <n v="142128"/>
    <n v="35389803.200000003"/>
    <m/>
    <m/>
    <m/>
    <m/>
    <n v="35389803.200000003"/>
    <m/>
  </r>
  <r>
    <x v="2"/>
    <x v="4"/>
    <d v="2025-09-19T00:00:00"/>
    <n v="520"/>
    <s v="NA"/>
    <s v="NA "/>
    <s v="Bogotá - Belencito"/>
    <x v="5"/>
    <s v="01/09/2025- 30/09/2025"/>
    <s v="ARRIENDO DE LOTE DE 30M2 UBICADO EN EL KM5"/>
    <n v="374524.42"/>
    <n v="59798.016638655448"/>
    <n v="314726.40336134454"/>
    <n v="1259"/>
    <n v="313467.40336134454"/>
    <m/>
    <m/>
    <m/>
    <m/>
    <n v="313467.40336134454"/>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7">
  <r>
    <x v="0"/>
    <s v="21301 LOC 723"/>
    <s v="22300  LOC 723"/>
    <s v="KM-5 - ZIPAQUIRA - KM - 5"/>
    <n v="96"/>
    <n v="18"/>
    <n v="929.93"/>
    <n v="1606919.0399999998"/>
    <n v="1552"/>
    <n v="1728"/>
    <x v="0"/>
    <x v="0"/>
    <x v="0"/>
    <x v="0"/>
    <x v="0"/>
    <x v="0"/>
  </r>
  <r>
    <x v="1"/>
    <s v="21301 LOC 752"/>
    <s v="22300 LOC 752"/>
    <s v="KM-5 - ZIPAQUIRA - KM - 5"/>
    <n v="96"/>
    <n v="18"/>
    <n v="929.93"/>
    <n v="1606919.0399999998"/>
    <n v="1564"/>
    <n v="1728"/>
    <x v="0"/>
    <x v="0"/>
    <x v="0"/>
    <x v="0"/>
    <x v="0"/>
    <x v="0"/>
  </r>
  <r>
    <x v="2"/>
    <s v="21301 LOC 723"/>
    <s v="22300  LOC 723"/>
    <s v="KM-5 - ZIPAQUIRA - KM - 5"/>
    <n v="96"/>
    <n v="18"/>
    <n v="929.93"/>
    <n v="1606919.0399999998"/>
    <n v="1572"/>
    <n v="1728"/>
    <x v="0"/>
    <x v="0"/>
    <x v="0"/>
    <x v="0"/>
    <x v="0"/>
    <x v="0"/>
  </r>
  <r>
    <x v="3"/>
    <s v="21301 LOC 752"/>
    <s v="22300 LOC 752"/>
    <s v="KM-5 - ZIPAQUIRA - KM - 5"/>
    <n v="96"/>
    <n v="17"/>
    <n v="929.93"/>
    <n v="1517645.76"/>
    <n v="1420"/>
    <n v="1632"/>
    <x v="0"/>
    <x v="0"/>
    <x v="0"/>
    <x v="0"/>
    <x v="0"/>
    <x v="0"/>
  </r>
  <r>
    <x v="4"/>
    <s v="21301 LOC 723"/>
    <s v="22300 LOC 723"/>
    <s v="KM-5 - ZIPAQUIRA - KM - 5"/>
    <n v="96"/>
    <n v="17"/>
    <n v="929.93"/>
    <n v="1517645.76"/>
    <n v="1476"/>
    <n v="1632"/>
    <x v="0"/>
    <x v="0"/>
    <x v="0"/>
    <x v="0"/>
    <x v="0"/>
    <x v="0"/>
  </r>
  <r>
    <x v="5"/>
    <s v="21301 LOC 752"/>
    <s v="21300 LOC 752"/>
    <s v="KM - 5 - LA CARO - KM - 5"/>
    <n v="58"/>
    <n v="3"/>
    <n v="929.93"/>
    <n v="161807.81999999998"/>
    <n v="40"/>
    <n v="174"/>
    <x v="0"/>
    <x v="0"/>
    <x v="0"/>
    <x v="1"/>
    <x v="1"/>
    <x v="0"/>
  </r>
  <r>
    <x v="6"/>
    <s v="21301 LOC 752"/>
    <s v="22300 LOC 752"/>
    <s v="KM-5 - ZIPAQUIRA - KM - 5"/>
    <n v="96"/>
    <n v="12"/>
    <n v="929.93"/>
    <n v="1071279.3599999999"/>
    <n v="982"/>
    <n v="1152"/>
    <x v="0"/>
    <x v="0"/>
    <x v="0"/>
    <x v="0"/>
    <x v="0"/>
    <x v="0"/>
  </r>
  <r>
    <x v="7"/>
    <s v="21301 LOC 723"/>
    <s v="22300 LOC 723"/>
    <s v="KM-5 - ZIPAQUIRA - KM - 5"/>
    <n v="96"/>
    <n v="13"/>
    <n v="929.93"/>
    <n v="1160552.6399999999"/>
    <n v="1148"/>
    <n v="1248"/>
    <x v="0"/>
    <x v="0"/>
    <x v="0"/>
    <x v="0"/>
    <x v="0"/>
    <x v="0"/>
  </r>
  <r>
    <x v="8"/>
    <s v="21301 AUT 1676"/>
    <s v="21300 AUT 1676"/>
    <s v="KM - 5 - LA CARO - KM - 5"/>
    <n v="58"/>
    <n v="4"/>
    <n v="929.93"/>
    <n v="215743.75999999998"/>
    <n v="136"/>
    <n v="232"/>
    <x v="0"/>
    <x v="0"/>
    <x v="0"/>
    <x v="1"/>
    <x v="1"/>
    <x v="0"/>
  </r>
  <r>
    <x v="8"/>
    <s v="21303 LOC 711"/>
    <s v="22300 LOC 711"/>
    <s v="KM - 5- PK-43 U MIL - KM - 5"/>
    <n v="76"/>
    <n v="9"/>
    <n v="929.93"/>
    <n v="636072.12"/>
    <n v="991"/>
    <n v="684"/>
    <x v="0"/>
    <x v="0"/>
    <x v="0"/>
    <x v="2"/>
    <x v="1"/>
    <x v="0"/>
  </r>
  <r>
    <x v="9"/>
    <s v="21301 AUT 1676"/>
    <s v="21302 AUT 1676"/>
    <s v="KM - 5 - LA CARO - KM - 5"/>
    <n v="58"/>
    <n v="4"/>
    <n v="929.93"/>
    <n v="215743.75999999998"/>
    <n v="175"/>
    <n v="232"/>
    <x v="0"/>
    <x v="0"/>
    <x v="0"/>
    <x v="1"/>
    <x v="1"/>
    <x v="0"/>
  </r>
  <r>
    <x v="9"/>
    <s v="21303 LOC 711"/>
    <s v="22300 LOC 711"/>
    <s v="KM - 5- PK-43 U MIL - KM - 5"/>
    <n v="76"/>
    <n v="10"/>
    <n v="929.93"/>
    <n v="706746.79999999993"/>
    <n v="1232"/>
    <n v="760"/>
    <x v="0"/>
    <x v="0"/>
    <x v="0"/>
    <x v="2"/>
    <x v="1"/>
    <x v="0"/>
  </r>
  <r>
    <x v="9"/>
    <s v="21305 LOC 723"/>
    <s v="21300 LOC 723"/>
    <s v="KM - 5 - LA CARO - KM - 5"/>
    <n v="58"/>
    <n v="6"/>
    <n v="929.93"/>
    <n v="323615.63999999996"/>
    <n v="495"/>
    <n v="348"/>
    <x v="0"/>
    <x v="0"/>
    <x v="0"/>
    <x v="3"/>
    <x v="1"/>
    <x v="0"/>
  </r>
  <r>
    <x v="10"/>
    <s v="21301 AUT 1723"/>
    <s v="21302 AUT 1723"/>
    <s v="KM - 5 - LA CARO - KM - 5"/>
    <n v="58"/>
    <n v="4"/>
    <n v="929.93"/>
    <n v="215743.75999999998"/>
    <n v="135"/>
    <n v="232"/>
    <x v="0"/>
    <x v="0"/>
    <x v="0"/>
    <x v="1"/>
    <x v="1"/>
    <x v="0"/>
  </r>
  <r>
    <x v="10"/>
    <s v="21303 LOC 711"/>
    <s v="22300 LOC 711"/>
    <s v="KM - 5- PK-43 U MIL - KM - 5"/>
    <n v="76"/>
    <n v="10"/>
    <n v="929.93"/>
    <n v="706746.79999999993"/>
    <n v="1208"/>
    <n v="760"/>
    <x v="0"/>
    <x v="0"/>
    <x v="0"/>
    <x v="2"/>
    <x v="1"/>
    <x v="0"/>
  </r>
  <r>
    <x v="10"/>
    <s v="21305 LOC 723"/>
    <s v="21300 LOC 723"/>
    <s v="KM - 5 - LA CARO - KM - 5"/>
    <n v="58"/>
    <n v="5"/>
    <n v="929.93"/>
    <n v="269679.7"/>
    <n v="879"/>
    <n v="290"/>
    <x v="0"/>
    <x v="0"/>
    <x v="0"/>
    <x v="3"/>
    <x v="1"/>
    <x v="0"/>
  </r>
  <r>
    <x v="11"/>
    <s v="21301 AUT 1723"/>
    <s v="21302 AUT 1723"/>
    <s v="KM - 5 - LA CARO - KM - 5"/>
    <n v="58"/>
    <n v="4"/>
    <n v="929.93"/>
    <n v="215743.75999999998"/>
    <n v="131"/>
    <n v="232"/>
    <x v="0"/>
    <x v="0"/>
    <x v="0"/>
    <x v="1"/>
    <x v="1"/>
    <x v="0"/>
  </r>
  <r>
    <x v="11"/>
    <s v="21303 LOC 752"/>
    <s v="22300 LOC 752"/>
    <s v="KM - 5- PK-43 U MIL - KM - 5"/>
    <n v="76"/>
    <n v="10"/>
    <n v="929.93"/>
    <n v="706746.79999999993"/>
    <n v="1013"/>
    <n v="760"/>
    <x v="0"/>
    <x v="0"/>
    <x v="0"/>
    <x v="2"/>
    <x v="1"/>
    <x v="0"/>
  </r>
  <r>
    <x v="11"/>
    <s v="21305 LOC 723"/>
    <s v="21300 LOC 723"/>
    <s v="KM - 5 - LA CARO - KM - 5"/>
    <n v="58"/>
    <n v="5"/>
    <n v="929.93"/>
    <n v="269679.7"/>
    <n v="653"/>
    <n v="290"/>
    <x v="0"/>
    <x v="0"/>
    <x v="0"/>
    <x v="3"/>
    <x v="1"/>
    <x v="0"/>
  </r>
  <r>
    <x v="12"/>
    <s v="21301 AUT 1723"/>
    <s v="21302 AUT 1723"/>
    <s v="KM - 5 - LA CARO - KM - 5"/>
    <n v="58"/>
    <n v="4"/>
    <n v="929.93"/>
    <n v="215743.75999999998"/>
    <n v="115"/>
    <n v="232"/>
    <x v="0"/>
    <x v="0"/>
    <x v="0"/>
    <x v="1"/>
    <x v="1"/>
    <x v="0"/>
  </r>
  <r>
    <x v="12"/>
    <s v="21303 LOC 752"/>
    <s v="22300 LOC 752"/>
    <s v="KM - 5- PK-43 U MIL - KM - 5"/>
    <n v="76"/>
    <n v="10"/>
    <n v="929.93"/>
    <n v="706746.79999999993"/>
    <n v="1382"/>
    <n v="760"/>
    <x v="0"/>
    <x v="0"/>
    <x v="0"/>
    <x v="2"/>
    <x v="1"/>
    <x v="0"/>
  </r>
  <r>
    <x v="12"/>
    <s v="21305 LOC 723"/>
    <s v="21300 LOC 723"/>
    <s v="KM - 5 - LA CARO - KM - 5"/>
    <n v="58"/>
    <n v="6"/>
    <n v="929.93"/>
    <n v="323615.63999999996"/>
    <n v="852"/>
    <n v="348"/>
    <x v="0"/>
    <x v="0"/>
    <x v="0"/>
    <x v="3"/>
    <x v="1"/>
    <x v="0"/>
  </r>
  <r>
    <x v="13"/>
    <s v="21301 AUT 1696"/>
    <s v="21300 AUT 1696"/>
    <s v="KM - 5 - LA CARO - KM - 5"/>
    <n v="58"/>
    <n v="4"/>
    <n v="929.93"/>
    <n v="215743.75999999998"/>
    <n v="12"/>
    <n v="232"/>
    <x v="0"/>
    <x v="0"/>
    <x v="0"/>
    <x v="1"/>
    <x v="1"/>
    <x v="0"/>
  </r>
  <r>
    <x v="13"/>
    <s v="21303 AUT -- 1676"/>
    <s v="22300 AUT 1676"/>
    <s v="KM - 5- PK-43 U MIL - KM - 5"/>
    <n v="76"/>
    <n v="3"/>
    <n v="929.93"/>
    <n v="212024.03999999998"/>
    <n v="341"/>
    <n v="228"/>
    <x v="0"/>
    <x v="0"/>
    <x v="0"/>
    <x v="2"/>
    <x v="1"/>
    <x v="0"/>
  </r>
  <r>
    <x v="13"/>
    <s v="21305 LOC 723"/>
    <s v="22302 LOC 723"/>
    <s v="KM-5 - ZIPAQUIRA - KM - 5"/>
    <n v="96"/>
    <n v="11"/>
    <n v="929.93"/>
    <n v="982006.08"/>
    <n v="950"/>
    <n v="1056"/>
    <x v="0"/>
    <x v="0"/>
    <x v="0"/>
    <x v="0"/>
    <x v="0"/>
    <x v="0"/>
  </r>
  <r>
    <x v="14"/>
    <s v="21301 LOC 711"/>
    <s v="22300 LOC 711"/>
    <s v="KM-5 - ZIPAQUIRA - KM - 5"/>
    <n v="96"/>
    <n v="12"/>
    <n v="929.93"/>
    <n v="1071279.3599999999"/>
    <n v="966"/>
    <n v="1152"/>
    <x v="0"/>
    <x v="0"/>
    <x v="0"/>
    <x v="0"/>
    <x v="0"/>
    <x v="0"/>
  </r>
  <r>
    <x v="15"/>
    <s v="21301 AUT 1696"/>
    <s v="21300 AUT 1696"/>
    <s v="KM - 5 - LA CARO - KM - 5"/>
    <n v="58"/>
    <n v="4"/>
    <n v="929.93"/>
    <n v="215743.75999999998"/>
    <n v="173"/>
    <n v="232"/>
    <x v="0"/>
    <x v="0"/>
    <x v="0"/>
    <x v="1"/>
    <x v="1"/>
    <x v="0"/>
  </r>
  <r>
    <x v="15"/>
    <s v="21303 LOC 711"/>
    <s v="22300 LOC 711"/>
    <s v="KM - 5- PK-43 U MIL - KM - 5"/>
    <n v="76"/>
    <n v="10"/>
    <n v="929.93"/>
    <n v="706746.79999999993"/>
    <n v="985"/>
    <n v="760"/>
    <x v="0"/>
    <x v="0"/>
    <x v="0"/>
    <x v="2"/>
    <x v="1"/>
    <x v="0"/>
  </r>
  <r>
    <x v="16"/>
    <s v="21301 AUT 1696"/>
    <s v="21302 AUT 1696"/>
    <s v="KM - 5 - LA CARO - KM - 5"/>
    <n v="58"/>
    <n v="4"/>
    <n v="929.93"/>
    <n v="215743.75999999998"/>
    <n v="180"/>
    <n v="232"/>
    <x v="0"/>
    <x v="0"/>
    <x v="0"/>
    <x v="1"/>
    <x v="1"/>
    <x v="0"/>
  </r>
  <r>
    <x v="16"/>
    <s v="21303 LOC 752"/>
    <s v="22300 LOC 752"/>
    <s v="KM - 5- PK-43 U MIL - KM - 5"/>
    <n v="76"/>
    <n v="10"/>
    <n v="929.93"/>
    <n v="706746.79999999993"/>
    <n v="1347"/>
    <n v="760"/>
    <x v="0"/>
    <x v="0"/>
    <x v="0"/>
    <x v="2"/>
    <x v="1"/>
    <x v="0"/>
  </r>
  <r>
    <x v="16"/>
    <s v="21305 LOC 723"/>
    <s v="21300 LOC 723"/>
    <s v="KM - 5 - LA CARO - KM - 5"/>
    <n v="58"/>
    <n v="5"/>
    <n v="929.93"/>
    <n v="269679.7"/>
    <n v="584"/>
    <n v="290"/>
    <x v="0"/>
    <x v="0"/>
    <x v="0"/>
    <x v="3"/>
    <x v="1"/>
    <x v="0"/>
  </r>
  <r>
    <x v="17"/>
    <s v="21301 AUT 1723"/>
    <s v="21302 AUT 1723"/>
    <s v="KM - 5 - LA CARO - KM - 5"/>
    <n v="58"/>
    <n v="4"/>
    <n v="929.93"/>
    <n v="215743.75999999998"/>
    <n v="175"/>
    <n v="232"/>
    <x v="0"/>
    <x v="0"/>
    <x v="0"/>
    <x v="1"/>
    <x v="1"/>
    <x v="0"/>
  </r>
  <r>
    <x v="17"/>
    <s v="21303 LOC 752"/>
    <s v="22300 LOC 752"/>
    <s v="KM - 5- PK-43 U MIL - KM - 5"/>
    <n v="76"/>
    <n v="10"/>
    <n v="929.93"/>
    <n v="706746.79999999993"/>
    <n v="1325"/>
    <n v="760"/>
    <x v="0"/>
    <x v="0"/>
    <x v="0"/>
    <x v="2"/>
    <x v="1"/>
    <x v="0"/>
  </r>
  <r>
    <x v="17"/>
    <s v="21305 LOC 723"/>
    <s v="21300 LOC 723"/>
    <s v="KM - 5 - LA CARO - KM - 5"/>
    <n v="58"/>
    <n v="5"/>
    <n v="929.93"/>
    <n v="269679.7"/>
    <n v="830"/>
    <n v="290"/>
    <x v="0"/>
    <x v="0"/>
    <x v="0"/>
    <x v="3"/>
    <x v="1"/>
    <x v="0"/>
  </r>
  <r>
    <x v="18"/>
    <s v="21301 AUT 1723"/>
    <s v="21300 AUT 1723"/>
    <s v="KM - 5 - LA CARO - KM - 5"/>
    <n v="58"/>
    <n v="4"/>
    <n v="929.93"/>
    <n v="215743.75999999998"/>
    <n v="253"/>
    <n v="232"/>
    <x v="1"/>
    <x v="0"/>
    <x v="1"/>
    <x v="1"/>
    <x v="1"/>
    <x v="0"/>
  </r>
  <r>
    <x v="18"/>
    <s v="21303 LOC 752"/>
    <s v="22300 LOC 752"/>
    <s v="KM - 5- PK-43 U MIL - KM - 5"/>
    <n v="76"/>
    <n v="9"/>
    <n v="929.93"/>
    <n v="636072.12"/>
    <n v="989"/>
    <n v="684"/>
    <x v="1"/>
    <x v="0"/>
    <x v="1"/>
    <x v="2"/>
    <x v="1"/>
    <x v="0"/>
  </r>
  <r>
    <x v="19"/>
    <s v="21301 AUT 1676"/>
    <s v="21302 AUT 1676"/>
    <s v="KM - 5 - LA CARO - KM - 5"/>
    <n v="58"/>
    <n v="4"/>
    <n v="929.93"/>
    <n v="215743.75999999998"/>
    <n v="139"/>
    <n v="232"/>
    <x v="1"/>
    <x v="0"/>
    <x v="1"/>
    <x v="1"/>
    <x v="1"/>
    <x v="0"/>
  </r>
  <r>
    <x v="19"/>
    <s v="21303 LOS 752"/>
    <s v="22300 LOC 752"/>
    <s v="KM - 5- PK-43 U MIL - KM - 5"/>
    <n v="76"/>
    <n v="9"/>
    <n v="929.93"/>
    <n v="636072.12"/>
    <n v="1374"/>
    <n v="684"/>
    <x v="1"/>
    <x v="0"/>
    <x v="1"/>
    <x v="2"/>
    <x v="1"/>
    <x v="0"/>
  </r>
  <r>
    <x v="19"/>
    <s v="21305 LOC 723"/>
    <s v="21300 LOC 723"/>
    <s v="KM - 5 - LA CARO - KM - 5"/>
    <n v="58"/>
    <n v="6"/>
    <n v="929.93"/>
    <n v="323615.63999999996"/>
    <n v="890"/>
    <n v="348"/>
    <x v="1"/>
    <x v="0"/>
    <x v="1"/>
    <x v="3"/>
    <x v="1"/>
    <x v="0"/>
  </r>
  <r>
    <x v="20"/>
    <s v="21301 AUT 1696"/>
    <s v="22300 AUT 1696"/>
    <s v="KM - 5- PK-43 U MIL - KM - 5"/>
    <n v="76"/>
    <n v="3"/>
    <n v="929.93"/>
    <n v="212024.03999999998"/>
    <n v="359"/>
    <n v="228"/>
    <x v="1"/>
    <x v="0"/>
    <x v="1"/>
    <x v="2"/>
    <x v="1"/>
    <x v="0"/>
  </r>
  <r>
    <x v="20"/>
    <s v="21303 LOC 711"/>
    <s v="22302 LOC 711"/>
    <s v="KM-5 - ZIPAQUIRA - KM - 5"/>
    <n v="96"/>
    <n v="12"/>
    <n v="929.93"/>
    <n v="1071279.3599999999"/>
    <n v="900"/>
    <n v="1152"/>
    <x v="1"/>
    <x v="0"/>
    <x v="1"/>
    <x v="0"/>
    <x v="0"/>
    <x v="0"/>
  </r>
  <r>
    <x v="21"/>
    <s v="21301 LOC 752"/>
    <s v="22300 LOC 752"/>
    <s v="KM-5 - ZIPAQUIRA - KM - 5"/>
    <n v="96"/>
    <n v="11"/>
    <n v="929.93"/>
    <n v="982006.08"/>
    <n v="840"/>
    <n v="1056"/>
    <x v="1"/>
    <x v="0"/>
    <x v="1"/>
    <x v="0"/>
    <x v="0"/>
    <x v="0"/>
  </r>
  <r>
    <x v="22"/>
    <s v="21301 AUT 1696"/>
    <s v="21300 AUT 1696"/>
    <s v="KM - 5 - LA CARO - KM - 5"/>
    <n v="58"/>
    <n v="4"/>
    <n v="929.93"/>
    <n v="215743.75999999998"/>
    <n v="172"/>
    <n v="232"/>
    <x v="1"/>
    <x v="0"/>
    <x v="1"/>
    <x v="1"/>
    <x v="1"/>
    <x v="0"/>
  </r>
  <r>
    <x v="22"/>
    <s v="21303 LOC 752"/>
    <s v="22300 LOC 752"/>
    <s v="KM - 5- PK-43 U MIL - KM - 5"/>
    <n v="76"/>
    <n v="9"/>
    <n v="929.93"/>
    <n v="636072.12"/>
    <n v="971"/>
    <n v="684"/>
    <x v="1"/>
    <x v="0"/>
    <x v="1"/>
    <x v="2"/>
    <x v="1"/>
    <x v="0"/>
  </r>
  <r>
    <x v="23"/>
    <s v="21301 AUT 1723"/>
    <s v="21302 AUT 1723"/>
    <s v="KM - 5 - LA CARO - KM - 5"/>
    <n v="58"/>
    <n v="4"/>
    <n v="929.93"/>
    <n v="215743.75999999998"/>
    <n v="174"/>
    <n v="232"/>
    <x v="1"/>
    <x v="0"/>
    <x v="1"/>
    <x v="1"/>
    <x v="1"/>
    <x v="0"/>
  </r>
  <r>
    <x v="23"/>
    <s v="21303 LOS 752"/>
    <s v="22300 LOC 752"/>
    <s v="KM - 5- PK-43 U MIL - KM - 5"/>
    <n v="76"/>
    <n v="9"/>
    <n v="929.93"/>
    <n v="636072.12"/>
    <n v="1330"/>
    <n v="684"/>
    <x v="1"/>
    <x v="0"/>
    <x v="1"/>
    <x v="2"/>
    <x v="1"/>
    <x v="0"/>
  </r>
  <r>
    <x v="23"/>
    <s v="21305 LOC 711"/>
    <s v="21300 LOC 711"/>
    <s v="KM - 5 - LA CARO - KM - 5"/>
    <n v="58"/>
    <n v="5"/>
    <n v="929.93"/>
    <n v="269679.7"/>
    <n v="617"/>
    <n v="290"/>
    <x v="1"/>
    <x v="0"/>
    <x v="1"/>
    <x v="3"/>
    <x v="1"/>
    <x v="0"/>
  </r>
  <r>
    <x v="24"/>
    <s v="21301 AUT 1696"/>
    <s v="21302 AUT 1696"/>
    <s v="KM - 5 - LA CARO - KM - 5"/>
    <n v="58"/>
    <n v="4"/>
    <n v="929.93"/>
    <n v="215743.75999999998"/>
    <n v="156"/>
    <n v="232"/>
    <x v="1"/>
    <x v="0"/>
    <x v="1"/>
    <x v="1"/>
    <x v="1"/>
    <x v="0"/>
  </r>
  <r>
    <x v="24"/>
    <s v="21303 LOS 752"/>
    <s v="22300 LOC 752"/>
    <s v="KM - 5- PK-43 U MIL - KM - 5"/>
    <n v="76"/>
    <n v="9"/>
    <n v="929.93"/>
    <n v="636072.12"/>
    <n v="1242"/>
    <n v="684"/>
    <x v="1"/>
    <x v="0"/>
    <x v="1"/>
    <x v="2"/>
    <x v="1"/>
    <x v="0"/>
  </r>
  <r>
    <x v="24"/>
    <s v="21305 LOC 711"/>
    <s v="21300 LOC 711"/>
    <s v="KM - 5 - LA CARO - KM - 5"/>
    <n v="58"/>
    <n v="5"/>
    <n v="929.93"/>
    <n v="269679.7"/>
    <n v="761"/>
    <n v="290"/>
    <x v="1"/>
    <x v="0"/>
    <x v="1"/>
    <x v="3"/>
    <x v="1"/>
    <x v="0"/>
  </r>
  <r>
    <x v="25"/>
    <s v="21301 AUT 1696"/>
    <s v="21302 AUT 1696"/>
    <s v="KM - 5 - LA CARO - KM - 5"/>
    <n v="58"/>
    <n v="4"/>
    <n v="929.93"/>
    <n v="215743.75999999998"/>
    <n v="146"/>
    <n v="232"/>
    <x v="1"/>
    <x v="0"/>
    <x v="1"/>
    <x v="1"/>
    <x v="1"/>
    <x v="0"/>
  </r>
  <r>
    <x v="25"/>
    <s v="21303 LOS 723"/>
    <s v="22300 LOC 723"/>
    <s v="KM - 5- PK-43 U MIL - KM - 5"/>
    <n v="76"/>
    <n v="9"/>
    <n v="929.93"/>
    <n v="636072.12"/>
    <n v="1136"/>
    <n v="684"/>
    <x v="1"/>
    <x v="0"/>
    <x v="1"/>
    <x v="2"/>
    <x v="1"/>
    <x v="0"/>
  </r>
  <r>
    <x v="25"/>
    <s v="21305 LOC 711"/>
    <s v="21300 LOC 711"/>
    <s v="KM - 5 - LA CARO - KM - 5"/>
    <n v="58"/>
    <n v="5"/>
    <n v="929.93"/>
    <n v="269679.7"/>
    <n v="716"/>
    <n v="290"/>
    <x v="1"/>
    <x v="0"/>
    <x v="1"/>
    <x v="3"/>
    <x v="1"/>
    <x v="0"/>
  </r>
  <r>
    <x v="26"/>
    <s v="21301 AUT 1676"/>
    <s v="21302 AUT 1676"/>
    <s v="KM - 5 - LA CARO - KM - 5"/>
    <n v="58"/>
    <n v="4"/>
    <n v="929.93"/>
    <n v="215743.75999999998"/>
    <n v="125"/>
    <n v="232"/>
    <x v="1"/>
    <x v="0"/>
    <x v="1"/>
    <x v="1"/>
    <x v="1"/>
    <x v="0"/>
  </r>
  <r>
    <x v="26"/>
    <s v="21303 LOS 723"/>
    <s v="22300 LOC 723"/>
    <s v="KM - 5- PK-43 U MIL - KM - 5"/>
    <n v="76"/>
    <n v="9"/>
    <n v="929.93"/>
    <n v="636072.12"/>
    <n v="1418"/>
    <n v="684"/>
    <x v="1"/>
    <x v="0"/>
    <x v="1"/>
    <x v="2"/>
    <x v="1"/>
    <x v="0"/>
  </r>
  <r>
    <x v="26"/>
    <s v="21305 LOC 711"/>
    <s v="21300 LOC 711"/>
    <s v="KM - 5 - LA CARO - KM - 5"/>
    <n v="58"/>
    <n v="6"/>
    <n v="929.93"/>
    <n v="323615.63999999996"/>
    <n v="909"/>
    <n v="348"/>
    <x v="1"/>
    <x v="0"/>
    <x v="1"/>
    <x v="3"/>
    <x v="1"/>
    <x v="0"/>
  </r>
  <r>
    <x v="27"/>
    <s v="21301 AUT 1676"/>
    <s v="22300 AUT 1676"/>
    <s v="KM - 5- PK-43 U MIL - KM - 5"/>
    <n v="76"/>
    <n v="3"/>
    <n v="929.93"/>
    <n v="212024.03999999998"/>
    <n v="339"/>
    <n v="228"/>
    <x v="1"/>
    <x v="0"/>
    <x v="1"/>
    <x v="2"/>
    <x v="1"/>
    <x v="0"/>
  </r>
  <r>
    <x v="27"/>
    <s v="21303 LOC 350"/>
    <s v="22302 LOC 350"/>
    <s v="KM-5 - ZIPAQUIRA - KM - 5"/>
    <n v="96"/>
    <n v="9"/>
    <n v="929.93"/>
    <n v="803459.5199999999"/>
    <n v="810"/>
    <n v="864"/>
    <x v="1"/>
    <x v="0"/>
    <x v="1"/>
    <x v="0"/>
    <x v="0"/>
    <x v="0"/>
  </r>
  <r>
    <x v="28"/>
    <s v="21301 LOC 350"/>
    <s v="22300 LOC 350"/>
    <s v="KM-5 - ZIPAQUIRA - KM - 5"/>
    <n v="96"/>
    <n v="11"/>
    <n v="929.93"/>
    <n v="982006.08"/>
    <n v="830"/>
    <n v="1056"/>
    <x v="1"/>
    <x v="0"/>
    <x v="1"/>
    <x v="0"/>
    <x v="0"/>
    <x v="0"/>
  </r>
  <r>
    <x v="29"/>
    <s v="21301 AUT 1696"/>
    <s v="21302 AUT 1696"/>
    <s v="KM - 5 - LA CARO - KM - 5"/>
    <n v="58"/>
    <n v="4"/>
    <n v="929.93"/>
    <n v="215743.75999999998"/>
    <n v="150"/>
    <n v="232"/>
    <x v="1"/>
    <x v="0"/>
    <x v="1"/>
    <x v="1"/>
    <x v="1"/>
    <x v="0"/>
  </r>
  <r>
    <x v="29"/>
    <s v="21303 LOC 711"/>
    <s v="22300 LOC 711"/>
    <s v="KM - 5- PK-43 U MIL - KM - 5"/>
    <n v="76"/>
    <n v="9"/>
    <n v="929.93"/>
    <n v="636072.12"/>
    <n v="1039"/>
    <n v="684"/>
    <x v="1"/>
    <x v="0"/>
    <x v="1"/>
    <x v="2"/>
    <x v="1"/>
    <x v="0"/>
  </r>
  <r>
    <x v="29"/>
    <s v="21305 AUT 1723"/>
    <s v="21300 AUT 1723"/>
    <s v="KM - 5 - LA CARO - KM - 5"/>
    <n v="58"/>
    <n v="4"/>
    <n v="929.93"/>
    <n v="215743.75999999998"/>
    <n v="522"/>
    <n v="232"/>
    <x v="1"/>
    <x v="0"/>
    <x v="1"/>
    <x v="3"/>
    <x v="1"/>
    <x v="0"/>
  </r>
  <r>
    <x v="30"/>
    <s v="21301 AUT 1696"/>
    <s v="21302 AUT 1696"/>
    <s v="KM - 5 - LA CARO - KM - 5"/>
    <n v="58"/>
    <n v="4"/>
    <n v="929.93"/>
    <n v="215743.75999999998"/>
    <n v="199"/>
    <n v="232"/>
    <x v="1"/>
    <x v="0"/>
    <x v="1"/>
    <x v="1"/>
    <x v="1"/>
    <x v="0"/>
  </r>
  <r>
    <x v="30"/>
    <s v="21303 LOC 350"/>
    <s v="22300 LOC 350"/>
    <s v="KM - 5- PK-43 U MIL - KM - 5"/>
    <n v="76"/>
    <n v="9"/>
    <n v="929.93"/>
    <n v="636072.12"/>
    <n v="1393"/>
    <n v="684"/>
    <x v="1"/>
    <x v="0"/>
    <x v="1"/>
    <x v="2"/>
    <x v="1"/>
    <x v="0"/>
  </r>
  <r>
    <x v="30"/>
    <s v="21305 LOC 723"/>
    <s v="21300 LOC 723"/>
    <s v="KM - 5 - LA CARO - KM - 5"/>
    <n v="58"/>
    <n v="5"/>
    <n v="929.93"/>
    <n v="269679.7"/>
    <n v="605"/>
    <n v="290"/>
    <x v="1"/>
    <x v="0"/>
    <x v="1"/>
    <x v="3"/>
    <x v="1"/>
    <x v="0"/>
  </r>
  <r>
    <x v="31"/>
    <s v="21301 AUT 1696"/>
    <s v="21302 AUT 1696"/>
    <s v="KM - 5 - LA CARO - KM - 5"/>
    <n v="58"/>
    <n v="4"/>
    <n v="929.93"/>
    <n v="215743.75999999998"/>
    <n v="157"/>
    <n v="232"/>
    <x v="1"/>
    <x v="0"/>
    <x v="1"/>
    <x v="1"/>
    <x v="1"/>
    <x v="0"/>
  </r>
  <r>
    <x v="31"/>
    <s v="21303 LOC 350"/>
    <s v="22300 LOC 350"/>
    <s v="KM - 5- PK-43 U MIL - KM - 5"/>
    <n v="76"/>
    <n v="9"/>
    <n v="929.93"/>
    <n v="636072.12"/>
    <n v="1370"/>
    <n v="684"/>
    <x v="1"/>
    <x v="0"/>
    <x v="1"/>
    <x v="2"/>
    <x v="1"/>
    <x v="0"/>
  </r>
  <r>
    <x v="31"/>
    <s v="21305 LOC 723"/>
    <s v="21300 LOC 723"/>
    <s v="KM - 5 - LA CARO - KM - 5"/>
    <n v="58"/>
    <n v="5"/>
    <n v="929.93"/>
    <n v="269679.7"/>
    <n v="353"/>
    <n v="290"/>
    <x v="1"/>
    <x v="0"/>
    <x v="1"/>
    <x v="3"/>
    <x v="1"/>
    <x v="0"/>
  </r>
  <r>
    <x v="32"/>
    <s v="21301 AUT 1723"/>
    <s v="21302 AUT 1723"/>
    <s v="KM - 5 - LA CARO - KM - 5"/>
    <n v="58"/>
    <n v="4"/>
    <n v="929.93"/>
    <n v="215743.75999999998"/>
    <n v="167"/>
    <n v="232"/>
    <x v="1"/>
    <x v="0"/>
    <x v="1"/>
    <x v="1"/>
    <x v="1"/>
    <x v="0"/>
  </r>
  <r>
    <x v="32"/>
    <s v="21303 LOC 350"/>
    <s v="22300 LOC 350"/>
    <s v="KM - 5- PK-43 U MIL - KM - 5"/>
    <n v="76"/>
    <n v="9"/>
    <n v="929.93"/>
    <n v="636072.12"/>
    <n v="1097"/>
    <n v="684"/>
    <x v="1"/>
    <x v="0"/>
    <x v="1"/>
    <x v="2"/>
    <x v="1"/>
    <x v="0"/>
  </r>
  <r>
    <x v="32"/>
    <s v="21305 LOC 723"/>
    <s v="21300 LOC 723"/>
    <s v="KM - 5 - LA CARO - KM - 5"/>
    <n v="58"/>
    <n v="5"/>
    <n v="929.93"/>
    <n v="269679.7"/>
    <n v="635"/>
    <n v="290"/>
    <x v="1"/>
    <x v="0"/>
    <x v="1"/>
    <x v="3"/>
    <x v="1"/>
    <x v="0"/>
  </r>
  <r>
    <x v="33"/>
    <s v="21301 AUT 1723"/>
    <s v="21302 AUT 1723"/>
    <s v="KM - 5 - LA CARO - KM - 5"/>
    <n v="58"/>
    <n v="4"/>
    <n v="929.93"/>
    <n v="215743.75999999998"/>
    <n v="138"/>
    <n v="232"/>
    <x v="1"/>
    <x v="0"/>
    <x v="1"/>
    <x v="1"/>
    <x v="1"/>
    <x v="0"/>
  </r>
  <r>
    <x v="33"/>
    <s v="21303 LOC 350"/>
    <s v="22300 LOC 350"/>
    <s v="KM - 5- PK-43 U MIL - KM - 5"/>
    <n v="76"/>
    <n v="9"/>
    <n v="929.93"/>
    <n v="636072.12"/>
    <n v="1377"/>
    <n v="684"/>
    <x v="1"/>
    <x v="0"/>
    <x v="1"/>
    <x v="2"/>
    <x v="1"/>
    <x v="0"/>
  </r>
  <r>
    <x v="33"/>
    <s v="21305 LOC 723"/>
    <s v="21300 LOC 723"/>
    <s v="KM - 5 - LA CARO - KM - 5"/>
    <n v="58"/>
    <n v="6"/>
    <n v="929.93"/>
    <n v="323615.63999999996"/>
    <n v="864"/>
    <n v="348"/>
    <x v="1"/>
    <x v="0"/>
    <x v="1"/>
    <x v="3"/>
    <x v="1"/>
    <x v="0"/>
  </r>
  <r>
    <x v="34"/>
    <s v="21301 AUT 1696"/>
    <s v="22300 AUT 1696"/>
    <s v="KM - 5- PK-43 U MIL - KM - 5"/>
    <n v="76"/>
    <n v="3"/>
    <n v="929.93"/>
    <n v="212024.03999999998"/>
    <n v="428"/>
    <n v="228"/>
    <x v="1"/>
    <x v="0"/>
    <x v="1"/>
    <x v="2"/>
    <x v="1"/>
    <x v="0"/>
  </r>
  <r>
    <x v="34"/>
    <s v="21303 LOC 752"/>
    <s v="22302 LOC 752"/>
    <s v="KM-5 - ZIPAQUIRA - KM - 5"/>
    <n v="96"/>
    <n v="10"/>
    <n v="929.93"/>
    <n v="892732.79999999993"/>
    <n v="630"/>
    <n v="960"/>
    <x v="1"/>
    <x v="0"/>
    <x v="1"/>
    <x v="0"/>
    <x v="0"/>
    <x v="0"/>
  </r>
  <r>
    <x v="35"/>
    <s v="21301 LOC 752"/>
    <s v="22300 LOC 752"/>
    <s v="KM-5 - ZIPAQUIRA - KM - 5"/>
    <n v="96"/>
    <n v="11"/>
    <n v="929.93"/>
    <n v="982006.08"/>
    <n v="758"/>
    <n v="1056"/>
    <x v="1"/>
    <x v="0"/>
    <x v="1"/>
    <x v="0"/>
    <x v="0"/>
    <x v="0"/>
  </r>
  <r>
    <x v="36"/>
    <s v="21301 AUT 1723"/>
    <s v="21302 AUT 1723"/>
    <s v="KM - 5 - LA CARO - KM - 5"/>
    <n v="58"/>
    <n v="4"/>
    <n v="929.93"/>
    <n v="215743.75999999998"/>
    <n v="183"/>
    <n v="232"/>
    <x v="1"/>
    <x v="0"/>
    <x v="1"/>
    <x v="1"/>
    <x v="1"/>
    <x v="0"/>
  </r>
  <r>
    <x v="36"/>
    <s v="21303 LOC 752"/>
    <s v="22300 LOC 752"/>
    <s v="KM - 5- PK-43 U MIL - KM - 5"/>
    <n v="76"/>
    <n v="9"/>
    <n v="929.93"/>
    <n v="636072.12"/>
    <n v="1044"/>
    <n v="684"/>
    <x v="1"/>
    <x v="0"/>
    <x v="1"/>
    <x v="2"/>
    <x v="1"/>
    <x v="0"/>
  </r>
  <r>
    <x v="36"/>
    <s v="21305 AUT 1696"/>
    <s v="21300 AUT 1696"/>
    <s v="KM - 5 - LA CARO - KM - 5"/>
    <n v="58"/>
    <n v="4"/>
    <n v="929.93"/>
    <n v="215743.75999999998"/>
    <n v="632"/>
    <n v="232"/>
    <x v="1"/>
    <x v="0"/>
    <x v="1"/>
    <x v="3"/>
    <x v="1"/>
    <x v="0"/>
  </r>
  <r>
    <x v="37"/>
    <s v="21301 AUT 1696"/>
    <s v="21302 AUT 1696"/>
    <s v="KM - 5 - LA CARO - KM - 5"/>
    <n v="58"/>
    <n v="4"/>
    <n v="929.93"/>
    <n v="215743.75999999998"/>
    <n v="191"/>
    <n v="232"/>
    <x v="1"/>
    <x v="0"/>
    <x v="1"/>
    <x v="1"/>
    <x v="1"/>
    <x v="0"/>
  </r>
  <r>
    <x v="37"/>
    <s v="21303 LOC 752"/>
    <s v="22300 LOC 752"/>
    <s v="KM - 5- PK-43 U MIL - KM - 5"/>
    <n v="76"/>
    <n v="9"/>
    <n v="929.93"/>
    <n v="636072.12"/>
    <n v="1261"/>
    <n v="684"/>
    <x v="1"/>
    <x v="0"/>
    <x v="1"/>
    <x v="2"/>
    <x v="1"/>
    <x v="0"/>
  </r>
  <r>
    <x v="37"/>
    <s v="21305 LOC  723"/>
    <s v="21300 LOC 723"/>
    <s v="KM - 5 - LA CARO - KM - 5"/>
    <n v="58"/>
    <n v="5"/>
    <n v="929.93"/>
    <n v="269679.7"/>
    <n v="684"/>
    <n v="290"/>
    <x v="1"/>
    <x v="0"/>
    <x v="1"/>
    <x v="3"/>
    <x v="1"/>
    <x v="0"/>
  </r>
  <r>
    <x v="38"/>
    <s v="21301 AUT 1696"/>
    <s v="21302 AUT 1696"/>
    <s v="KM - 5 - LA CARO - KM - 5"/>
    <n v="58"/>
    <n v="4"/>
    <n v="929.93"/>
    <n v="215743.75999999998"/>
    <n v="174"/>
    <n v="232"/>
    <x v="1"/>
    <x v="0"/>
    <x v="1"/>
    <x v="1"/>
    <x v="1"/>
    <x v="0"/>
  </r>
  <r>
    <x v="38"/>
    <s v="21303 LOC 711"/>
    <s v="22300 LOC 711"/>
    <s v="KM - 5- PK-43 U MIL - KM - 5"/>
    <n v="76"/>
    <n v="9"/>
    <n v="929.93"/>
    <n v="636072.12"/>
    <n v="1271"/>
    <n v="684"/>
    <x v="1"/>
    <x v="0"/>
    <x v="1"/>
    <x v="2"/>
    <x v="1"/>
    <x v="0"/>
  </r>
  <r>
    <x v="38"/>
    <s v="21305 LOC 723"/>
    <s v="21300 LOC 723"/>
    <s v="KM - 5 - LA CARO - KM - 5"/>
    <n v="58"/>
    <n v="5"/>
    <n v="929.93"/>
    <n v="269679.7"/>
    <n v="785"/>
    <n v="290"/>
    <x v="1"/>
    <x v="0"/>
    <x v="1"/>
    <x v="3"/>
    <x v="1"/>
    <x v="0"/>
  </r>
  <r>
    <x v="39"/>
    <s v="21301 AUT 1676"/>
    <s v="21302 AUT 1676"/>
    <s v="KM - 5 - LA CARO - KM - 5"/>
    <n v="58"/>
    <n v="4"/>
    <n v="929.93"/>
    <n v="215743.75999999998"/>
    <n v="176"/>
    <n v="232"/>
    <x v="1"/>
    <x v="0"/>
    <x v="1"/>
    <x v="1"/>
    <x v="1"/>
    <x v="0"/>
  </r>
  <r>
    <x v="39"/>
    <s v="21303 LOC 711"/>
    <s v="22300 LOC 711"/>
    <s v="KM - 5- PK-43 U MIL - KM - 5"/>
    <n v="76"/>
    <n v="9"/>
    <n v="929.93"/>
    <n v="636072.12"/>
    <n v="1083"/>
    <n v="684"/>
    <x v="1"/>
    <x v="0"/>
    <x v="1"/>
    <x v="2"/>
    <x v="1"/>
    <x v="0"/>
  </r>
  <r>
    <x v="39"/>
    <s v="21305 LOC 723"/>
    <s v="21300 LOC 723"/>
    <s v="KM - 5 - LA CARO - KM - 5"/>
    <n v="58"/>
    <n v="5"/>
    <n v="929.93"/>
    <n v="269679.7"/>
    <n v="684"/>
    <n v="290"/>
    <x v="1"/>
    <x v="0"/>
    <x v="1"/>
    <x v="3"/>
    <x v="1"/>
    <x v="0"/>
  </r>
  <r>
    <x v="40"/>
    <s v="21301 AUT 1676"/>
    <s v="21302 AUT 1676"/>
    <s v="KM - 5 - LA CARO - KM - 5"/>
    <n v="58"/>
    <n v="4"/>
    <n v="929.93"/>
    <n v="215743.75999999998"/>
    <n v="149"/>
    <n v="232"/>
    <x v="1"/>
    <x v="0"/>
    <x v="1"/>
    <x v="1"/>
    <x v="1"/>
    <x v="0"/>
  </r>
  <r>
    <x v="40"/>
    <s v="21303 LOC 711"/>
    <s v="22300 LOC 711"/>
    <s v="KM - 5- PK-43 U MIL - KM - 5"/>
    <n v="76"/>
    <n v="9"/>
    <n v="929.93"/>
    <n v="636072.12"/>
    <n v="1389"/>
    <n v="684"/>
    <x v="1"/>
    <x v="0"/>
    <x v="1"/>
    <x v="2"/>
    <x v="1"/>
    <x v="0"/>
  </r>
  <r>
    <x v="40"/>
    <s v="21305 LOC 723"/>
    <s v="21300 LOC 723"/>
    <s v="KM - 5 - LA CARO - KM - 5"/>
    <n v="58"/>
    <n v="6"/>
    <n v="929.93"/>
    <n v="323615.63999999996"/>
    <n v="880"/>
    <n v="348"/>
    <x v="1"/>
    <x v="0"/>
    <x v="1"/>
    <x v="3"/>
    <x v="1"/>
    <x v="0"/>
  </r>
  <r>
    <x v="41"/>
    <s v="21301 AUT 1696"/>
    <s v="22300 AUT 1696"/>
    <s v="KM - 5- PK-43 U MIL - KM - 5"/>
    <n v="76"/>
    <n v="3"/>
    <n v="929.93"/>
    <n v="212024.03999999998"/>
    <n v="394"/>
    <n v="228"/>
    <x v="1"/>
    <x v="0"/>
    <x v="1"/>
    <x v="2"/>
    <x v="1"/>
    <x v="0"/>
  </r>
  <r>
    <x v="41"/>
    <s v="21303 LOC 752"/>
    <s v="22302 LOC 752"/>
    <s v="KM-5 - ZIPAQUIRA - KM - 5"/>
    <n v="96"/>
    <n v="12"/>
    <n v="929.93"/>
    <n v="1071279.3599999999"/>
    <n v="766"/>
    <n v="1152"/>
    <x v="1"/>
    <x v="0"/>
    <x v="1"/>
    <x v="0"/>
    <x v="0"/>
    <x v="0"/>
  </r>
  <r>
    <x v="42"/>
    <s v="21301 LOC 711"/>
    <s v="22300 LOC 711"/>
    <s v="KM-5 - ZIPAQUIRA - KM - 5"/>
    <n v="96"/>
    <n v="14"/>
    <n v="929.93"/>
    <n v="1249825.92"/>
    <n v="1076"/>
    <n v="1344"/>
    <x v="1"/>
    <x v="0"/>
    <x v="1"/>
    <x v="0"/>
    <x v="0"/>
    <x v="0"/>
  </r>
  <r>
    <x v="43"/>
    <s v="21301 AUT 1723"/>
    <s v="21302 AUT 1723"/>
    <s v="KM - 5 - LA CARO - KM - 5"/>
    <n v="58"/>
    <n v="4"/>
    <n v="929.93"/>
    <n v="215743.75999999998"/>
    <n v="186"/>
    <n v="232"/>
    <x v="1"/>
    <x v="0"/>
    <x v="1"/>
    <x v="1"/>
    <x v="1"/>
    <x v="0"/>
  </r>
  <r>
    <x v="43"/>
    <s v="21303 LOC 723"/>
    <s v="22300 LOC 723"/>
    <s v="KM - 5- PK-43 U MIL - KM - 5"/>
    <n v="76"/>
    <n v="9"/>
    <n v="929.93"/>
    <n v="636072.12"/>
    <n v="971"/>
    <n v="684"/>
    <x v="1"/>
    <x v="0"/>
    <x v="1"/>
    <x v="2"/>
    <x v="1"/>
    <x v="0"/>
  </r>
  <r>
    <x v="43"/>
    <s v="21305 AUT 1696"/>
    <s v="21300 AUT 1696"/>
    <s v="KM - 5 - LA CARO - KM - 5"/>
    <n v="58"/>
    <n v="4"/>
    <n v="929.93"/>
    <n v="215743.75999999998"/>
    <n v="580"/>
    <n v="232"/>
    <x v="1"/>
    <x v="0"/>
    <x v="1"/>
    <x v="3"/>
    <x v="1"/>
    <x v="0"/>
  </r>
  <r>
    <x v="44"/>
    <s v="21301 AUT 1723"/>
    <s v="21302 AUT 1723"/>
    <s v="KM - 5 - LA CARO - KM - 5"/>
    <n v="58"/>
    <n v="4"/>
    <n v="929.93"/>
    <n v="215743.75999999998"/>
    <n v="204"/>
    <n v="232"/>
    <x v="1"/>
    <x v="0"/>
    <x v="1"/>
    <x v="1"/>
    <x v="1"/>
    <x v="0"/>
  </r>
  <r>
    <x v="44"/>
    <s v="21303 LOC 752"/>
    <s v="22300 LOC 752"/>
    <s v="KM - 5- PK-43 U MIL - KM - 5"/>
    <n v="76"/>
    <n v="9"/>
    <n v="929.93"/>
    <n v="636072.12"/>
    <n v="1293"/>
    <n v="684"/>
    <x v="1"/>
    <x v="0"/>
    <x v="1"/>
    <x v="2"/>
    <x v="1"/>
    <x v="0"/>
  </r>
  <r>
    <x v="44"/>
    <s v="21305 LOC 711"/>
    <s v="21300 LOC 711"/>
    <s v="KM - 5 - LA CARO - KM - 5"/>
    <n v="58"/>
    <n v="5"/>
    <n v="929.93"/>
    <n v="269679.7"/>
    <n v="640"/>
    <n v="290"/>
    <x v="1"/>
    <x v="0"/>
    <x v="1"/>
    <x v="3"/>
    <x v="1"/>
    <x v="0"/>
  </r>
  <r>
    <x v="45"/>
    <s v="21301 AUT 1696"/>
    <s v="21302 AUT 1696"/>
    <s v="KM - 5 - LA CARO - KM - 5"/>
    <n v="58"/>
    <n v="4"/>
    <n v="929.93"/>
    <n v="215743.75999999998"/>
    <n v="150"/>
    <n v="232"/>
    <x v="1"/>
    <x v="0"/>
    <x v="1"/>
    <x v="1"/>
    <x v="1"/>
    <x v="0"/>
  </r>
  <r>
    <x v="45"/>
    <s v="21303 LOC 752"/>
    <s v="22300 LOC 752"/>
    <s v="KM - 5- PK-43 U MIL - KM - 5"/>
    <n v="76"/>
    <n v="9"/>
    <n v="929.93"/>
    <n v="636072.12"/>
    <n v="1218"/>
    <n v="684"/>
    <x v="1"/>
    <x v="0"/>
    <x v="1"/>
    <x v="2"/>
    <x v="1"/>
    <x v="0"/>
  </r>
  <r>
    <x v="45"/>
    <s v="21305 LOC 711"/>
    <s v="21300 LOC 711"/>
    <s v="KM - 5 - LA CARO - KM - 5"/>
    <n v="58"/>
    <n v="5"/>
    <n v="929.93"/>
    <n v="269679.7"/>
    <n v="775"/>
    <n v="290"/>
    <x v="1"/>
    <x v="0"/>
    <x v="1"/>
    <x v="3"/>
    <x v="1"/>
    <x v="0"/>
  </r>
  <r>
    <x v="46"/>
    <s v="21301 AUT 1696"/>
    <s v="21302 AUT 1696"/>
    <s v="KM - 5 - LA CARO - KM - 5"/>
    <n v="58"/>
    <n v="4"/>
    <n v="929.93"/>
    <n v="215743.75999999998"/>
    <n v="194"/>
    <n v="232"/>
    <x v="1"/>
    <x v="0"/>
    <x v="1"/>
    <x v="1"/>
    <x v="1"/>
    <x v="0"/>
  </r>
  <r>
    <x v="46"/>
    <s v="21303 LOC 752"/>
    <s v="22300 LOC 752"/>
    <s v="KM - 5- PK-43 U MIL - KM - 5"/>
    <n v="76"/>
    <n v="9"/>
    <n v="929.93"/>
    <n v="636072.12"/>
    <n v="951"/>
    <n v="684"/>
    <x v="1"/>
    <x v="0"/>
    <x v="1"/>
    <x v="2"/>
    <x v="1"/>
    <x v="0"/>
  </r>
  <r>
    <x v="46"/>
    <s v="21305 LOC 711"/>
    <s v="21300 LOC 711"/>
    <s v="KM - 5 - LA CARO - KM - 5"/>
    <n v="58"/>
    <n v="5"/>
    <n v="929.93"/>
    <n v="269679.7"/>
    <n v="641"/>
    <n v="290"/>
    <x v="1"/>
    <x v="0"/>
    <x v="1"/>
    <x v="3"/>
    <x v="1"/>
    <x v="0"/>
  </r>
  <r>
    <x v="47"/>
    <s v="21301 AUT 1696"/>
    <s v="21302 AUT 1696"/>
    <s v="KM - 5 - LA CARO - KM - 5"/>
    <n v="58"/>
    <n v="4"/>
    <n v="929.93"/>
    <n v="215743.75999999998"/>
    <n v="141"/>
    <n v="232"/>
    <x v="2"/>
    <x v="0"/>
    <x v="2"/>
    <x v="1"/>
    <x v="1"/>
    <x v="0"/>
  </r>
  <r>
    <x v="47"/>
    <s v="21303 LOS 752"/>
    <s v="22300 LOC 752"/>
    <s v="KM - 5- PK-43 U MIL - KM - 5"/>
    <n v="76"/>
    <n v="9"/>
    <n v="929.93"/>
    <n v="636072.12"/>
    <n v="1309"/>
    <n v="684"/>
    <x v="2"/>
    <x v="0"/>
    <x v="2"/>
    <x v="2"/>
    <x v="1"/>
    <x v="0"/>
  </r>
  <r>
    <x v="47"/>
    <s v="21305 LOC 711"/>
    <s v="21300 LOC 711"/>
    <s v="KM - 5 - LA CARO - KM - 5"/>
    <n v="58"/>
    <n v="6"/>
    <n v="929.93"/>
    <n v="323615.63999999996"/>
    <n v="813"/>
    <n v="348"/>
    <x v="2"/>
    <x v="0"/>
    <x v="2"/>
    <x v="3"/>
    <x v="1"/>
    <x v="0"/>
  </r>
  <r>
    <x v="48"/>
    <s v="21301 AUT 1723"/>
    <s v="22300 AUT 1723"/>
    <s v="KM - 5- PK-43 U MIL - KM - 5"/>
    <n v="76"/>
    <n v="3"/>
    <n v="929.93"/>
    <n v="212024.03999999998"/>
    <n v="393"/>
    <n v="228"/>
    <x v="2"/>
    <x v="0"/>
    <x v="2"/>
    <x v="2"/>
    <x v="1"/>
    <x v="0"/>
  </r>
  <r>
    <x v="48"/>
    <s v="21303 LOC 752"/>
    <s v="22302 LOC 752"/>
    <s v="KM-5 - ZIPAQUIRA - KM - 5"/>
    <n v="96"/>
    <n v="11"/>
    <n v="929.93"/>
    <n v="982006.08"/>
    <n v="648"/>
    <n v="1056"/>
    <x v="2"/>
    <x v="0"/>
    <x v="2"/>
    <x v="0"/>
    <x v="0"/>
    <x v="0"/>
  </r>
  <r>
    <x v="49"/>
    <s v="21301 LOC 752"/>
    <s v="22300 LOC 752"/>
    <s v="KM-5 - ZIPAQUIRA - KM - 5"/>
    <n v="96"/>
    <n v="15"/>
    <n v="929.93"/>
    <n v="1339099.2"/>
    <n v="1120"/>
    <n v="1440"/>
    <x v="2"/>
    <x v="0"/>
    <x v="2"/>
    <x v="0"/>
    <x v="0"/>
    <x v="0"/>
  </r>
  <r>
    <x v="50"/>
    <s v="21301 AUT 1696"/>
    <s v="21302 AUT 1696"/>
    <s v="KM - 5 - LA CARO - KM - 5"/>
    <n v="58"/>
    <n v="4"/>
    <n v="929.93"/>
    <n v="215743.75999999998"/>
    <n v="153"/>
    <n v="232"/>
    <x v="2"/>
    <x v="0"/>
    <x v="2"/>
    <x v="1"/>
    <x v="1"/>
    <x v="0"/>
  </r>
  <r>
    <x v="50"/>
    <s v="21303 LOS 711"/>
    <s v="22300 LOC 711"/>
    <s v="KM - 5- PK-43 U MIL - KM - 5"/>
    <n v="76"/>
    <n v="9"/>
    <n v="929.93"/>
    <n v="636072.12"/>
    <n v="989"/>
    <n v="684"/>
    <x v="2"/>
    <x v="0"/>
    <x v="2"/>
    <x v="2"/>
    <x v="1"/>
    <x v="0"/>
  </r>
  <r>
    <x v="50"/>
    <s v="21305 AUT-1723"/>
    <s v="21300AUT-1723"/>
    <s v="KM - 5 - LA CARO - KM - 5"/>
    <n v="58"/>
    <n v="4"/>
    <n v="929.93"/>
    <n v="215743.75999999998"/>
    <n v="580"/>
    <n v="232"/>
    <x v="2"/>
    <x v="0"/>
    <x v="2"/>
    <x v="3"/>
    <x v="1"/>
    <x v="0"/>
  </r>
  <r>
    <x v="51"/>
    <s v="21301 AUT 1723"/>
    <s v="21302 AUT 1723"/>
    <s v="KM - 5 - LA CARO - KM - 5"/>
    <n v="58"/>
    <n v="4"/>
    <n v="929.93"/>
    <n v="215743.75999999998"/>
    <n v="187"/>
    <n v="232"/>
    <x v="2"/>
    <x v="0"/>
    <x v="2"/>
    <x v="1"/>
    <x v="1"/>
    <x v="0"/>
  </r>
  <r>
    <x v="51"/>
    <s v="21303 LOS 752"/>
    <s v="22300 LOC 752"/>
    <s v="KM - 5- PK-43 U MIL - KM - 5"/>
    <n v="76"/>
    <n v="9"/>
    <n v="929.93"/>
    <n v="636072.12"/>
    <n v="1328"/>
    <n v="684"/>
    <x v="2"/>
    <x v="0"/>
    <x v="2"/>
    <x v="2"/>
    <x v="1"/>
    <x v="0"/>
  </r>
  <r>
    <x v="51"/>
    <s v="21305 LOC 723"/>
    <s v="21300 LOC 723"/>
    <s v="KM - 5 - LA CARO - KM - 5"/>
    <n v="58"/>
    <n v="5"/>
    <n v="929.93"/>
    <n v="269679.7"/>
    <n v="601"/>
    <n v="290"/>
    <x v="2"/>
    <x v="0"/>
    <x v="2"/>
    <x v="3"/>
    <x v="1"/>
    <x v="0"/>
  </r>
  <r>
    <x v="52"/>
    <s v="21301 AUT 1696"/>
    <s v="21302 AUT 1696"/>
    <s v="KM - 5 - LA CARO - KM - 5"/>
    <n v="58"/>
    <n v="4"/>
    <n v="929.93"/>
    <n v="215743.75999999998"/>
    <n v="152"/>
    <n v="232"/>
    <x v="2"/>
    <x v="0"/>
    <x v="2"/>
    <x v="1"/>
    <x v="1"/>
    <x v="0"/>
  </r>
  <r>
    <x v="52"/>
    <s v="21303 LOS 711"/>
    <s v="22300 LOC 711"/>
    <s v="KM - 5- PK-43 U MIL - KM - 5"/>
    <n v="76"/>
    <n v="9"/>
    <n v="929.93"/>
    <n v="636072.12"/>
    <n v="1247"/>
    <n v="684"/>
    <x v="2"/>
    <x v="0"/>
    <x v="2"/>
    <x v="2"/>
    <x v="1"/>
    <x v="0"/>
  </r>
  <r>
    <x v="52"/>
    <s v="21305 LOC 723"/>
    <s v="21300 LOC 723"/>
    <s v="KM - 5 - LA CARO - KM - 5"/>
    <n v="58"/>
    <n v="5"/>
    <n v="929.93"/>
    <n v="269679.7"/>
    <n v="775"/>
    <n v="290"/>
    <x v="2"/>
    <x v="0"/>
    <x v="2"/>
    <x v="3"/>
    <x v="1"/>
    <x v="0"/>
  </r>
  <r>
    <x v="53"/>
    <s v="21301 AUT 1696"/>
    <s v="21302 AUT 1696"/>
    <s v="KM - 5 - LA CARO - KM - 5"/>
    <n v="58"/>
    <n v="4"/>
    <n v="929.93"/>
    <n v="215743.75999999998"/>
    <n v="187"/>
    <n v="232"/>
    <x v="2"/>
    <x v="0"/>
    <x v="2"/>
    <x v="1"/>
    <x v="1"/>
    <x v="0"/>
  </r>
  <r>
    <x v="53"/>
    <s v="21303 LOS 711"/>
    <s v="22300 LOC 711"/>
    <s v="KM - 5- PK-43 U MIL - KM - 5"/>
    <n v="76"/>
    <n v="9"/>
    <n v="929.93"/>
    <n v="636072.12"/>
    <n v="987"/>
    <n v="684"/>
    <x v="2"/>
    <x v="0"/>
    <x v="2"/>
    <x v="2"/>
    <x v="1"/>
    <x v="0"/>
  </r>
  <r>
    <x v="53"/>
    <s v="21305 LOC 723"/>
    <s v="21300 LOC 723"/>
    <s v="KM - 5 - LA CARO - KM - 5"/>
    <n v="58"/>
    <n v="5"/>
    <n v="929.93"/>
    <n v="269679.7"/>
    <n v="621"/>
    <n v="290"/>
    <x v="2"/>
    <x v="0"/>
    <x v="2"/>
    <x v="3"/>
    <x v="1"/>
    <x v="0"/>
  </r>
  <r>
    <x v="54"/>
    <s v="21301 AUT 1696"/>
    <s v="21302 AUT 1696"/>
    <s v="KM - 5 - LA CARO - KM - 5"/>
    <n v="58"/>
    <n v="4"/>
    <n v="929.93"/>
    <n v="215743.75999999998"/>
    <n v="118"/>
    <n v="232"/>
    <x v="2"/>
    <x v="0"/>
    <x v="2"/>
    <x v="1"/>
    <x v="1"/>
    <x v="0"/>
  </r>
  <r>
    <x v="54"/>
    <s v="21303 LOS 711"/>
    <s v="22300 LOC 711"/>
    <s v="KM - 5- PK-43 U MIL - KM - 5"/>
    <n v="76"/>
    <n v="9"/>
    <n v="929.93"/>
    <n v="636072.12"/>
    <n v="1401"/>
    <n v="684"/>
    <x v="2"/>
    <x v="0"/>
    <x v="2"/>
    <x v="2"/>
    <x v="1"/>
    <x v="0"/>
  </r>
  <r>
    <x v="54"/>
    <s v="21305 LOC 723"/>
    <s v="21300 LOC 723"/>
    <s v="KM - 5 - LA CARO - KM - 5"/>
    <n v="58"/>
    <n v="6"/>
    <n v="929.93"/>
    <n v="323615.63999999996"/>
    <n v="856"/>
    <n v="348"/>
    <x v="2"/>
    <x v="0"/>
    <x v="2"/>
    <x v="3"/>
    <x v="1"/>
    <x v="0"/>
  </r>
  <r>
    <x v="55"/>
    <s v="21301 AUT 1723"/>
    <s v="22300 AUT 1723"/>
    <s v="KM - 5- PK-43 U MIL - KM - 5"/>
    <n v="76"/>
    <n v="3"/>
    <n v="929.93"/>
    <n v="212024.03999999998"/>
    <n v="384"/>
    <n v="228"/>
    <x v="2"/>
    <x v="0"/>
    <x v="2"/>
    <x v="2"/>
    <x v="1"/>
    <x v="0"/>
  </r>
  <r>
    <x v="55"/>
    <s v="21303 LOC 350"/>
    <s v="22302 LOC 350"/>
    <s v="KM-5 - ZIPAQUIRA - KM - 5"/>
    <n v="96"/>
    <n v="10"/>
    <n v="929.93"/>
    <n v="892732.79999999993"/>
    <n v="776"/>
    <n v="960"/>
    <x v="2"/>
    <x v="0"/>
    <x v="2"/>
    <x v="0"/>
    <x v="0"/>
    <x v="0"/>
  </r>
  <r>
    <x v="56"/>
    <s v="21301 LOC 752"/>
    <s v="22300 LOC 752"/>
    <s v="KM-5 - ZIPAQUIRA - KM - 5"/>
    <n v="96"/>
    <n v="13"/>
    <n v="929.93"/>
    <n v="1160552.6399999999"/>
    <n v="988"/>
    <n v="1248"/>
    <x v="2"/>
    <x v="0"/>
    <x v="2"/>
    <x v="0"/>
    <x v="0"/>
    <x v="0"/>
  </r>
  <r>
    <x v="57"/>
    <s v="21301 AUT 1696"/>
    <s v="21302 AUT 1696"/>
    <s v="KM - 5 - LA CARO - KM - 5"/>
    <n v="58"/>
    <n v="4"/>
    <n v="929.93"/>
    <n v="215743.75999999998"/>
    <n v="164"/>
    <n v="232"/>
    <x v="2"/>
    <x v="0"/>
    <x v="2"/>
    <x v="1"/>
    <x v="1"/>
    <x v="0"/>
  </r>
  <r>
    <x v="57"/>
    <s v="21303 LOS 752"/>
    <s v="22300 LOC 752"/>
    <s v="KM - 5- PK-43 U MIL - KM - 5"/>
    <n v="76"/>
    <n v="9"/>
    <n v="929.93"/>
    <n v="636072.12"/>
    <n v="1032"/>
    <n v="684"/>
    <x v="2"/>
    <x v="0"/>
    <x v="2"/>
    <x v="2"/>
    <x v="1"/>
    <x v="0"/>
  </r>
  <r>
    <x v="57"/>
    <s v="21305 AUT 1723"/>
    <s v="21300 AUT 1723"/>
    <s v="KM - 5 - LA CARO - KM - 5"/>
    <n v="58"/>
    <n v="4"/>
    <n v="929.93"/>
    <n v="215743.75999999998"/>
    <n v="603"/>
    <n v="232"/>
    <x v="2"/>
    <x v="0"/>
    <x v="2"/>
    <x v="3"/>
    <x v="1"/>
    <x v="0"/>
  </r>
  <r>
    <x v="58"/>
    <s v="21301 AUT 1696"/>
    <s v="21302 AUT 1696"/>
    <s v="KM - 5 - LA CARO - KM - 5"/>
    <n v="58"/>
    <n v="4"/>
    <n v="929.93"/>
    <n v="215743.75999999998"/>
    <n v="184"/>
    <n v="232"/>
    <x v="2"/>
    <x v="0"/>
    <x v="2"/>
    <x v="1"/>
    <x v="1"/>
    <x v="0"/>
  </r>
  <r>
    <x v="58"/>
    <s v="21303 LOS 752"/>
    <s v="22300 LOC 752"/>
    <s v="KM - 5- PK-43 U MIL - KM - 5"/>
    <n v="76"/>
    <n v="9"/>
    <n v="929.93"/>
    <n v="636072.12"/>
    <n v="1275"/>
    <n v="684"/>
    <x v="2"/>
    <x v="0"/>
    <x v="2"/>
    <x v="2"/>
    <x v="1"/>
    <x v="0"/>
  </r>
  <r>
    <x v="58"/>
    <s v="21305 LOC 711"/>
    <s v="21300 LOC 711"/>
    <s v="KM - 5 - LA CARO - KM - 5"/>
    <n v="58"/>
    <n v="5"/>
    <n v="929.93"/>
    <n v="269679.7"/>
    <n v="617"/>
    <n v="290"/>
    <x v="2"/>
    <x v="0"/>
    <x v="2"/>
    <x v="3"/>
    <x v="1"/>
    <x v="0"/>
  </r>
  <r>
    <x v="59"/>
    <s v="21301 AUT 1696"/>
    <s v="21302 AUT 1696"/>
    <s v="KM - 5 - LA CARO - KM - 5"/>
    <n v="58"/>
    <n v="4"/>
    <n v="929.93"/>
    <n v="215743.75999999998"/>
    <n v="160"/>
    <n v="232"/>
    <x v="2"/>
    <x v="0"/>
    <x v="2"/>
    <x v="1"/>
    <x v="1"/>
    <x v="0"/>
  </r>
  <r>
    <x v="59"/>
    <s v="21303 LOS 752"/>
    <s v="22300 LOC 752"/>
    <s v="KM - 5- PK-43 U MIL - KM - 5"/>
    <n v="76"/>
    <n v="9"/>
    <n v="929.93"/>
    <n v="636072.12"/>
    <n v="1353"/>
    <n v="684"/>
    <x v="2"/>
    <x v="0"/>
    <x v="2"/>
    <x v="2"/>
    <x v="1"/>
    <x v="0"/>
  </r>
  <r>
    <x v="59"/>
    <s v="21305 LOC 711"/>
    <s v="21300 LOC 711"/>
    <s v="KM - 5 - LA CARO - KM - 5"/>
    <n v="58"/>
    <n v="5"/>
    <n v="929.93"/>
    <n v="269679.7"/>
    <n v="735"/>
    <n v="290"/>
    <x v="2"/>
    <x v="0"/>
    <x v="2"/>
    <x v="3"/>
    <x v="1"/>
    <x v="0"/>
  </r>
  <r>
    <x v="60"/>
    <s v="21301 AUT 1723"/>
    <s v="21302 AUT 1723"/>
    <s v="KM - 5 - LA CARO - KM - 5"/>
    <n v="58"/>
    <n v="4"/>
    <n v="929.93"/>
    <n v="215743.75999999998"/>
    <n v="176"/>
    <n v="232"/>
    <x v="2"/>
    <x v="0"/>
    <x v="2"/>
    <x v="1"/>
    <x v="1"/>
    <x v="0"/>
  </r>
  <r>
    <x v="60"/>
    <s v="21303 LOS 350"/>
    <s v="22300 LOC 350"/>
    <s v="KM - 5- PK-43 U MIL - KM - 5"/>
    <n v="76"/>
    <n v="9"/>
    <n v="929.93"/>
    <n v="636072.12"/>
    <n v="1272"/>
    <n v="684"/>
    <x v="2"/>
    <x v="0"/>
    <x v="2"/>
    <x v="2"/>
    <x v="1"/>
    <x v="0"/>
  </r>
  <r>
    <x v="60"/>
    <s v="21305 LOC 723"/>
    <s v="21300 LOC 723"/>
    <s v="KM - 5 - LA CARO - KM - 5"/>
    <n v="58"/>
    <n v="5"/>
    <n v="929.93"/>
    <n v="269679.7"/>
    <n v="475"/>
    <n v="290"/>
    <x v="2"/>
    <x v="0"/>
    <x v="2"/>
    <x v="3"/>
    <x v="1"/>
    <x v="0"/>
  </r>
  <r>
    <x v="61"/>
    <s v="21301 AUT 1696"/>
    <s v="21302 AUT 1696"/>
    <s v="KM - 5 - LA CARO - KM - 5"/>
    <n v="58"/>
    <n v="4"/>
    <n v="929.93"/>
    <n v="215743.75999999998"/>
    <n v="116"/>
    <n v="232"/>
    <x v="2"/>
    <x v="0"/>
    <x v="2"/>
    <x v="1"/>
    <x v="1"/>
    <x v="0"/>
  </r>
  <r>
    <x v="61"/>
    <s v="21303 LOS 350"/>
    <s v="22300 LOC 350"/>
    <s v="KM - 5- PK-43 U MIL - KM - 5"/>
    <n v="76"/>
    <n v="9"/>
    <n v="929.93"/>
    <n v="636072.12"/>
    <n v="1368"/>
    <n v="684"/>
    <x v="2"/>
    <x v="0"/>
    <x v="2"/>
    <x v="2"/>
    <x v="1"/>
    <x v="0"/>
  </r>
  <r>
    <x v="61"/>
    <s v="21305 LOC 723"/>
    <s v="21300 LOC 723"/>
    <s v="KM - 5 - LA CARO - KM - 5"/>
    <n v="58"/>
    <n v="6"/>
    <n v="929.93"/>
    <n v="323615.63999999996"/>
    <n v="822"/>
    <n v="348"/>
    <x v="2"/>
    <x v="0"/>
    <x v="2"/>
    <x v="3"/>
    <x v="1"/>
    <x v="0"/>
  </r>
  <r>
    <x v="62"/>
    <s v="21301 AUT 1723"/>
    <s v="22300 AUT 1723"/>
    <s v="KM - 5- PK-43 U MIL - KM - 5"/>
    <n v="76"/>
    <n v="3"/>
    <n v="929.93"/>
    <n v="212024.03999999998"/>
    <n v="333"/>
    <n v="228"/>
    <x v="2"/>
    <x v="0"/>
    <x v="2"/>
    <x v="2"/>
    <x v="1"/>
    <x v="0"/>
  </r>
  <r>
    <x v="62"/>
    <s v="21303 LOC 752"/>
    <s v="22302 LOC 752"/>
    <s v="KM-5 - ZIPAQUIRA - KM - 5"/>
    <n v="96"/>
    <n v="10"/>
    <n v="929.93"/>
    <n v="892732.79999999993"/>
    <n v="614"/>
    <n v="960"/>
    <x v="2"/>
    <x v="0"/>
    <x v="2"/>
    <x v="0"/>
    <x v="0"/>
    <x v="0"/>
  </r>
  <r>
    <x v="63"/>
    <s v="21301 LOC 350"/>
    <s v="22300 LOC 350"/>
    <s v="KM-5 - ZIPAQUIRA - KM - 5"/>
    <n v="96"/>
    <n v="13"/>
    <n v="929.93"/>
    <n v="1160552.6399999999"/>
    <n v="1128"/>
    <n v="1248"/>
    <x v="2"/>
    <x v="0"/>
    <x v="2"/>
    <x v="0"/>
    <x v="0"/>
    <x v="0"/>
  </r>
  <r>
    <x v="64"/>
    <s v="21301 AUT 1696"/>
    <s v="21302 AUT 1696"/>
    <s v="KM - 5 - LA CARO - KM - 5"/>
    <n v="58"/>
    <n v="4"/>
    <n v="929.93"/>
    <n v="215743.75999999998"/>
    <n v="151"/>
    <n v="232"/>
    <x v="2"/>
    <x v="0"/>
    <x v="2"/>
    <x v="1"/>
    <x v="1"/>
    <x v="0"/>
  </r>
  <r>
    <x v="64"/>
    <s v="21303 LOS 350"/>
    <s v="22300 LOC 350"/>
    <s v="KM - 5- PK-43 U MIL - KM - 5"/>
    <n v="76"/>
    <n v="9"/>
    <n v="929.93"/>
    <n v="636072.12"/>
    <n v="986"/>
    <n v="684"/>
    <x v="2"/>
    <x v="0"/>
    <x v="2"/>
    <x v="2"/>
    <x v="1"/>
    <x v="0"/>
  </r>
  <r>
    <x v="64"/>
    <s v="21305 AUT 1723"/>
    <s v="21300 AUT 1723"/>
    <s v="KM - 5 - LA CARO - KM - 5"/>
    <n v="58"/>
    <n v="4"/>
    <n v="929.93"/>
    <n v="215743.75999999998"/>
    <n v="581"/>
    <n v="232"/>
    <x v="2"/>
    <x v="0"/>
    <x v="2"/>
    <x v="3"/>
    <x v="1"/>
    <x v="0"/>
  </r>
  <r>
    <x v="65"/>
    <s v="21301 AUT 1696"/>
    <s v="21302 AUT 1696"/>
    <s v="KM - 5 - LA CARO - KM - 5"/>
    <n v="58"/>
    <n v="4"/>
    <n v="929.93"/>
    <n v="215743.75999999998"/>
    <n v="183"/>
    <n v="232"/>
    <x v="2"/>
    <x v="0"/>
    <x v="2"/>
    <x v="1"/>
    <x v="1"/>
    <x v="0"/>
  </r>
  <r>
    <x v="65"/>
    <s v="21303 LOS 350"/>
    <s v="22300 LOC 350"/>
    <s v="KM - 5- PK-43 U MIL - KM - 5"/>
    <n v="76"/>
    <n v="9"/>
    <n v="929.93"/>
    <n v="636072.12"/>
    <n v="1256"/>
    <n v="684"/>
    <x v="2"/>
    <x v="0"/>
    <x v="2"/>
    <x v="2"/>
    <x v="1"/>
    <x v="0"/>
  </r>
  <r>
    <x v="65"/>
    <s v="21305 LOC 723"/>
    <s v="21300 LOC 723"/>
    <s v="KM - 5 - LA CARO - KM - 5"/>
    <n v="58"/>
    <n v="5"/>
    <n v="929.93"/>
    <n v="269679.7"/>
    <n v="626"/>
    <n v="290"/>
    <x v="2"/>
    <x v="0"/>
    <x v="2"/>
    <x v="3"/>
    <x v="1"/>
    <x v="0"/>
  </r>
  <r>
    <x v="66"/>
    <s v="21301 AUT 1696"/>
    <s v="21302 AUT 1696"/>
    <s v="KM - 5 - LA CARO - KM - 5"/>
    <n v="58"/>
    <n v="4"/>
    <n v="929.93"/>
    <n v="215743.75999999998"/>
    <n v="163"/>
    <n v="232"/>
    <x v="2"/>
    <x v="0"/>
    <x v="2"/>
    <x v="1"/>
    <x v="1"/>
    <x v="0"/>
  </r>
  <r>
    <x v="66"/>
    <s v="21303 LOS 752"/>
    <s v="22300 LOC 752"/>
    <s v="KM - 5- PK-43 U MIL - KM - 5"/>
    <n v="76"/>
    <n v="9"/>
    <n v="929.93"/>
    <n v="636072.12"/>
    <n v="1255"/>
    <n v="684"/>
    <x v="2"/>
    <x v="0"/>
    <x v="2"/>
    <x v="2"/>
    <x v="1"/>
    <x v="0"/>
  </r>
  <r>
    <x v="66"/>
    <s v="21305 LOC 723"/>
    <s v="21300 LOC 723"/>
    <s v="KM - 5 - LA CARO - KM - 5"/>
    <n v="58"/>
    <n v="5"/>
    <n v="929.93"/>
    <n v="269679.7"/>
    <n v="745"/>
    <n v="290"/>
    <x v="2"/>
    <x v="0"/>
    <x v="2"/>
    <x v="3"/>
    <x v="1"/>
    <x v="0"/>
  </r>
  <r>
    <x v="67"/>
    <s v="21301 AUT 1723"/>
    <s v="21302 AUT 1723"/>
    <s v="KM - 5 - LA CARO - KM - 5"/>
    <n v="58"/>
    <n v="4"/>
    <n v="929.93"/>
    <n v="215743.75999999998"/>
    <n v="174"/>
    <n v="232"/>
    <x v="2"/>
    <x v="0"/>
    <x v="2"/>
    <x v="1"/>
    <x v="1"/>
    <x v="0"/>
  </r>
  <r>
    <x v="67"/>
    <s v="21303 LOS 752"/>
    <s v="22300 LOC 752"/>
    <s v="KM - 5- PK-43 U MIL - KM - 5"/>
    <n v="76"/>
    <n v="9"/>
    <n v="929.93"/>
    <n v="636072.12"/>
    <n v="903"/>
    <n v="684"/>
    <x v="2"/>
    <x v="0"/>
    <x v="2"/>
    <x v="2"/>
    <x v="1"/>
    <x v="0"/>
  </r>
  <r>
    <x v="67"/>
    <s v="21305 LOC 723"/>
    <s v="21300 LOC 723"/>
    <s v="KM - 5 - LA CARO - KM - 5"/>
    <n v="58"/>
    <n v="5"/>
    <n v="929.93"/>
    <n v="269679.7"/>
    <n v="625"/>
    <n v="290"/>
    <x v="2"/>
    <x v="0"/>
    <x v="2"/>
    <x v="3"/>
    <x v="1"/>
    <x v="0"/>
  </r>
  <r>
    <x v="68"/>
    <s v="21301 AUT 1723"/>
    <s v="21302 AUT 1723"/>
    <s v="KM - 5 - LA CARO - KM - 5"/>
    <n v="58"/>
    <n v="4"/>
    <n v="929.93"/>
    <n v="215743.75999999998"/>
    <n v="135"/>
    <n v="232"/>
    <x v="2"/>
    <x v="0"/>
    <x v="2"/>
    <x v="1"/>
    <x v="1"/>
    <x v="0"/>
  </r>
  <r>
    <x v="68"/>
    <s v="21303 LOS 752"/>
    <s v="22300 LOC 752"/>
    <s v="KM - 5- PK-43 U MIL - KM - 5"/>
    <n v="76"/>
    <n v="9"/>
    <n v="929.93"/>
    <n v="636072.12"/>
    <n v="1293"/>
    <n v="684"/>
    <x v="2"/>
    <x v="0"/>
    <x v="2"/>
    <x v="2"/>
    <x v="1"/>
    <x v="0"/>
  </r>
  <r>
    <x v="68"/>
    <s v="21305 LOC 723"/>
    <s v="21300 LOC 723"/>
    <s v="KM - 5 - LA CARO - KM - 5"/>
    <n v="58"/>
    <n v="6"/>
    <n v="929.93"/>
    <n v="323615.63999999996"/>
    <n v="688"/>
    <n v="348"/>
    <x v="2"/>
    <x v="0"/>
    <x v="2"/>
    <x v="3"/>
    <x v="1"/>
    <x v="0"/>
  </r>
  <r>
    <x v="69"/>
    <s v="21301 AUT 1696"/>
    <s v="22300 AUT 1696"/>
    <s v="KM - 5- PK-43 U MIL - KM - 5"/>
    <n v="76"/>
    <n v="3"/>
    <n v="929.93"/>
    <n v="212024.03999999998"/>
    <n v="270"/>
    <n v="228"/>
    <x v="2"/>
    <x v="0"/>
    <x v="2"/>
    <x v="2"/>
    <x v="1"/>
    <x v="0"/>
  </r>
  <r>
    <x v="69"/>
    <s v="21303 LOC 350"/>
    <s v="22302 LOC 350"/>
    <s v="KM-5 - ZIPAQUIRA - KM - 5"/>
    <n v="96"/>
    <n v="12"/>
    <n v="929.93"/>
    <n v="1071279.3599999999"/>
    <n v="644"/>
    <n v="1152"/>
    <x v="2"/>
    <x v="0"/>
    <x v="2"/>
    <x v="0"/>
    <x v="0"/>
    <x v="0"/>
  </r>
  <r>
    <x v="70"/>
    <s v="21301 LOC 723"/>
    <s v="22300 LOC 723"/>
    <s v="KM-5 - ZIPAQUIRA - KM - 5"/>
    <n v="96"/>
    <n v="18"/>
    <n v="929.93"/>
    <n v="1606919.0399999998"/>
    <n v="1572"/>
    <n v="1728"/>
    <x v="2"/>
    <x v="0"/>
    <x v="2"/>
    <x v="0"/>
    <x v="0"/>
    <x v="0"/>
  </r>
  <r>
    <x v="70"/>
    <s v="21303 LOC 711"/>
    <s v="21300 LOC 711"/>
    <s v="PAIPA - SOGAMOSO-PAIPA"/>
    <n v="62"/>
    <n v="8"/>
    <n v="929.93"/>
    <n v="461245.27999999997"/>
    <n v="160"/>
    <n v="496"/>
    <x v="2"/>
    <x v="0"/>
    <x v="2"/>
    <x v="4"/>
    <x v="0"/>
    <x v="0"/>
  </r>
  <r>
    <x v="71"/>
    <s v="21301 LOC 752"/>
    <s v="22300 LOC 752"/>
    <s v="KM-5 - ZIPAQUIRA - KM - 5"/>
    <n v="96"/>
    <n v="18"/>
    <n v="929.93"/>
    <n v="1606919.0399999998"/>
    <n v="1426"/>
    <n v="1728"/>
    <x v="2"/>
    <x v="0"/>
    <x v="2"/>
    <x v="0"/>
    <x v="0"/>
    <x v="0"/>
  </r>
  <r>
    <x v="71"/>
    <s v="21303 LOC 711"/>
    <s v="21300 LOC 711"/>
    <s v="PAIPA - SOGAMOSO-PAIPA"/>
    <n v="62"/>
    <n v="8"/>
    <n v="929.93"/>
    <n v="461245.27999999997"/>
    <n v="262"/>
    <n v="496"/>
    <x v="2"/>
    <x v="0"/>
    <x v="2"/>
    <x v="4"/>
    <x v="0"/>
    <x v="0"/>
  </r>
  <r>
    <x v="72"/>
    <s v="21301 LOC 752"/>
    <s v="22300 LOC 752"/>
    <s v="KM-5 - ZIPAQUIRA - KM - 5"/>
    <n v="96"/>
    <n v="9"/>
    <n v="929.93"/>
    <n v="803459.5199999999"/>
    <n v="574"/>
    <n v="864"/>
    <x v="2"/>
    <x v="0"/>
    <x v="2"/>
    <x v="0"/>
    <x v="0"/>
    <x v="0"/>
  </r>
  <r>
    <x v="72"/>
    <s v="21303 LOC 711"/>
    <s v="21300 LOC 711"/>
    <s v="PAIPA - SOGAMOSO-PAIPA"/>
    <n v="62"/>
    <n v="8"/>
    <n v="929.93"/>
    <n v="461245.27999999997"/>
    <n v="250"/>
    <n v="496"/>
    <x v="2"/>
    <x v="0"/>
    <x v="2"/>
    <x v="4"/>
    <x v="0"/>
    <x v="0"/>
  </r>
  <r>
    <x v="73"/>
    <s v="21301 LOC 723"/>
    <s v="22300 LOC 723"/>
    <s v="KM-5 - ZIPAQUIRA - KM - 5"/>
    <n v="96"/>
    <n v="10"/>
    <n v="929.93"/>
    <n v="892732.79999999993"/>
    <n v="518"/>
    <n v="960"/>
    <x v="2"/>
    <x v="0"/>
    <x v="2"/>
    <x v="0"/>
    <x v="0"/>
    <x v="0"/>
  </r>
  <r>
    <x v="73"/>
    <s v="21303 LOC 711"/>
    <s v="21300 LOC 711"/>
    <s v="PAIPA - SOGAMOSO-PAIPA"/>
    <n v="62"/>
    <n v="8"/>
    <n v="929.93"/>
    <n v="461245.27999999997"/>
    <n v="302"/>
    <n v="496"/>
    <x v="2"/>
    <x v="0"/>
    <x v="2"/>
    <x v="4"/>
    <x v="0"/>
    <x v="0"/>
  </r>
  <r>
    <x v="74"/>
    <s v="21301 LOC 350"/>
    <s v="22300 LOC 350"/>
    <s v="KM-5 - ZIPAQUIRA - KM - 5"/>
    <n v="96"/>
    <n v="18"/>
    <n v="929.93"/>
    <n v="1606919.0399999998"/>
    <n v="1544"/>
    <n v="1728"/>
    <x v="2"/>
    <x v="0"/>
    <x v="2"/>
    <x v="0"/>
    <x v="0"/>
    <x v="0"/>
  </r>
  <r>
    <x v="74"/>
    <s v="21303 LOC 711"/>
    <s v="21300 LOC 711"/>
    <s v="PAIPA - SOGAMOSO-PAIPA"/>
    <n v="62"/>
    <n v="8"/>
    <n v="929.93"/>
    <n v="461245.27999999997"/>
    <n v="482"/>
    <n v="496"/>
    <x v="2"/>
    <x v="0"/>
    <x v="2"/>
    <x v="4"/>
    <x v="0"/>
    <x v="0"/>
  </r>
  <r>
    <x v="75"/>
    <s v="21301 LOC 723"/>
    <s v="22300 LOC 723"/>
    <s v="KM-5 - ZIPAQUIRA - KM - 5"/>
    <n v="96"/>
    <n v="18"/>
    <n v="929.93"/>
    <n v="1606919.0399999998"/>
    <n v="1566"/>
    <n v="1728"/>
    <x v="2"/>
    <x v="0"/>
    <x v="2"/>
    <x v="0"/>
    <x v="0"/>
    <x v="0"/>
  </r>
  <r>
    <x v="75"/>
    <s v="21303 LOC 711"/>
    <s v="21300 LOC 711"/>
    <s v="PAIPA - SOGAMOSO-PAIPA"/>
    <n v="62"/>
    <n v="8"/>
    <n v="929.93"/>
    <n v="461245.27999999997"/>
    <n v="510"/>
    <n v="496"/>
    <x v="2"/>
    <x v="0"/>
    <x v="2"/>
    <x v="4"/>
    <x v="0"/>
    <x v="0"/>
  </r>
  <r>
    <x v="76"/>
    <s v="21301 LOC 723"/>
    <s v="22300 LOC 723"/>
    <s v="KM-5 - ZIPAQUIRA - KM - 5"/>
    <n v="96"/>
    <n v="18"/>
    <n v="929.93"/>
    <n v="1606919.0399999998"/>
    <n v="1606"/>
    <n v="1728"/>
    <x v="2"/>
    <x v="0"/>
    <x v="2"/>
    <x v="0"/>
    <x v="0"/>
    <x v="0"/>
  </r>
  <r>
    <x v="76"/>
    <s v="21303 LOC 711"/>
    <s v="21300 LOC 711"/>
    <s v="PAIPA - SOGAMOSO-PAIPA"/>
    <n v="62"/>
    <n v="8"/>
    <n v="929.93"/>
    <n v="461245.27999999997"/>
    <n v="606"/>
    <n v="496"/>
    <x v="2"/>
    <x v="0"/>
    <x v="2"/>
    <x v="4"/>
    <x v="0"/>
    <x v="0"/>
  </r>
  <r>
    <x v="77"/>
    <s v="21301 LOC 350"/>
    <s v="22300 LOC 350"/>
    <s v="KM-5 - ZIPAQUIRA - KM - 5"/>
    <n v="96"/>
    <n v="12"/>
    <n v="929.93"/>
    <n v="1071279.3599999999"/>
    <n v="766"/>
    <n v="1152"/>
    <x v="2"/>
    <x v="0"/>
    <x v="2"/>
    <x v="0"/>
    <x v="0"/>
    <x v="0"/>
  </r>
  <r>
    <x v="78"/>
    <s v="21301 AUT 1696"/>
    <s v="21302 AUT 1696"/>
    <s v="KM - 5 - LA CARO - KM - 5"/>
    <n v="58"/>
    <n v="4"/>
    <n v="929.93"/>
    <n v="215743.75999999998"/>
    <n v="163"/>
    <n v="232"/>
    <x v="3"/>
    <x v="0"/>
    <x v="3"/>
    <x v="1"/>
    <x v="1"/>
    <x v="0"/>
  </r>
  <r>
    <x v="78"/>
    <s v="21303 LOS 723"/>
    <s v="22300 LOC 723"/>
    <s v="KM - 5- PK-43 U MIL - KM - 5"/>
    <n v="76"/>
    <n v="9"/>
    <n v="929.93"/>
    <n v="636072.12"/>
    <n v="910"/>
    <n v="684"/>
    <x v="3"/>
    <x v="0"/>
    <x v="3"/>
    <x v="2"/>
    <x v="1"/>
    <x v="0"/>
  </r>
  <r>
    <x v="78"/>
    <s v="21305 AUT 1723"/>
    <s v="21300 AUT 1723"/>
    <s v="KM - 5 - LA CARO - KM - 5"/>
    <n v="58"/>
    <n v="4"/>
    <n v="929.93"/>
    <n v="215743.75999999998"/>
    <n v="588"/>
    <n v="232"/>
    <x v="3"/>
    <x v="0"/>
    <x v="3"/>
    <x v="3"/>
    <x v="1"/>
    <x v="0"/>
  </r>
  <r>
    <x v="79"/>
    <s v="21301 AUT 1696"/>
    <s v="21302 AUT 1696"/>
    <s v="KM - 5 - LA CARO - KM - 5"/>
    <n v="58"/>
    <n v="4"/>
    <n v="929.93"/>
    <n v="215743.75999999998"/>
    <n v="189"/>
    <n v="232"/>
    <x v="3"/>
    <x v="0"/>
    <x v="3"/>
    <x v="1"/>
    <x v="1"/>
    <x v="0"/>
  </r>
  <r>
    <x v="79"/>
    <s v="21303 LOS 711"/>
    <s v="22300 LOC 711"/>
    <s v="KM - 5- PK-43 U MIL - KM - 5"/>
    <n v="76"/>
    <n v="9"/>
    <n v="929.93"/>
    <n v="636072.12"/>
    <n v="1299"/>
    <n v="684"/>
    <x v="3"/>
    <x v="0"/>
    <x v="3"/>
    <x v="2"/>
    <x v="1"/>
    <x v="0"/>
  </r>
  <r>
    <x v="79"/>
    <s v="21305 LOC 350"/>
    <s v="21300 LOC 350"/>
    <s v="KM - 5 - LA CARO - KM - 5"/>
    <n v="58"/>
    <n v="5"/>
    <n v="929.93"/>
    <n v="269679.7"/>
    <n v="666"/>
    <n v="290"/>
    <x v="3"/>
    <x v="0"/>
    <x v="3"/>
    <x v="3"/>
    <x v="1"/>
    <x v="0"/>
  </r>
  <r>
    <x v="80"/>
    <s v="21301 AUT 1696"/>
    <s v="21302 AUT 1696"/>
    <s v="KM - 5 - LA CARO - KM - 5"/>
    <n v="58"/>
    <n v="4"/>
    <n v="929.93"/>
    <n v="215743.75999999998"/>
    <n v="174"/>
    <n v="232"/>
    <x v="3"/>
    <x v="0"/>
    <x v="3"/>
    <x v="1"/>
    <x v="1"/>
    <x v="0"/>
  </r>
  <r>
    <x v="80"/>
    <s v="21303 LOS 711"/>
    <s v="22300 LOC 711"/>
    <s v="KM - 5- PK-43 U MIL - KM - 5"/>
    <n v="76"/>
    <n v="11"/>
    <n v="929.93"/>
    <n v="777421.48"/>
    <n v="1346"/>
    <n v="836"/>
    <x v="3"/>
    <x v="0"/>
    <x v="3"/>
    <x v="2"/>
    <x v="1"/>
    <x v="0"/>
  </r>
  <r>
    <x v="80"/>
    <s v="21305 LOC 350"/>
    <s v="21300 LOC 350"/>
    <s v="KM - 5 - LA CARO - KM - 5"/>
    <n v="58"/>
    <n v="5"/>
    <n v="929.93"/>
    <n v="269679.7"/>
    <n v="760"/>
    <n v="290"/>
    <x v="3"/>
    <x v="0"/>
    <x v="3"/>
    <x v="3"/>
    <x v="1"/>
    <x v="0"/>
  </r>
  <r>
    <x v="81"/>
    <s v="21301 AUT 1696"/>
    <s v="21302 AUT 1696"/>
    <s v="KM - 5 - LA CARO - KM - 5"/>
    <n v="58"/>
    <n v="4"/>
    <n v="929.93"/>
    <n v="215743.75999999998"/>
    <n v="196"/>
    <n v="232"/>
    <x v="3"/>
    <x v="0"/>
    <x v="3"/>
    <x v="1"/>
    <x v="1"/>
    <x v="0"/>
  </r>
  <r>
    <x v="81"/>
    <s v="21303 LOS 711"/>
    <s v="22300 LOC 711"/>
    <s v="KM - 5- PK-43 U MIL - KM - 5"/>
    <n v="76"/>
    <n v="9"/>
    <n v="929.93"/>
    <n v="636072.12"/>
    <n v="959"/>
    <n v="684"/>
    <x v="3"/>
    <x v="0"/>
    <x v="3"/>
    <x v="2"/>
    <x v="1"/>
    <x v="0"/>
  </r>
  <r>
    <x v="81"/>
    <s v="21305 LOC 350"/>
    <s v="21300 LOC 350"/>
    <s v="KM - 5 - LA CARO - KM - 5"/>
    <n v="58"/>
    <n v="5"/>
    <n v="929.93"/>
    <n v="269679.7"/>
    <n v="575"/>
    <n v="290"/>
    <x v="3"/>
    <x v="0"/>
    <x v="3"/>
    <x v="3"/>
    <x v="1"/>
    <x v="0"/>
  </r>
  <r>
    <x v="82"/>
    <s v="21301 AUT 1723"/>
    <s v="21302 AUT 1723"/>
    <s v="KM - 5 - LA CARO - KM - 5"/>
    <n v="58"/>
    <n v="4"/>
    <n v="929.93"/>
    <n v="215743.75999999998"/>
    <n v="160"/>
    <n v="232"/>
    <x v="3"/>
    <x v="0"/>
    <x v="3"/>
    <x v="1"/>
    <x v="1"/>
    <x v="0"/>
  </r>
  <r>
    <x v="82"/>
    <s v="21303 LOS 711"/>
    <s v="22300 LOC 711"/>
    <s v="KM - 5- PK-43 U MIL - KM - 5"/>
    <n v="76"/>
    <n v="9"/>
    <n v="929.93"/>
    <n v="636072.12"/>
    <n v="1329"/>
    <n v="684"/>
    <x v="3"/>
    <x v="0"/>
    <x v="3"/>
    <x v="2"/>
    <x v="1"/>
    <x v="0"/>
  </r>
  <r>
    <x v="82"/>
    <s v="21305 LOC 350"/>
    <s v="21300 LOC 350"/>
    <s v="KM - 5 - LA CARO - KM - 5"/>
    <n v="58"/>
    <n v="6"/>
    <n v="929.93"/>
    <n v="323615.63999999996"/>
    <n v="277"/>
    <n v="348"/>
    <x v="3"/>
    <x v="0"/>
    <x v="3"/>
    <x v="3"/>
    <x v="1"/>
    <x v="0"/>
  </r>
  <r>
    <x v="83"/>
    <s v="21301 AUT 1696"/>
    <s v="22300 AUT 1696"/>
    <s v="KM - 5- PK-43 U MIL - KM - 5"/>
    <n v="76"/>
    <n v="3"/>
    <n v="929.93"/>
    <n v="212024.03999999998"/>
    <n v="425"/>
    <n v="228"/>
    <x v="3"/>
    <x v="0"/>
    <x v="3"/>
    <x v="2"/>
    <x v="1"/>
    <x v="0"/>
  </r>
  <r>
    <x v="83"/>
    <s v="21303 LOC 723"/>
    <s v="22302 LOC 723"/>
    <s v="KM - 5 - ZIPAQUIRA-KM - 5"/>
    <n v="96"/>
    <n v="10"/>
    <n v="929.93"/>
    <n v="892732.79999999993"/>
    <n v="546"/>
    <n v="960"/>
    <x v="3"/>
    <x v="0"/>
    <x v="3"/>
    <x v="0"/>
    <x v="0"/>
    <x v="0"/>
  </r>
  <r>
    <x v="84"/>
    <s v="21301 LOC 752"/>
    <s v="22300 LOC 752"/>
    <s v="KM - 5 - ZIPAQUIRA-KM - 5"/>
    <n v="96"/>
    <n v="9"/>
    <n v="929.93"/>
    <n v="803459.5199999999"/>
    <n v="714"/>
    <n v="864"/>
    <x v="3"/>
    <x v="0"/>
    <x v="3"/>
    <x v="0"/>
    <x v="0"/>
    <x v="0"/>
  </r>
  <r>
    <x v="85"/>
    <s v="21301 AUT 1696"/>
    <s v="21302 AUT 1696"/>
    <s v="KM - 5 - LA CARO - KM - 5"/>
    <n v="58"/>
    <n v="4"/>
    <n v="929.93"/>
    <n v="215743.75999999998"/>
    <n v="177"/>
    <n v="232"/>
    <x v="3"/>
    <x v="0"/>
    <x v="3"/>
    <x v="1"/>
    <x v="1"/>
    <x v="0"/>
  </r>
  <r>
    <x v="85"/>
    <s v="21303 LOC 723"/>
    <s v="22300 LOC 723"/>
    <s v="KM - 5- PK-43 U MIL - KM - 5"/>
    <n v="76"/>
    <n v="9"/>
    <n v="929.93"/>
    <n v="636072.12"/>
    <n v="938"/>
    <n v="684"/>
    <x v="3"/>
    <x v="0"/>
    <x v="3"/>
    <x v="2"/>
    <x v="1"/>
    <x v="0"/>
  </r>
  <r>
    <x v="85"/>
    <s v="21305 AUT 1723"/>
    <s v="21300 AUT 1723"/>
    <s v="KM - 5 - LA CARO - KM - 5"/>
    <n v="58"/>
    <n v="4"/>
    <n v="929.93"/>
    <n v="215743.75999999998"/>
    <n v="547"/>
    <n v="232"/>
    <x v="3"/>
    <x v="0"/>
    <x v="3"/>
    <x v="3"/>
    <x v="1"/>
    <x v="0"/>
  </r>
  <r>
    <x v="86"/>
    <s v="21301 AUT 1696"/>
    <s v="21302 AUT 1696"/>
    <s v="KM - 5 - LA CARO - KM - 5"/>
    <n v="58"/>
    <n v="4"/>
    <n v="929.93"/>
    <n v="215743.75999999998"/>
    <n v="204"/>
    <n v="232"/>
    <x v="3"/>
    <x v="0"/>
    <x v="3"/>
    <x v="1"/>
    <x v="1"/>
    <x v="0"/>
  </r>
  <r>
    <x v="86"/>
    <s v="21303 LOC 711"/>
    <s v="22300 LOC 711"/>
    <s v="KM - 5- PK-43 U MIL - KM - 5"/>
    <n v="76"/>
    <n v="10"/>
    <n v="929.93"/>
    <n v="706746.79999999993"/>
    <n v="1163"/>
    <n v="760"/>
    <x v="3"/>
    <x v="0"/>
    <x v="3"/>
    <x v="2"/>
    <x v="1"/>
    <x v="0"/>
  </r>
  <r>
    <x v="86"/>
    <s v="21305 LOC 752"/>
    <s v="21300 LOC 752"/>
    <s v="KM - 5 - LA CARO - KM - 5"/>
    <n v="58"/>
    <n v="5"/>
    <n v="929.93"/>
    <n v="269679.7"/>
    <n v="664"/>
    <n v="290"/>
    <x v="3"/>
    <x v="0"/>
    <x v="3"/>
    <x v="3"/>
    <x v="1"/>
    <x v="0"/>
  </r>
  <r>
    <x v="87"/>
    <s v="21301 AUT 1696"/>
    <s v="21302 AUT 1696"/>
    <s v="KM - 5 - LA CARO - KM - 5"/>
    <n v="58"/>
    <n v="4"/>
    <n v="929.93"/>
    <n v="215743.75999999998"/>
    <n v="185"/>
    <n v="232"/>
    <x v="3"/>
    <x v="0"/>
    <x v="3"/>
    <x v="1"/>
    <x v="1"/>
    <x v="0"/>
  </r>
  <r>
    <x v="87"/>
    <s v="21303 LOC 711"/>
    <s v="22300 LOC 711"/>
    <s v="KM - 5- PK-43 U MIL - KM - 5"/>
    <n v="76"/>
    <n v="10"/>
    <n v="929.93"/>
    <n v="706746.79999999993"/>
    <n v="1257"/>
    <n v="760"/>
    <x v="3"/>
    <x v="0"/>
    <x v="3"/>
    <x v="2"/>
    <x v="1"/>
    <x v="0"/>
  </r>
  <r>
    <x v="87"/>
    <s v="21305 LOC 752"/>
    <s v="21300 LOC 752"/>
    <s v="KM - 5 - LA CARO - KM - 5"/>
    <n v="58"/>
    <n v="5"/>
    <n v="929.93"/>
    <n v="269679.7"/>
    <n v="670"/>
    <n v="290"/>
    <x v="3"/>
    <x v="0"/>
    <x v="3"/>
    <x v="3"/>
    <x v="1"/>
    <x v="0"/>
  </r>
  <r>
    <x v="88"/>
    <s v="21301 AUT 1696"/>
    <s v="21302 AUT 1696"/>
    <s v="KM - 5 - LA CARO - KM - 5"/>
    <n v="58"/>
    <n v="4"/>
    <n v="929.93"/>
    <n v="215743.75999999998"/>
    <n v="178"/>
    <n v="232"/>
    <x v="3"/>
    <x v="0"/>
    <x v="3"/>
    <x v="1"/>
    <x v="1"/>
    <x v="0"/>
  </r>
  <r>
    <x v="88"/>
    <s v="21303 LOC 711"/>
    <s v="22300 LOC 711"/>
    <s v="KM - 5- PK-43 U MIL - KM - 5"/>
    <n v="76"/>
    <n v="9"/>
    <n v="929.93"/>
    <n v="636072.12"/>
    <n v="865"/>
    <n v="684"/>
    <x v="3"/>
    <x v="0"/>
    <x v="3"/>
    <x v="2"/>
    <x v="1"/>
    <x v="0"/>
  </r>
  <r>
    <x v="88"/>
    <s v="21305 LOC 752"/>
    <s v="21300 LOC 752"/>
    <s v="KM - 5 - LA CARO - KM - 5"/>
    <n v="58"/>
    <n v="5"/>
    <n v="929.93"/>
    <n v="269679.7"/>
    <n v="726"/>
    <n v="290"/>
    <x v="3"/>
    <x v="0"/>
    <x v="3"/>
    <x v="3"/>
    <x v="1"/>
    <x v="0"/>
  </r>
  <r>
    <x v="89"/>
    <s v="21301 AUT 1723"/>
    <s v="21302 AUT 1723"/>
    <s v="KM - 5 - LA CARO - KM - 5"/>
    <n v="58"/>
    <n v="4"/>
    <n v="929.93"/>
    <n v="215743.75999999998"/>
    <n v="154"/>
    <n v="232"/>
    <x v="3"/>
    <x v="0"/>
    <x v="3"/>
    <x v="1"/>
    <x v="1"/>
    <x v="0"/>
  </r>
  <r>
    <x v="89"/>
    <s v="21303 LOC 711"/>
    <s v="22300 LOC 711"/>
    <s v="KM - 5- PK-43 U MIL - KM - 5"/>
    <n v="76"/>
    <n v="9"/>
    <n v="929.93"/>
    <n v="636072.12"/>
    <n v="1424"/>
    <n v="684"/>
    <x v="3"/>
    <x v="0"/>
    <x v="3"/>
    <x v="2"/>
    <x v="1"/>
    <x v="0"/>
  </r>
  <r>
    <x v="89"/>
    <s v="21305 LOC 723"/>
    <s v="21300 LOC 723"/>
    <s v="KM - 5 - LA CARO - KM - 5"/>
    <n v="58"/>
    <n v="6"/>
    <n v="929.93"/>
    <n v="323615.63999999996"/>
    <n v="798"/>
    <n v="348"/>
    <x v="3"/>
    <x v="0"/>
    <x v="3"/>
    <x v="3"/>
    <x v="1"/>
    <x v="0"/>
  </r>
  <r>
    <x v="90"/>
    <s v="21301 AUT 1723"/>
    <s v="22300 AUT 1723"/>
    <s v="KM - 5- PK-43 U MIL - KM - 5"/>
    <n v="76"/>
    <n v="3"/>
    <n v="929.93"/>
    <n v="212024.03999999998"/>
    <n v="367"/>
    <n v="228"/>
    <x v="3"/>
    <x v="0"/>
    <x v="3"/>
    <x v="2"/>
    <x v="1"/>
    <x v="0"/>
  </r>
  <r>
    <x v="90"/>
    <s v="21303 LOC 723"/>
    <s v="22302 LOC 723"/>
    <s v="KM - 5 - ZIPAQUIRA-KM - 5"/>
    <n v="96"/>
    <n v="10"/>
    <n v="929.93"/>
    <n v="892732.79999999993"/>
    <n v="876"/>
    <n v="960"/>
    <x v="3"/>
    <x v="0"/>
    <x v="3"/>
    <x v="0"/>
    <x v="0"/>
    <x v="0"/>
  </r>
  <r>
    <x v="91"/>
    <s v="21301 LOC 350"/>
    <s v="22300 LOC 350"/>
    <s v="KM - 5 - ZIPAQUIRA-KM - 5"/>
    <n v="96"/>
    <n v="12"/>
    <n v="929.93"/>
    <n v="1071279.3599999999"/>
    <n v="900"/>
    <n v="1152"/>
    <x v="3"/>
    <x v="0"/>
    <x v="3"/>
    <x v="0"/>
    <x v="0"/>
    <x v="0"/>
  </r>
  <r>
    <x v="92"/>
    <s v="21301 AUT 1696"/>
    <s v="21302 AUT 1696"/>
    <s v="KM - 5 - LA CARO - KM - 5"/>
    <n v="58"/>
    <n v="4"/>
    <n v="929.93"/>
    <n v="215743.75999999998"/>
    <n v="135"/>
    <n v="232"/>
    <x v="3"/>
    <x v="0"/>
    <x v="3"/>
    <x v="1"/>
    <x v="1"/>
    <x v="0"/>
  </r>
  <r>
    <x v="92"/>
    <s v="21303 LOC 711"/>
    <s v="22300 LOC 711"/>
    <s v="KM - 5- PK-43 U MIL - KM - 5"/>
    <n v="76"/>
    <n v="9"/>
    <n v="929.93"/>
    <n v="636072.12"/>
    <n v="944"/>
    <n v="684"/>
    <x v="3"/>
    <x v="0"/>
    <x v="3"/>
    <x v="2"/>
    <x v="1"/>
    <x v="0"/>
  </r>
  <r>
    <x v="92"/>
    <s v="21305 AUT 1723"/>
    <s v="21300 AUT 1723"/>
    <s v="KM - 5 - LA CARO - KM - 5"/>
    <n v="58"/>
    <n v="4"/>
    <n v="929.93"/>
    <n v="215743.75999999998"/>
    <n v="563"/>
    <n v="232"/>
    <x v="3"/>
    <x v="0"/>
    <x v="3"/>
    <x v="3"/>
    <x v="1"/>
    <x v="0"/>
  </r>
  <r>
    <x v="93"/>
    <s v="21301 AUT 1723"/>
    <s v="21302 AUT 1696"/>
    <s v="KM - 5 - LA CARO - KM - 5"/>
    <n v="58"/>
    <n v="4"/>
    <n v="929.93"/>
    <n v="215743.75999999998"/>
    <n v="160"/>
    <n v="232"/>
    <x v="3"/>
    <x v="0"/>
    <x v="3"/>
    <x v="1"/>
    <x v="1"/>
    <x v="0"/>
  </r>
  <r>
    <x v="93"/>
    <s v="21303 LOC 723"/>
    <s v="22300 LOC 711R723"/>
    <s v="KM - 5- PK-43 U MIL - KM - 5"/>
    <n v="76"/>
    <n v="9"/>
    <n v="929.93"/>
    <n v="636072.12"/>
    <n v="1256"/>
    <n v="684"/>
    <x v="3"/>
    <x v="0"/>
    <x v="3"/>
    <x v="2"/>
    <x v="1"/>
    <x v="0"/>
  </r>
  <r>
    <x v="93"/>
    <s v="21305 LOC 350"/>
    <s v="21300 LOC 350"/>
    <s v="KM - 5 - LA CARO - KM - 5"/>
    <n v="58"/>
    <n v="5"/>
    <n v="929.93"/>
    <n v="269679.7"/>
    <n v="617"/>
    <n v="290"/>
    <x v="3"/>
    <x v="0"/>
    <x v="3"/>
    <x v="3"/>
    <x v="1"/>
    <x v="0"/>
  </r>
  <r>
    <x v="94"/>
    <s v="21301 AUT 1723"/>
    <s v="21302 AUT 1723"/>
    <s v="KM - 5 - LA CARO - KM - 5"/>
    <n v="58"/>
    <n v="4"/>
    <n v="929.93"/>
    <n v="215743.75999999998"/>
    <n v="140"/>
    <n v="232"/>
    <x v="3"/>
    <x v="0"/>
    <x v="3"/>
    <x v="1"/>
    <x v="1"/>
    <x v="0"/>
  </r>
  <r>
    <x v="94"/>
    <s v="21303 LOC 711"/>
    <s v="22300 LOC 711"/>
    <s v="KM - 5- PK-43 U MIL - KM - 5"/>
    <n v="76"/>
    <n v="9"/>
    <n v="929.93"/>
    <n v="636072.12"/>
    <n v="1153"/>
    <n v="684"/>
    <x v="3"/>
    <x v="0"/>
    <x v="3"/>
    <x v="2"/>
    <x v="1"/>
    <x v="0"/>
  </r>
  <r>
    <x v="94"/>
    <s v="21305 LOC 350"/>
    <s v="21300 LOC 350"/>
    <s v="KM - 5 - LA CARO - KM - 5"/>
    <n v="58"/>
    <n v="5"/>
    <n v="929.93"/>
    <n v="269679.7"/>
    <n v="724"/>
    <n v="290"/>
    <x v="3"/>
    <x v="0"/>
    <x v="3"/>
    <x v="3"/>
    <x v="1"/>
    <x v="0"/>
  </r>
  <r>
    <x v="95"/>
    <s v="21301 AUT 1723"/>
    <s v="21302 AUT 1723"/>
    <s v="KM - 5 - LA CARO - KM - 5"/>
    <n v="58"/>
    <n v="4"/>
    <n v="929.93"/>
    <n v="215743.75999999998"/>
    <n v="179"/>
    <n v="232"/>
    <x v="3"/>
    <x v="0"/>
    <x v="3"/>
    <x v="1"/>
    <x v="1"/>
    <x v="0"/>
  </r>
  <r>
    <x v="95"/>
    <s v="21303 LOC 711"/>
    <s v="22300 LOC 711"/>
    <s v="KM - 5- PK-43 U MIL - KM - 5"/>
    <n v="76"/>
    <n v="9"/>
    <n v="929.93"/>
    <n v="636072.12"/>
    <n v="859"/>
    <n v="684"/>
    <x v="3"/>
    <x v="0"/>
    <x v="3"/>
    <x v="2"/>
    <x v="1"/>
    <x v="0"/>
  </r>
  <r>
    <x v="95"/>
    <s v="21305 LOC 350"/>
    <s v="21300 LOC 350"/>
    <s v="KM - 5 - LA CARO - KM - 5"/>
    <n v="58"/>
    <n v="5"/>
    <n v="929.93"/>
    <n v="269679.7"/>
    <n v="639"/>
    <n v="290"/>
    <x v="3"/>
    <x v="0"/>
    <x v="3"/>
    <x v="3"/>
    <x v="1"/>
    <x v="0"/>
  </r>
  <r>
    <x v="96"/>
    <s v="21301 AUT 1696"/>
    <s v="21302 AUT 1696"/>
    <s v="KM - 5 - LA CARO - KM - 5"/>
    <n v="58"/>
    <n v="4"/>
    <n v="929.93"/>
    <n v="215743.75999999998"/>
    <n v="141"/>
    <n v="232"/>
    <x v="3"/>
    <x v="0"/>
    <x v="3"/>
    <x v="1"/>
    <x v="1"/>
    <x v="0"/>
  </r>
  <r>
    <x v="96"/>
    <s v="21303 LOC 350"/>
    <s v="21300 LOC 350"/>
    <s v="KM - 5 - LA CARO - KM - 5"/>
    <n v="58"/>
    <n v="6"/>
    <n v="929.93"/>
    <n v="323615.63999999996"/>
    <n v="767"/>
    <n v="348"/>
    <x v="3"/>
    <x v="0"/>
    <x v="3"/>
    <x v="3"/>
    <x v="1"/>
    <x v="0"/>
  </r>
  <r>
    <x v="97"/>
    <s v="21301 AUT 1696"/>
    <s v="22300 AUT 1696"/>
    <s v="KM - 5- PK-43 U MIL - KM - 5"/>
    <n v="76"/>
    <n v="3"/>
    <n v="929.93"/>
    <n v="212024.03999999998"/>
    <n v="268"/>
    <n v="228"/>
    <x v="3"/>
    <x v="0"/>
    <x v="3"/>
    <x v="2"/>
    <x v="1"/>
    <x v="0"/>
  </r>
  <r>
    <x v="97"/>
    <s v="21303 LOC 723"/>
    <s v="22302 LOC 723"/>
    <s v="KM - 5 - ZIPAQUIRA-KM - 5"/>
    <n v="96"/>
    <n v="9"/>
    <n v="929.93"/>
    <n v="803459.5199999999"/>
    <n v="606"/>
    <n v="864"/>
    <x v="3"/>
    <x v="0"/>
    <x v="3"/>
    <x v="0"/>
    <x v="0"/>
    <x v="0"/>
  </r>
  <r>
    <x v="98"/>
    <s v="21301 LOC 752"/>
    <s v="22300 LOC 752"/>
    <s v="KM - 5 - ZIPAQUIRA-KM - 5"/>
    <n v="96"/>
    <n v="12"/>
    <n v="929.93"/>
    <n v="1071279.3599999999"/>
    <n v="880"/>
    <n v="1152"/>
    <x v="3"/>
    <x v="0"/>
    <x v="3"/>
    <x v="0"/>
    <x v="0"/>
    <x v="0"/>
  </r>
  <r>
    <x v="99"/>
    <s v="21301 AUT 1723"/>
    <s v="21302 AUT 1723"/>
    <s v="KM - 5 - LA CARO - KM - 5"/>
    <n v="58"/>
    <n v="4"/>
    <n v="929.93"/>
    <n v="215743.75999999998"/>
    <n v="145"/>
    <n v="232"/>
    <x v="3"/>
    <x v="0"/>
    <x v="3"/>
    <x v="1"/>
    <x v="1"/>
    <x v="0"/>
  </r>
  <r>
    <x v="99"/>
    <s v="21303 LOC 723"/>
    <s v="22300 LOC 723"/>
    <s v="KM - 5- PK-43 U MIL - KM - 5"/>
    <n v="76"/>
    <n v="9"/>
    <n v="929.93"/>
    <n v="636072.12"/>
    <n v="884"/>
    <n v="684"/>
    <x v="3"/>
    <x v="0"/>
    <x v="3"/>
    <x v="2"/>
    <x v="1"/>
    <x v="0"/>
  </r>
  <r>
    <x v="99"/>
    <s v="21305 AUT -1696"/>
    <s v="21300 AUT 1696"/>
    <s v="KM - 5 - LA CARO - KM - 5"/>
    <n v="58"/>
    <n v="4"/>
    <n v="929.93"/>
    <n v="215743.75999999998"/>
    <n v="549"/>
    <n v="232"/>
    <x v="3"/>
    <x v="0"/>
    <x v="3"/>
    <x v="3"/>
    <x v="1"/>
    <x v="0"/>
  </r>
  <r>
    <x v="100"/>
    <s v="21301 AUT 1723"/>
    <s v="21302 AUT 1723"/>
    <s v="KM - 5 - LA CARO - KM - 5"/>
    <n v="58"/>
    <n v="4"/>
    <n v="929.93"/>
    <n v="215743.75999999998"/>
    <n v="185"/>
    <n v="232"/>
    <x v="3"/>
    <x v="0"/>
    <x v="3"/>
    <x v="1"/>
    <x v="1"/>
    <x v="0"/>
  </r>
  <r>
    <x v="100"/>
    <s v="21303 LOC 752"/>
    <s v="22300 LOC 752"/>
    <s v="KM - 5- PK-43 U MIL - KM - 5"/>
    <n v="76"/>
    <n v="9"/>
    <n v="929.93"/>
    <n v="636072.12"/>
    <n v="1205"/>
    <n v="684"/>
    <x v="3"/>
    <x v="0"/>
    <x v="3"/>
    <x v="2"/>
    <x v="1"/>
    <x v="0"/>
  </r>
  <r>
    <x v="100"/>
    <s v="21305 LOC -711"/>
    <s v="21300 LOC 711"/>
    <s v="KM - 5 - LA CARO - KM - 5"/>
    <n v="58"/>
    <n v="5"/>
    <n v="929.93"/>
    <n v="269679.7"/>
    <n v="606"/>
    <n v="290"/>
    <x v="3"/>
    <x v="0"/>
    <x v="3"/>
    <x v="3"/>
    <x v="1"/>
    <x v="0"/>
  </r>
  <r>
    <x v="101"/>
    <s v="21301 AUT 1696"/>
    <s v="21302 AUT 1696"/>
    <s v="KM - 5 - LA CARO - KM - 5"/>
    <n v="58"/>
    <n v="4"/>
    <n v="929.93"/>
    <n v="215743.75999999998"/>
    <n v="168"/>
    <n v="232"/>
    <x v="3"/>
    <x v="0"/>
    <x v="3"/>
    <x v="1"/>
    <x v="1"/>
    <x v="0"/>
  </r>
  <r>
    <x v="101"/>
    <s v="21303 LOC 752"/>
    <s v="22302 LOC 752"/>
    <s v="KM - 5- PK-43 U MIL - KM - 5"/>
    <n v="76"/>
    <n v="9"/>
    <n v="929.93"/>
    <n v="636072.12"/>
    <n v="1110"/>
    <n v="684"/>
    <x v="3"/>
    <x v="0"/>
    <x v="3"/>
    <x v="2"/>
    <x v="1"/>
    <x v="0"/>
  </r>
  <r>
    <x v="101"/>
    <s v="21305 LOC -711"/>
    <s v="21300 LOC 711"/>
    <s v="KM - 5 - LA CARO - KM - 5"/>
    <n v="58"/>
    <n v="5"/>
    <n v="929.93"/>
    <n v="269679.7"/>
    <n v="777"/>
    <n v="290"/>
    <x v="3"/>
    <x v="0"/>
    <x v="3"/>
    <x v="3"/>
    <x v="1"/>
    <x v="0"/>
  </r>
  <r>
    <x v="101"/>
    <s v="21307 LOC 350"/>
    <s v="22300 LOC 350"/>
    <s v="KM - 5 - ZIPAQUIRA-KM - 5"/>
    <n v="96"/>
    <n v="4"/>
    <n v="929.93"/>
    <n v="357093.12"/>
    <n v="322"/>
    <n v="384"/>
    <x v="3"/>
    <x v="0"/>
    <x v="3"/>
    <x v="0"/>
    <x v="0"/>
    <x v="0"/>
  </r>
  <r>
    <x v="102"/>
    <s v="21301 AUT 1696"/>
    <s v="21302 AUT 1696"/>
    <s v="KM - 5 - LA CARO - KM - 5"/>
    <n v="58"/>
    <n v="4"/>
    <n v="929.93"/>
    <n v="215743.75999999998"/>
    <n v="164"/>
    <n v="232"/>
    <x v="3"/>
    <x v="0"/>
    <x v="3"/>
    <x v="1"/>
    <x v="1"/>
    <x v="0"/>
  </r>
  <r>
    <x v="102"/>
    <s v="21303 LOC 752"/>
    <s v="22302 LOC 752"/>
    <s v="KM - 5- PK-43 U MIL - KM - 5"/>
    <n v="76"/>
    <n v="9"/>
    <n v="929.93"/>
    <n v="636072.12"/>
    <n v="878"/>
    <n v="684"/>
    <x v="3"/>
    <x v="0"/>
    <x v="3"/>
    <x v="2"/>
    <x v="1"/>
    <x v="0"/>
  </r>
  <r>
    <x v="102"/>
    <s v="21305 LOC -711"/>
    <s v="21300 LOC 711"/>
    <s v="KM - 5 - LA CARO - KM - 5"/>
    <n v="58"/>
    <n v="5"/>
    <n v="929.93"/>
    <n v="269679.7"/>
    <n v="686"/>
    <n v="290"/>
    <x v="3"/>
    <x v="0"/>
    <x v="3"/>
    <x v="3"/>
    <x v="1"/>
    <x v="0"/>
  </r>
  <r>
    <x v="103"/>
    <s v="21301 AUT 1676"/>
    <s v="21302 AUT 1676"/>
    <s v="KM - 5 - LA CARO - KM - 5"/>
    <n v="58"/>
    <n v="4"/>
    <n v="929.93"/>
    <n v="215743.75999999998"/>
    <n v="159"/>
    <n v="232"/>
    <x v="3"/>
    <x v="0"/>
    <x v="3"/>
    <x v="1"/>
    <x v="1"/>
    <x v="0"/>
  </r>
  <r>
    <x v="103"/>
    <s v="21303 LOC 752"/>
    <s v="22302 LOC 752"/>
    <s v="KM - 5- PK-43 U MIL - KM - 5"/>
    <n v="76"/>
    <n v="9"/>
    <n v="929.93"/>
    <n v="636072.12"/>
    <n v="1563"/>
    <n v="684"/>
    <x v="3"/>
    <x v="0"/>
    <x v="3"/>
    <x v="2"/>
    <x v="1"/>
    <x v="0"/>
  </r>
  <r>
    <x v="103"/>
    <s v="21305 LOC -711"/>
    <s v="21300 LOC 711"/>
    <s v="KM - 5 - LA CARO - KM - 5"/>
    <n v="58"/>
    <n v="6"/>
    <n v="929.93"/>
    <n v="323615.63999999996"/>
    <n v="793"/>
    <n v="348"/>
    <x v="3"/>
    <x v="0"/>
    <x v="3"/>
    <x v="3"/>
    <x v="1"/>
    <x v="0"/>
  </r>
  <r>
    <x v="104"/>
    <s v="21301 AUT 1676"/>
    <s v="22300 AUT 1676"/>
    <s v="KM - 5- PK-43 U MIL - KM - 5"/>
    <n v="76"/>
    <n v="3"/>
    <n v="929.93"/>
    <n v="212024.03999999998"/>
    <n v="369"/>
    <n v="228"/>
    <x v="3"/>
    <x v="0"/>
    <x v="3"/>
    <x v="2"/>
    <x v="1"/>
    <x v="0"/>
  </r>
  <r>
    <x v="104"/>
    <s v="21303 LOC 723"/>
    <s v="22302 LOC 723"/>
    <s v="KM - 5 - ZIPAQUIRA-KM - 5"/>
    <n v="96"/>
    <n v="9"/>
    <n v="929.93"/>
    <n v="803459.5199999999"/>
    <n v="614"/>
    <n v="864"/>
    <x v="3"/>
    <x v="0"/>
    <x v="3"/>
    <x v="0"/>
    <x v="0"/>
    <x v="0"/>
  </r>
  <r>
    <x v="105"/>
    <s v="21301 LOC 723"/>
    <s v="22300 LOC 723"/>
    <s v="KM - 5 - ZIPAQUIRA-KM - 5"/>
    <n v="96"/>
    <n v="11"/>
    <n v="929.93"/>
    <n v="982006.08"/>
    <n v="870"/>
    <n v="1056"/>
    <x v="3"/>
    <x v="0"/>
    <x v="3"/>
    <x v="0"/>
    <x v="0"/>
    <x v="0"/>
  </r>
  <r>
    <x v="106"/>
    <s v="21301 AUT 1696"/>
    <s v="21302 AUT 1696"/>
    <s v="KM - 5 - LA CARO - KM - 5"/>
    <n v="58"/>
    <n v="4"/>
    <n v="929.93"/>
    <n v="215743.75999999998"/>
    <n v="182"/>
    <n v="232"/>
    <x v="3"/>
    <x v="0"/>
    <x v="3"/>
    <x v="1"/>
    <x v="1"/>
    <x v="0"/>
  </r>
  <r>
    <x v="106"/>
    <s v="21303 LOC 752"/>
    <s v="22302 LOC 752"/>
    <s v="KM - 5- PK-43 U MIL - KM - 5"/>
    <n v="76"/>
    <n v="9"/>
    <n v="929.93"/>
    <n v="636072.12"/>
    <n v="893"/>
    <n v="684"/>
    <x v="3"/>
    <x v="0"/>
    <x v="3"/>
    <x v="2"/>
    <x v="1"/>
    <x v="0"/>
  </r>
  <r>
    <x v="106"/>
    <s v="21305 AUT 1723"/>
    <s v="21300 AUT 1723"/>
    <s v="KM - 5 - LA CARO - KM - 5"/>
    <n v="58"/>
    <n v="4"/>
    <n v="929.93"/>
    <n v="215743.75999999998"/>
    <n v="639"/>
    <n v="232"/>
    <x v="3"/>
    <x v="0"/>
    <x v="3"/>
    <x v="3"/>
    <x v="1"/>
    <x v="0"/>
  </r>
  <r>
    <x v="107"/>
    <s v="21301 AUT 1696"/>
    <s v="21302 AUT 1696"/>
    <s v="KM - 5 - LA CARO - KM - 5"/>
    <n v="58"/>
    <n v="4"/>
    <n v="929.93"/>
    <n v="215743.75999999998"/>
    <n v="232"/>
    <n v="232"/>
    <x v="3"/>
    <x v="0"/>
    <x v="3"/>
    <x v="1"/>
    <x v="1"/>
    <x v="0"/>
  </r>
  <r>
    <x v="107"/>
    <s v="21303 LOC 752"/>
    <s v="22302 LOC 752"/>
    <s v="KM - 5- PK-43 U MIL - KM - 5"/>
    <n v="76"/>
    <n v="9"/>
    <n v="929.93"/>
    <n v="636072.12"/>
    <n v="1623"/>
    <n v="684"/>
    <x v="3"/>
    <x v="0"/>
    <x v="3"/>
    <x v="2"/>
    <x v="1"/>
    <x v="0"/>
  </r>
  <r>
    <x v="107"/>
    <s v="21305 LOC 711"/>
    <s v="21300 LOC 711"/>
    <s v="KM - 5 - LA CARO - KM - 5"/>
    <n v="58"/>
    <n v="5"/>
    <n v="929.93"/>
    <n v="269679.7"/>
    <n v="595"/>
    <n v="290"/>
    <x v="3"/>
    <x v="0"/>
    <x v="3"/>
    <x v="3"/>
    <x v="1"/>
    <x v="0"/>
  </r>
  <r>
    <x v="108"/>
    <s v="21301 LOC 723"/>
    <s v="22300 LOC 723"/>
    <s v="KM - 5 - ZIPAQUIRA- KM - 5"/>
    <n v="96"/>
    <n v="9"/>
    <n v="929.93"/>
    <n v="803459.5199999999"/>
    <n v="718"/>
    <n v="864"/>
    <x v="4"/>
    <x v="0"/>
    <x v="4"/>
    <x v="0"/>
    <x v="0"/>
    <x v="0"/>
  </r>
  <r>
    <x v="109"/>
    <s v="21301 AUT 1723"/>
    <s v="21302 AUT 1723"/>
    <s v="KM - 5 - LA CARO - KM - 5"/>
    <n v="58"/>
    <n v="4"/>
    <n v="929.93"/>
    <n v="215743.75999999998"/>
    <n v="221"/>
    <n v="232"/>
    <x v="4"/>
    <x v="0"/>
    <x v="4"/>
    <x v="1"/>
    <x v="1"/>
    <x v="0"/>
  </r>
  <r>
    <x v="109"/>
    <s v="21303 LOC 723"/>
    <s v="22300 LOC 723"/>
    <s v="KM - 5- PK-43 U MIL - KM - 5"/>
    <n v="76"/>
    <n v="9"/>
    <n v="929.93"/>
    <n v="636072.12"/>
    <n v="952"/>
    <n v="684"/>
    <x v="4"/>
    <x v="0"/>
    <x v="4"/>
    <x v="2"/>
    <x v="1"/>
    <x v="0"/>
  </r>
  <r>
    <x v="109"/>
    <s v="21305 LOC 711"/>
    <s v="21300 LOC 711"/>
    <s v="KM - 5 - LA CARO - KM - 5"/>
    <n v="58"/>
    <n v="5"/>
    <n v="929.93"/>
    <n v="269679.7"/>
    <n v="564"/>
    <n v="290"/>
    <x v="4"/>
    <x v="0"/>
    <x v="4"/>
    <x v="3"/>
    <x v="1"/>
    <x v="0"/>
  </r>
  <r>
    <x v="110"/>
    <s v="21301 AUT 1723"/>
    <s v="21302 AUT 1723"/>
    <s v="KM - 5 - LA CARO - KM - 5"/>
    <n v="58"/>
    <n v="4"/>
    <n v="929.93"/>
    <n v="215743.75999999998"/>
    <n v="175"/>
    <n v="232"/>
    <x v="4"/>
    <x v="0"/>
    <x v="4"/>
    <x v="1"/>
    <x v="1"/>
    <x v="0"/>
  </r>
  <r>
    <x v="110"/>
    <s v="21303 LOC 752"/>
    <s v="22302 LOC 752"/>
    <s v="KM - 5- PK-43 U MIL - KM - 5"/>
    <n v="76"/>
    <n v="9"/>
    <n v="929.93"/>
    <n v="636072.12"/>
    <n v="1488"/>
    <n v="684"/>
    <x v="4"/>
    <x v="0"/>
    <x v="4"/>
    <x v="2"/>
    <x v="1"/>
    <x v="0"/>
  </r>
  <r>
    <x v="110"/>
    <s v="21305 LOC 711"/>
    <s v="21300 LOC 711"/>
    <s v="KM - 5 - LA CARO - KM - 5"/>
    <n v="58"/>
    <n v="6"/>
    <n v="929.93"/>
    <n v="323615.63999999996"/>
    <n v="687"/>
    <n v="348"/>
    <x v="4"/>
    <x v="0"/>
    <x v="4"/>
    <x v="3"/>
    <x v="1"/>
    <x v="0"/>
  </r>
  <r>
    <x v="110"/>
    <s v="21307 LOC 350"/>
    <s v="22300 LOC 350"/>
    <s v="KM - 5 - ZIPAQUIRA- KM - 5"/>
    <n v="96"/>
    <n v="4"/>
    <n v="929.93"/>
    <n v="357093.12"/>
    <n v="248"/>
    <n v="384"/>
    <x v="4"/>
    <x v="0"/>
    <x v="4"/>
    <x v="0"/>
    <x v="0"/>
    <x v="0"/>
  </r>
  <r>
    <x v="111"/>
    <s v="21301 AUT 1676"/>
    <s v="22300 AUT 1676"/>
    <s v="KM - 5- PK-43 U MIL - KM - 5"/>
    <n v="76"/>
    <n v="3"/>
    <n v="929.93"/>
    <n v="212024.03999999998"/>
    <n v="344"/>
    <n v="228"/>
    <x v="4"/>
    <x v="0"/>
    <x v="4"/>
    <x v="2"/>
    <x v="1"/>
    <x v="0"/>
  </r>
  <r>
    <x v="111"/>
    <s v="21303 LOC 723"/>
    <s v="22302 LOC 723"/>
    <s v="KM - 5 - ZIPAQUIRA- KM - 5"/>
    <n v="96"/>
    <n v="8"/>
    <n v="929.93"/>
    <n v="714186.23999999999"/>
    <n v="540"/>
    <n v="768"/>
    <x v="4"/>
    <x v="0"/>
    <x v="4"/>
    <x v="0"/>
    <x v="0"/>
    <x v="0"/>
  </r>
  <r>
    <x v="112"/>
    <s v="21301 LOC 752"/>
    <s v="22300 LOC 752"/>
    <s v="KM - 5 - ZIPAQUIRA- KM - 5"/>
    <n v="96"/>
    <n v="10"/>
    <n v="929.93"/>
    <n v="892732.79999999993"/>
    <n v="858"/>
    <n v="960"/>
    <x v="4"/>
    <x v="0"/>
    <x v="4"/>
    <x v="0"/>
    <x v="0"/>
    <x v="0"/>
  </r>
  <r>
    <x v="113"/>
    <s v="21301 AUT 1723"/>
    <s v="21302 AUT 1723"/>
    <s v="KM - 5 - LA CARO - KM - 5"/>
    <n v="58"/>
    <n v="4"/>
    <n v="929.93"/>
    <n v="215743.75999999998"/>
    <n v="177"/>
    <n v="232"/>
    <x v="4"/>
    <x v="0"/>
    <x v="4"/>
    <x v="1"/>
    <x v="1"/>
    <x v="0"/>
  </r>
  <r>
    <x v="113"/>
    <s v="21303 LOC 752"/>
    <s v="22300 LOC 752"/>
    <s v="KM - 5- PK-43 U MIL - KM - 5"/>
    <n v="76"/>
    <n v="9"/>
    <n v="929.93"/>
    <n v="636072.12"/>
    <n v="997"/>
    <n v="684"/>
    <x v="4"/>
    <x v="0"/>
    <x v="4"/>
    <x v="2"/>
    <x v="1"/>
    <x v="0"/>
  </r>
  <r>
    <x v="113"/>
    <s v="21305 AUT 1676"/>
    <s v="21300 AUT 1676"/>
    <s v="KM - 5 - LA CARO - KM - 5"/>
    <n v="58"/>
    <n v="4"/>
    <n v="929.93"/>
    <n v="215743.75999999998"/>
    <n v="541"/>
    <n v="232"/>
    <x v="4"/>
    <x v="0"/>
    <x v="4"/>
    <x v="3"/>
    <x v="1"/>
    <x v="0"/>
  </r>
  <r>
    <x v="114"/>
    <s v="21301 AUT 1723"/>
    <s v="21302 AUT 1723"/>
    <s v="KM - 5 - LA CARO - KM - 5"/>
    <n v="58"/>
    <n v="4"/>
    <n v="929.93"/>
    <n v="215743.75999999998"/>
    <n v="251"/>
    <n v="232"/>
    <x v="4"/>
    <x v="0"/>
    <x v="4"/>
    <x v="1"/>
    <x v="1"/>
    <x v="0"/>
  </r>
  <r>
    <x v="114"/>
    <s v="21303 LOC 752"/>
    <s v="22300 LOC 752"/>
    <s v="KM - 5- PK-43 U MIL - KM - 5"/>
    <n v="76"/>
    <n v="9"/>
    <n v="929.93"/>
    <n v="636072.12"/>
    <n v="1190"/>
    <n v="684"/>
    <x v="4"/>
    <x v="0"/>
    <x v="4"/>
    <x v="2"/>
    <x v="1"/>
    <x v="0"/>
  </r>
  <r>
    <x v="114"/>
    <s v="21305 LOC 711"/>
    <s v="21300 LOC 711"/>
    <s v="KM - 5 - LA CARO - KM - 5"/>
    <n v="58"/>
    <n v="5"/>
    <n v="929.93"/>
    <n v="269679.7"/>
    <n v="621"/>
    <n v="290"/>
    <x v="4"/>
    <x v="0"/>
    <x v="4"/>
    <x v="3"/>
    <x v="1"/>
    <x v="0"/>
  </r>
  <r>
    <x v="115"/>
    <s v="21301 AUT 1723"/>
    <s v="21302 AUT 1723"/>
    <s v="KM - 5 - LA CARO - KM - 5"/>
    <n v="58"/>
    <n v="4"/>
    <n v="929.93"/>
    <n v="215743.75999999998"/>
    <n v="180"/>
    <n v="232"/>
    <x v="4"/>
    <x v="0"/>
    <x v="4"/>
    <x v="1"/>
    <x v="1"/>
    <x v="0"/>
  </r>
  <r>
    <x v="115"/>
    <s v="21303 LOC 723"/>
    <s v="22300 LOC 723"/>
    <s v="KM - 5- PK-43 U MIL - KM - 5"/>
    <n v="76"/>
    <n v="9"/>
    <n v="929.93"/>
    <n v="636072.12"/>
    <n v="1142"/>
    <n v="684"/>
    <x v="4"/>
    <x v="0"/>
    <x v="4"/>
    <x v="2"/>
    <x v="1"/>
    <x v="0"/>
  </r>
  <r>
    <x v="115"/>
    <s v="21305 LOC 711"/>
    <s v="21300 LOC 711"/>
    <s v="KM - 5 - LA CARO - KM - 5"/>
    <n v="58"/>
    <n v="5"/>
    <n v="929.93"/>
    <n v="269679.7"/>
    <n v="780"/>
    <n v="290"/>
    <x v="4"/>
    <x v="0"/>
    <x v="4"/>
    <x v="3"/>
    <x v="1"/>
    <x v="0"/>
  </r>
  <r>
    <x v="116"/>
    <s v="21301 AUT 1696"/>
    <s v="21302 AUT 1696"/>
    <s v="KM - 5 - LA CARO - KM - 5"/>
    <n v="58"/>
    <n v="4"/>
    <n v="929.93"/>
    <n v="215743.75999999998"/>
    <n v="168"/>
    <n v="232"/>
    <x v="4"/>
    <x v="0"/>
    <x v="4"/>
    <x v="1"/>
    <x v="1"/>
    <x v="0"/>
  </r>
  <r>
    <x v="116"/>
    <s v="21303 LOC 723"/>
    <s v="22300 LOC 723"/>
    <s v="KM - 5- PK-43 U MIL - KM - 5"/>
    <n v="76"/>
    <n v="9"/>
    <n v="929.93"/>
    <n v="636072.12"/>
    <n v="961"/>
    <n v="684"/>
    <x v="4"/>
    <x v="0"/>
    <x v="4"/>
    <x v="2"/>
    <x v="1"/>
    <x v="0"/>
  </r>
  <r>
    <x v="116"/>
    <s v="21305 LOC 711"/>
    <s v="21300 LOC 752R711"/>
    <s v="KM - 5 - LA CARO - KM - 5"/>
    <n v="58"/>
    <n v="5"/>
    <n v="929.93"/>
    <n v="269679.7"/>
    <n v="486"/>
    <n v="290"/>
    <x v="4"/>
    <x v="0"/>
    <x v="4"/>
    <x v="3"/>
    <x v="1"/>
    <x v="0"/>
  </r>
  <r>
    <x v="117"/>
    <s v="21301 AUT 1696"/>
    <s v="21302 AUT 1696"/>
    <s v="KM - 5 - LA CARO - KM - 5"/>
    <n v="58"/>
    <n v="4"/>
    <n v="929.93"/>
    <n v="215743.75999999998"/>
    <n v="143"/>
    <n v="232"/>
    <x v="4"/>
    <x v="0"/>
    <x v="4"/>
    <x v="1"/>
    <x v="1"/>
    <x v="0"/>
  </r>
  <r>
    <x v="117"/>
    <s v="21303 LOC 723"/>
    <s v="22300 LOC 723"/>
    <s v="KM - 5- PK-43 U MIL - KM - 5"/>
    <n v="76"/>
    <n v="9"/>
    <n v="929.93"/>
    <n v="636072.12"/>
    <n v="1274"/>
    <n v="684"/>
    <x v="4"/>
    <x v="0"/>
    <x v="4"/>
    <x v="2"/>
    <x v="1"/>
    <x v="0"/>
  </r>
  <r>
    <x v="117"/>
    <s v="21305 LOC 752"/>
    <s v="21300 LOC 752"/>
    <s v="KM - 5 - LA CARO - KM - 5"/>
    <n v="58"/>
    <n v="6"/>
    <n v="929.93"/>
    <n v="323615.63999999996"/>
    <n v="761"/>
    <n v="348"/>
    <x v="4"/>
    <x v="0"/>
    <x v="4"/>
    <x v="3"/>
    <x v="1"/>
    <x v="0"/>
  </r>
  <r>
    <x v="118"/>
    <s v="21301 AUT 1676"/>
    <s v="22300 AUT 1676"/>
    <s v="KM - 5- PK-43 U MIL - KM - 5"/>
    <n v="76"/>
    <n v="3"/>
    <n v="929.93"/>
    <n v="212024.03999999998"/>
    <n v="150"/>
    <n v="228"/>
    <x v="4"/>
    <x v="0"/>
    <x v="4"/>
    <x v="2"/>
    <x v="1"/>
    <x v="0"/>
  </r>
  <r>
    <x v="118"/>
    <s v="21303 LOC 711"/>
    <s v="22302 LOC 711"/>
    <s v="KM - 5 - ZIPAQUIRA- KM - 5"/>
    <n v="96"/>
    <n v="11"/>
    <n v="929.93"/>
    <n v="982006.08"/>
    <n v="770"/>
    <n v="1056"/>
    <x v="4"/>
    <x v="0"/>
    <x v="4"/>
    <x v="0"/>
    <x v="0"/>
    <x v="0"/>
  </r>
  <r>
    <x v="119"/>
    <s v="21301 LOC 752"/>
    <s v="22300 LOC 752"/>
    <s v="KM - 5 - ZIPAQUIRA- KM - 5"/>
    <n v="96"/>
    <n v="18"/>
    <n v="929.93"/>
    <n v="1606919.0399999998"/>
    <n v="1574"/>
    <n v="1728"/>
    <x v="4"/>
    <x v="0"/>
    <x v="4"/>
    <x v="0"/>
    <x v="0"/>
    <x v="0"/>
  </r>
  <r>
    <x v="120"/>
    <s v="21301 LOC 723"/>
    <s v="22300 LOC 723"/>
    <s v="KM - 5 - ZIPAQUIRA- KM - 5"/>
    <n v="96"/>
    <n v="12"/>
    <n v="929.93"/>
    <n v="1071279.3599999999"/>
    <n v="818"/>
    <n v="1152"/>
    <x v="4"/>
    <x v="0"/>
    <x v="4"/>
    <x v="0"/>
    <x v="0"/>
    <x v="0"/>
  </r>
  <r>
    <x v="121"/>
    <s v="21301 AUT 1676"/>
    <s v="21302 AUT 1676"/>
    <s v="KM - 5 - LA CARO - KM - 5"/>
    <n v="58"/>
    <n v="4"/>
    <n v="929.93"/>
    <n v="215743.75999999998"/>
    <n v="229"/>
    <n v="232"/>
    <x v="4"/>
    <x v="0"/>
    <x v="4"/>
    <x v="1"/>
    <x v="1"/>
    <x v="0"/>
  </r>
  <r>
    <x v="121"/>
    <s v="21303 LOC 723"/>
    <s v="22300 LOC 723"/>
    <s v="KM - 5- PK-43 U MIL - KM - 5"/>
    <n v="76"/>
    <n v="9"/>
    <n v="929.93"/>
    <n v="636072.12"/>
    <n v="1071"/>
    <n v="684"/>
    <x v="4"/>
    <x v="0"/>
    <x v="4"/>
    <x v="2"/>
    <x v="1"/>
    <x v="0"/>
  </r>
  <r>
    <x v="121"/>
    <s v="21305 LOC 752"/>
    <s v="21300 LOC 752"/>
    <s v="KM - 5 - LA CARO - KM - 5"/>
    <n v="58"/>
    <n v="5"/>
    <n v="929.93"/>
    <n v="269679.7"/>
    <n v="356"/>
    <n v="290"/>
    <x v="4"/>
    <x v="0"/>
    <x v="4"/>
    <x v="3"/>
    <x v="1"/>
    <x v="0"/>
  </r>
  <r>
    <x v="122"/>
    <s v="21301 AUT 1696"/>
    <s v="21302 AUT 1696"/>
    <s v="KM - 5 - LA CARO - KM - 5"/>
    <n v="58"/>
    <n v="4"/>
    <n v="929.93"/>
    <n v="215743.75999999998"/>
    <n v="180"/>
    <n v="232"/>
    <x v="4"/>
    <x v="0"/>
    <x v="4"/>
    <x v="1"/>
    <x v="1"/>
    <x v="0"/>
  </r>
  <r>
    <x v="122"/>
    <s v="21303 LOC 723"/>
    <s v="22300 LOC 723"/>
    <s v="KM - 5- PK-43 U MIL - KM - 5"/>
    <n v="76"/>
    <n v="9"/>
    <n v="929.93"/>
    <n v="636072.12"/>
    <n v="1107"/>
    <n v="684"/>
    <x v="4"/>
    <x v="0"/>
    <x v="4"/>
    <x v="2"/>
    <x v="1"/>
    <x v="0"/>
  </r>
  <r>
    <x v="122"/>
    <s v="21305 LOC 350"/>
    <s v="21300 LOC 350"/>
    <s v="KM - 5 - LA CARO - KM - 5"/>
    <n v="58"/>
    <n v="5"/>
    <n v="929.93"/>
    <n v="269679.7"/>
    <n v="648"/>
    <n v="290"/>
    <x v="4"/>
    <x v="0"/>
    <x v="4"/>
    <x v="3"/>
    <x v="1"/>
    <x v="0"/>
  </r>
  <r>
    <x v="123"/>
    <s v="21301 AUT 1696"/>
    <s v="21302 AUT 1696"/>
    <s v="KM - 5 - LA CARO - KM - 5"/>
    <n v="58"/>
    <n v="4"/>
    <n v="929.93"/>
    <n v="215743.75999999998"/>
    <n v="201"/>
    <n v="232"/>
    <x v="4"/>
    <x v="0"/>
    <x v="4"/>
    <x v="1"/>
    <x v="1"/>
    <x v="0"/>
  </r>
  <r>
    <x v="123"/>
    <s v="21303 LOC 723"/>
    <s v="22300 LOC 723"/>
    <s v="KM - 5- PK-43 U MIL - KM - 5"/>
    <n v="76"/>
    <n v="9"/>
    <n v="929.93"/>
    <n v="636072.12"/>
    <n v="850"/>
    <n v="684"/>
    <x v="4"/>
    <x v="0"/>
    <x v="4"/>
    <x v="2"/>
    <x v="1"/>
    <x v="0"/>
  </r>
  <r>
    <x v="123"/>
    <s v="21305 AUT 1723"/>
    <s v="21300 AUT 1723"/>
    <s v="KM - 5 - LA CARO - KM - 5"/>
    <n v="58"/>
    <n v="4"/>
    <n v="929.93"/>
    <n v="215743.75999999998"/>
    <n v="272"/>
    <n v="232"/>
    <x v="4"/>
    <x v="0"/>
    <x v="4"/>
    <x v="3"/>
    <x v="1"/>
    <x v="0"/>
  </r>
  <r>
    <x v="124"/>
    <s v="21301 AUT 1723"/>
    <s v="21302 AUT 1723"/>
    <s v="KM - 5 - LA CARO - KM - 5"/>
    <n v="58"/>
    <n v="4"/>
    <n v="929.93"/>
    <n v="215743.75999999998"/>
    <n v="139"/>
    <n v="232"/>
    <x v="4"/>
    <x v="0"/>
    <x v="4"/>
    <x v="1"/>
    <x v="1"/>
    <x v="0"/>
  </r>
  <r>
    <x v="124"/>
    <s v="21303 LOC 752"/>
    <s v="22300 LOC 752"/>
    <s v="KM - 5- PK-43 U MIL - KM - 5"/>
    <n v="76"/>
    <n v="9"/>
    <n v="929.93"/>
    <n v="636072.12"/>
    <n v="991"/>
    <n v="684"/>
    <x v="4"/>
    <x v="0"/>
    <x v="4"/>
    <x v="2"/>
    <x v="1"/>
    <x v="0"/>
  </r>
  <r>
    <x v="124"/>
    <s v="21305 LOC 350"/>
    <s v="21300 LOC 350"/>
    <s v="KM - 5 - LA CARO - KM - 5"/>
    <n v="58"/>
    <n v="4"/>
    <n v="929.93"/>
    <n v="215743.75999999998"/>
    <n v="960"/>
    <n v="232"/>
    <x v="4"/>
    <x v="0"/>
    <x v="4"/>
    <x v="3"/>
    <x v="1"/>
    <x v="0"/>
  </r>
  <r>
    <x v="125"/>
    <s v="21301 AUT- 1676"/>
    <s v="22300 AUT 1676"/>
    <s v="KM - 5- PK-43 U MIL - KM - 5"/>
    <n v="76"/>
    <n v="3"/>
    <n v="929.93"/>
    <n v="212024.03999999998"/>
    <n v="274"/>
    <n v="228"/>
    <x v="4"/>
    <x v="0"/>
    <x v="4"/>
    <x v="2"/>
    <x v="1"/>
    <x v="0"/>
  </r>
  <r>
    <x v="125"/>
    <s v="21303 LOC 723"/>
    <s v="22302 LOC 723"/>
    <s v="KM - 5 - ZIPAQUIRA- KM - 5"/>
    <n v="96"/>
    <n v="10"/>
    <n v="929.93"/>
    <n v="892732.79999999993"/>
    <n v="746"/>
    <n v="960"/>
    <x v="4"/>
    <x v="0"/>
    <x v="4"/>
    <x v="0"/>
    <x v="0"/>
    <x v="0"/>
  </r>
  <r>
    <x v="126"/>
    <s v="21301 LOC 752"/>
    <s v="22300 LOC 752"/>
    <s v="KM - 5 - ZIPAQUIRA- KM - 5"/>
    <n v="96"/>
    <n v="14"/>
    <n v="929.93"/>
    <n v="1249825.92"/>
    <n v="1040"/>
    <n v="1344"/>
    <x v="4"/>
    <x v="0"/>
    <x v="4"/>
    <x v="0"/>
    <x v="0"/>
    <x v="0"/>
  </r>
  <r>
    <x v="127"/>
    <s v="21301 AUT 1696"/>
    <s v="21302 AUT 1696"/>
    <s v="KM - 5 - LA CARO - KM - 5"/>
    <n v="58"/>
    <n v="4"/>
    <n v="929.93"/>
    <n v="215743.75999999998"/>
    <n v="131"/>
    <n v="232"/>
    <x v="4"/>
    <x v="0"/>
    <x v="4"/>
    <x v="1"/>
    <x v="1"/>
    <x v="0"/>
  </r>
  <r>
    <x v="127"/>
    <s v="21303 LOC 752"/>
    <s v="22300 LOC 752"/>
    <s v="KM - 5- PK-43 U MIL - KM - 5"/>
    <n v="76"/>
    <n v="9"/>
    <n v="929.93"/>
    <n v="636072.12"/>
    <n v="824"/>
    <n v="684"/>
    <x v="4"/>
    <x v="0"/>
    <x v="4"/>
    <x v="2"/>
    <x v="1"/>
    <x v="0"/>
  </r>
  <r>
    <x v="127"/>
    <s v="21305 AUT 1676"/>
    <s v="21300 AUT 1676"/>
    <s v="KM - 5 - LA CARO - KM - 5"/>
    <n v="58"/>
    <n v="4"/>
    <n v="929.93"/>
    <n v="215743.75999999998"/>
    <n v="420"/>
    <n v="232"/>
    <x v="4"/>
    <x v="0"/>
    <x v="4"/>
    <x v="3"/>
    <x v="1"/>
    <x v="0"/>
  </r>
  <r>
    <x v="128"/>
    <s v="21301 AUT 1676"/>
    <s v="21302 AUT 1676"/>
    <s v="KM - 5 - LA CARO - KM - 5"/>
    <n v="58"/>
    <n v="4"/>
    <n v="929.93"/>
    <n v="215743.75999999998"/>
    <n v="158"/>
    <n v="232"/>
    <x v="4"/>
    <x v="0"/>
    <x v="4"/>
    <x v="1"/>
    <x v="1"/>
    <x v="0"/>
  </r>
  <r>
    <x v="128"/>
    <s v="21303 LOC 752"/>
    <s v="22300 LOC 752"/>
    <s v="KM - 5- PK-43 U MIL - KM - 5"/>
    <n v="76"/>
    <n v="9"/>
    <n v="929.93"/>
    <n v="636072.12"/>
    <n v="986"/>
    <n v="684"/>
    <x v="4"/>
    <x v="0"/>
    <x v="4"/>
    <x v="2"/>
    <x v="1"/>
    <x v="0"/>
  </r>
  <r>
    <x v="128"/>
    <s v="21305 LOC 350"/>
    <s v="21300 LOC 350"/>
    <s v="KM - 5 - LA CARO - KM - 5"/>
    <n v="58"/>
    <n v="4"/>
    <n v="929.93"/>
    <n v="215743.75999999998"/>
    <n v="281"/>
    <n v="232"/>
    <x v="4"/>
    <x v="0"/>
    <x v="4"/>
    <x v="3"/>
    <x v="1"/>
    <x v="0"/>
  </r>
  <r>
    <x v="129"/>
    <s v="21301 AUT 1676"/>
    <s v="21300 AUT 1676"/>
    <s v="KM - 5 - LA CARO - KM - 5"/>
    <n v="58"/>
    <n v="4"/>
    <n v="929.93"/>
    <n v="215743.75999999998"/>
    <n v="153"/>
    <n v="232"/>
    <x v="4"/>
    <x v="0"/>
    <x v="4"/>
    <x v="1"/>
    <x v="1"/>
    <x v="0"/>
  </r>
  <r>
    <x v="129"/>
    <s v="21303 LOC 752"/>
    <s v="22300 LOC 752"/>
    <s v="KM - 5- PK-43 U MIL - KM - 5"/>
    <n v="76"/>
    <n v="9"/>
    <n v="929.93"/>
    <n v="636072.12"/>
    <n v="1057"/>
    <n v="684"/>
    <x v="4"/>
    <x v="0"/>
    <x v="4"/>
    <x v="2"/>
    <x v="1"/>
    <x v="0"/>
  </r>
  <r>
    <x v="130"/>
    <s v="21301 AUT 1723"/>
    <s v="21300 AUT 1723"/>
    <s v="KM - 5 - LA CARO - KM - 5"/>
    <n v="58"/>
    <n v="4"/>
    <n v="929.93"/>
    <n v="215743.75999999998"/>
    <n v="155"/>
    <n v="232"/>
    <x v="4"/>
    <x v="0"/>
    <x v="4"/>
    <x v="1"/>
    <x v="1"/>
    <x v="0"/>
  </r>
  <r>
    <x v="130"/>
    <s v="21303 LOC 711"/>
    <s v="22300 LOC 711"/>
    <s v="KM - 5- PK-43 U MIL - KM - 5"/>
    <n v="76"/>
    <n v="9"/>
    <n v="929.93"/>
    <n v="636072.12"/>
    <n v="762"/>
    <n v="684"/>
    <x v="4"/>
    <x v="0"/>
    <x v="4"/>
    <x v="2"/>
    <x v="1"/>
    <x v="0"/>
  </r>
  <r>
    <x v="131"/>
    <s v="21301 AUT 1723"/>
    <s v="21300 AUT 1723"/>
    <s v="KM - 5 - LA CARO - KM - 5"/>
    <n v="58"/>
    <n v="4"/>
    <n v="929.93"/>
    <n v="215743.75999999998"/>
    <n v="132"/>
    <n v="232"/>
    <x v="4"/>
    <x v="0"/>
    <x v="4"/>
    <x v="1"/>
    <x v="1"/>
    <x v="0"/>
  </r>
  <r>
    <x v="131"/>
    <s v="21303 LOC 711"/>
    <s v="22300 LOC 711"/>
    <s v="KM - 5- PK-43 U MIL - KM - 5"/>
    <n v="76"/>
    <n v="9"/>
    <n v="929.93"/>
    <n v="636072.12"/>
    <n v="1086"/>
    <n v="684"/>
    <x v="4"/>
    <x v="0"/>
    <x v="4"/>
    <x v="2"/>
    <x v="1"/>
    <x v="0"/>
  </r>
  <r>
    <x v="132"/>
    <s v="21301 AUT 1696"/>
    <s v="22300 AUT 1696"/>
    <s v="KM - 5- PK-43 U MIL - KM - 5"/>
    <n v="76"/>
    <n v="3"/>
    <n v="929.93"/>
    <n v="212024.03999999998"/>
    <n v="212"/>
    <n v="228"/>
    <x v="4"/>
    <x v="0"/>
    <x v="4"/>
    <x v="2"/>
    <x v="1"/>
    <x v="0"/>
  </r>
  <r>
    <x v="132"/>
    <s v="21303 LOC 723"/>
    <s v="22302 LOC 723"/>
    <s v="KM - 5 - ZIPAQUIRA- KM - 5"/>
    <n v="96"/>
    <n v="9"/>
    <n v="929.93"/>
    <n v="803459.5199999999"/>
    <n v="596"/>
    <n v="864"/>
    <x v="4"/>
    <x v="0"/>
    <x v="4"/>
    <x v="0"/>
    <x v="0"/>
    <x v="0"/>
  </r>
  <r>
    <x v="133"/>
    <s v="21301 LOC 723"/>
    <s v="22300 LOC 723"/>
    <s v="KM - 5 - ZIPAQUIRA- KM - 5"/>
    <n v="96"/>
    <n v="15"/>
    <n v="929.93"/>
    <n v="1339099.2"/>
    <n v="1188"/>
    <n v="1440"/>
    <x v="4"/>
    <x v="0"/>
    <x v="4"/>
    <x v="0"/>
    <x v="0"/>
    <x v="0"/>
  </r>
  <r>
    <x v="134"/>
    <s v="21301 LOC 752"/>
    <s v="22300 LOC 752"/>
    <s v="KM - 5- PK-43 U MIL - KM - 5"/>
    <n v="76"/>
    <n v="6"/>
    <n v="929.93"/>
    <n v="424048.07999999996"/>
    <n v="512"/>
    <n v="456"/>
    <x v="4"/>
    <x v="0"/>
    <x v="4"/>
    <x v="2"/>
    <x v="1"/>
    <x v="0"/>
  </r>
  <r>
    <x v="135"/>
    <s v="21301 LOC 752"/>
    <s v="22300 LOC 752"/>
    <s v="KM - 5- PK-43 U MIL - KM - 5"/>
    <n v="76"/>
    <n v="6"/>
    <n v="929.93"/>
    <n v="424048.07999999996"/>
    <n v="542"/>
    <n v="456"/>
    <x v="4"/>
    <x v="0"/>
    <x v="4"/>
    <x v="2"/>
    <x v="1"/>
    <x v="0"/>
  </r>
  <r>
    <x v="136"/>
    <s v="21301 LOC 723"/>
    <s v="22300 LOC 723"/>
    <s v="KM - 5- PK-43 U MIL - KM - 5"/>
    <n v="76"/>
    <n v="6"/>
    <n v="929.93"/>
    <n v="424048.07999999996"/>
    <n v="502"/>
    <n v="456"/>
    <x v="4"/>
    <x v="0"/>
    <x v="4"/>
    <x v="2"/>
    <x v="1"/>
    <x v="0"/>
  </r>
  <r>
    <x v="137"/>
    <s v="21301 LOC 723"/>
    <s v="22300 LOC 723"/>
    <s v="KM - 5- PK-43 U MIL - KM - 5"/>
    <n v="76"/>
    <n v="6"/>
    <n v="929.93"/>
    <n v="424048.07999999996"/>
    <n v="281"/>
    <n v="456"/>
    <x v="4"/>
    <x v="0"/>
    <x v="4"/>
    <x v="2"/>
    <x v="1"/>
    <x v="0"/>
  </r>
  <r>
    <x v="138"/>
    <s v="21301 LOC 723"/>
    <s v="22300 LOC 723"/>
    <s v="KM - 5- PK-43 U MIL - KM - 5"/>
    <n v="76"/>
    <n v="6"/>
    <n v="929.93"/>
    <n v="424048.07999999996"/>
    <n v="212"/>
    <n v="456"/>
    <x v="4"/>
    <x v="0"/>
    <x v="4"/>
    <x v="2"/>
    <x v="1"/>
    <x v="0"/>
  </r>
  <r>
    <x v="139"/>
    <s v="21301 AUT 1696"/>
    <s v="22300 AUT 1696"/>
    <s v="KM - 5- PK-43 U MIL - KM - 5"/>
    <n v="76"/>
    <n v="3"/>
    <n v="929.93"/>
    <n v="212024.03999999998"/>
    <n v="17"/>
    <n v="228"/>
    <x v="5"/>
    <x v="0"/>
    <x v="5"/>
    <x v="2"/>
    <x v="1"/>
    <x v="0"/>
  </r>
  <r>
    <x v="139"/>
    <s v="21303 LOC 711"/>
    <s v="22302 LOC 711"/>
    <s v="KM - 5 - ZIPAQUIRA- KM - 5"/>
    <n v="96"/>
    <n v="11"/>
    <n v="929.93"/>
    <n v="982006.08"/>
    <n v="748"/>
    <n v="1056"/>
    <x v="5"/>
    <x v="0"/>
    <x v="5"/>
    <x v="0"/>
    <x v="0"/>
    <x v="0"/>
  </r>
  <r>
    <x v="140"/>
    <s v="21301 LOC 711"/>
    <s v="22300 LOC 350"/>
    <s v="KM - 5 - ZIPAQUIRA- KM - 5"/>
    <n v="96"/>
    <n v="18"/>
    <n v="929.93"/>
    <n v="1606919.0399999998"/>
    <n v="1562"/>
    <n v="1728"/>
    <x v="5"/>
    <x v="0"/>
    <x v="5"/>
    <x v="0"/>
    <x v="0"/>
    <x v="0"/>
  </r>
  <r>
    <x v="141"/>
    <s v="21301 LOC 350"/>
    <s v="22300 LOC 350"/>
    <s v="KM - 5 - ZIPAQUIRA- KM - 5"/>
    <n v="96"/>
    <n v="10"/>
    <n v="929.93"/>
    <n v="892732.79999999993"/>
    <n v="704"/>
    <n v="960"/>
    <x v="5"/>
    <x v="0"/>
    <x v="5"/>
    <x v="0"/>
    <x v="0"/>
    <x v="0"/>
  </r>
  <r>
    <x v="142"/>
    <s v="21301 LOC 723"/>
    <s v="22300 LOC 723"/>
    <s v="KM - 5 - ZIPAQUIRA- KM - 5"/>
    <n v="96"/>
    <n v="9"/>
    <n v="929.93"/>
    <n v="803459.5199999999"/>
    <n v="630"/>
    <n v="864"/>
    <x v="5"/>
    <x v="0"/>
    <x v="5"/>
    <x v="0"/>
    <x v="0"/>
    <x v="0"/>
  </r>
  <r>
    <x v="143"/>
    <s v="21301 LOC 723"/>
    <s v="22300 LOC 723"/>
    <s v="KM - 5 - ZIPAQUIRA- KM - 5"/>
    <n v="96"/>
    <n v="18"/>
    <n v="929.93"/>
    <n v="1606919.0399999998"/>
    <n v="1528"/>
    <n v="1728"/>
    <x v="5"/>
    <x v="0"/>
    <x v="5"/>
    <x v="0"/>
    <x v="0"/>
    <x v="0"/>
  </r>
  <r>
    <x v="144"/>
    <s v="21301 LOC 350"/>
    <s v="22300 LOC 350"/>
    <s v="KM - 5 - ZIPAQUIRA- KM - 5"/>
    <n v="96"/>
    <n v="16"/>
    <n v="929.93"/>
    <n v="1428372.48"/>
    <n v="1284"/>
    <n v="1536"/>
    <x v="5"/>
    <x v="0"/>
    <x v="5"/>
    <x v="0"/>
    <x v="0"/>
    <x v="0"/>
  </r>
  <r>
    <x v="145"/>
    <s v="21301 LOC 711"/>
    <s v="22300 LOC 711R723"/>
    <s v="KM - 5 - ZIPAQUIRA- KM - 5"/>
    <n v="96"/>
    <n v="12"/>
    <n v="929.93"/>
    <n v="1071279.3599999999"/>
    <n v="816"/>
    <n v="1152"/>
    <x v="5"/>
    <x v="0"/>
    <x v="5"/>
    <x v="0"/>
    <x v="0"/>
    <x v="0"/>
  </r>
  <r>
    <x v="146"/>
    <s v="21301 LOC 711"/>
    <s v="22300 LOC 711R723"/>
    <s v="KM - 5 - ZIPAQUIRA- KM - 5"/>
    <n v="96"/>
    <n v="15"/>
    <n v="929.93"/>
    <n v="1339099.2"/>
    <n v="1178"/>
    <n v="1440"/>
    <x v="5"/>
    <x v="0"/>
    <x v="5"/>
    <x v="0"/>
    <x v="0"/>
    <x v="0"/>
  </r>
  <r>
    <x v="147"/>
    <s v="21301 AUT 1696"/>
    <s v="22300 AUT 1696"/>
    <s v="KM - 5 - ZIPAQUIRA- KM - 5"/>
    <n v="96"/>
    <n v="3"/>
    <n v="929.93"/>
    <n v="267819.83999999997"/>
    <n v="164"/>
    <n v="288"/>
    <x v="5"/>
    <x v="0"/>
    <x v="5"/>
    <x v="0"/>
    <x v="0"/>
    <x v="0"/>
  </r>
  <r>
    <x v="147"/>
    <s v="21303 LOC 711"/>
    <s v="22302 LOC 711"/>
    <s v="KM - 5 - ZIPAQUIRA- KM - 5"/>
    <n v="96"/>
    <n v="13"/>
    <n v="929.93"/>
    <n v="1160552.6399999999"/>
    <n v="1008"/>
    <n v="1248"/>
    <x v="5"/>
    <x v="0"/>
    <x v="5"/>
    <x v="0"/>
    <x v="0"/>
    <x v="0"/>
  </r>
  <r>
    <x v="148"/>
    <s v="21301 LOC 711"/>
    <s v="22300 LOC 711 "/>
    <s v="KM - 5 - ZIPAQUIRA- KM - 5"/>
    <n v="96"/>
    <n v="15"/>
    <n v="929.93"/>
    <n v="1339099.2"/>
    <n v="1102"/>
    <n v="1440"/>
    <x v="5"/>
    <x v="0"/>
    <x v="5"/>
    <x v="0"/>
    <x v="0"/>
    <x v="0"/>
  </r>
  <r>
    <x v="149"/>
    <s v="21301 LOC 723"/>
    <s v="22300 LOC 723"/>
    <s v="KM - 5 - ZIPAQUIRA- KM - 5"/>
    <n v="96"/>
    <n v="16"/>
    <n v="929.93"/>
    <n v="1428372.48"/>
    <n v="1382"/>
    <n v="1536"/>
    <x v="5"/>
    <x v="0"/>
    <x v="5"/>
    <x v="0"/>
    <x v="0"/>
    <x v="0"/>
  </r>
  <r>
    <x v="150"/>
    <s v="21301 LOC 711"/>
    <s v="22300 LOC 711"/>
    <s v="KM - 5 - ZIPAQUIRA- KM - 5"/>
    <n v="96"/>
    <n v="8"/>
    <n v="929.93"/>
    <n v="714186.23999999999"/>
    <n v="520"/>
    <n v="768"/>
    <x v="5"/>
    <x v="0"/>
    <x v="5"/>
    <x v="0"/>
    <x v="0"/>
    <x v="0"/>
  </r>
  <r>
    <x v="151"/>
    <s v="21301 LOC 711"/>
    <s v="21303 LOC 711"/>
    <s v="KM - 5 - ZIPAQUIRA- KM - 5"/>
    <n v="96"/>
    <n v="18"/>
    <n v="929.93"/>
    <n v="1606919.0399999998"/>
    <n v="1414"/>
    <n v="1728"/>
    <x v="5"/>
    <x v="0"/>
    <x v="5"/>
    <x v="0"/>
    <x v="0"/>
    <x v="0"/>
  </r>
  <r>
    <x v="152"/>
    <s v="21301 LOC 711"/>
    <s v="21303 LOC 711"/>
    <s v="KM - 5 - ZIPAQUIRA- KM - 5"/>
    <n v="96"/>
    <n v="18"/>
    <n v="929.93"/>
    <n v="1606919.0399999998"/>
    <n v="1520"/>
    <n v="1728"/>
    <x v="5"/>
    <x v="0"/>
    <x v="5"/>
    <x v="0"/>
    <x v="0"/>
    <x v="0"/>
  </r>
  <r>
    <x v="153"/>
    <s v="21301 LOC 723"/>
    <s v="22300 LOC 723"/>
    <s v="KM - 5 - ZIPAQUIRA- KM - 5"/>
    <n v="96"/>
    <n v="18"/>
    <n v="929.93"/>
    <n v="1606919.0399999998"/>
    <n v="1598"/>
    <n v="1728"/>
    <x v="6"/>
    <x v="0"/>
    <x v="6"/>
    <x v="0"/>
    <x v="0"/>
    <x v="0"/>
  </r>
  <r>
    <x v="154"/>
    <s v="21301 LOC 723"/>
    <s v="22300 LOC 723"/>
    <s v="KM - 5 - ZIPAQUIRA- KM - 5"/>
    <n v="96"/>
    <n v="5"/>
    <n v="929.93"/>
    <n v="446366.39999999997"/>
    <n v="350"/>
    <n v="480"/>
    <x v="6"/>
    <x v="0"/>
    <x v="6"/>
    <x v="0"/>
    <x v="0"/>
    <x v="0"/>
  </r>
  <r>
    <x v="155"/>
    <s v="21301 LOC 350"/>
    <s v="22300 LOC 350"/>
    <s v="KM - 5 - ZIPAQUIRA- KM - 5"/>
    <n v="96"/>
    <n v="15"/>
    <n v="929.93"/>
    <n v="1339099.2"/>
    <n v="1196"/>
    <n v="1440"/>
    <x v="6"/>
    <x v="0"/>
    <x v="6"/>
    <x v="0"/>
    <x v="0"/>
    <x v="0"/>
  </r>
  <r>
    <x v="156"/>
    <s v="21301 LOC 723"/>
    <s v="22300 LOC 723"/>
    <s v="KM - 5 - ZIPAQUIRA- KM - 5"/>
    <n v="96"/>
    <n v="18"/>
    <n v="929.93"/>
    <n v="1606919.0399999998"/>
    <n v="1518"/>
    <n v="1728"/>
    <x v="6"/>
    <x v="0"/>
    <x v="6"/>
    <x v="0"/>
    <x v="0"/>
    <x v="0"/>
  </r>
  <r>
    <x v="157"/>
    <s v="21301 LOC 350"/>
    <s v="22300 LOC 350"/>
    <s v="KM - 5 - ZIPAQUIRA- KM - 5"/>
    <n v="96"/>
    <n v="17"/>
    <n v="929.93"/>
    <n v="1517645.76"/>
    <n v="1484"/>
    <n v="1632"/>
    <x v="6"/>
    <x v="0"/>
    <x v="6"/>
    <x v="0"/>
    <x v="0"/>
    <x v="0"/>
  </r>
  <r>
    <x v="158"/>
    <s v="21301 LOC 711"/>
    <s v="22300 LOC 350 R 711"/>
    <s v="KM - 5 - ZIPAQUIRA- KM - 5"/>
    <n v="96"/>
    <n v="14"/>
    <n v="929.93"/>
    <n v="1249825.92"/>
    <n v="1008"/>
    <n v="1344"/>
    <x v="6"/>
    <x v="0"/>
    <x v="6"/>
    <x v="0"/>
    <x v="0"/>
    <x v="0"/>
  </r>
  <r>
    <x v="159"/>
    <s v="21301 AUT 1676"/>
    <s v="21300 AUT 1676"/>
    <s v="KM - 5 - LA CARO - KM - 5"/>
    <n v="58"/>
    <n v="4"/>
    <n v="929.93"/>
    <n v="215743.75999999998"/>
    <n v="26"/>
    <n v="232"/>
    <x v="6"/>
    <x v="0"/>
    <x v="6"/>
    <x v="1"/>
    <x v="1"/>
    <x v="0"/>
  </r>
  <r>
    <x v="160"/>
    <s v="21301 LOC 752"/>
    <s v="22300 LOC 752"/>
    <s v="KM - 5 - ZIPAQUIRA- KM - 5"/>
    <n v="96"/>
    <n v="17"/>
    <n v="929.93"/>
    <n v="1517645.76"/>
    <n v="1320"/>
    <n v="1632"/>
    <x v="6"/>
    <x v="0"/>
    <x v="6"/>
    <x v="0"/>
    <x v="0"/>
    <x v="0"/>
  </r>
  <r>
    <x v="161"/>
    <s v="21301 LOC 752"/>
    <s v="22300 LOC 752"/>
    <s v="KM - 5 - ZIPAQUIRA- KM - 5"/>
    <n v="96"/>
    <n v="14"/>
    <n v="929.93"/>
    <n v="1249825.92"/>
    <n v="1138"/>
    <n v="1344"/>
    <x v="6"/>
    <x v="0"/>
    <x v="6"/>
    <x v="0"/>
    <x v="0"/>
    <x v="0"/>
  </r>
  <r>
    <x v="162"/>
    <s v="21301 AUT 1676"/>
    <s v="21302 AUT 1676"/>
    <s v="KM - 5 - LA CARO - KM - 5"/>
    <n v="58"/>
    <n v="4"/>
    <n v="929.93"/>
    <n v="215743.75999999998"/>
    <n v="140"/>
    <n v="232"/>
    <x v="6"/>
    <x v="0"/>
    <x v="6"/>
    <x v="1"/>
    <x v="1"/>
    <x v="0"/>
  </r>
  <r>
    <x v="162"/>
    <s v="21303 LOC 752"/>
    <s v="22302 LOC 752"/>
    <s v="KM - 5 - UN MILITAR-KM-5"/>
    <n v="76"/>
    <n v="10"/>
    <n v="929.93"/>
    <n v="706746.79999999993"/>
    <n v="937"/>
    <n v="760"/>
    <x v="6"/>
    <x v="0"/>
    <x v="6"/>
    <x v="2"/>
    <x v="1"/>
    <x v="0"/>
  </r>
  <r>
    <x v="162"/>
    <s v="21305 AUT 1696"/>
    <s v="21300 AUT 1696"/>
    <s v="KM - 5 - LA CARO - KM - 5"/>
    <n v="58"/>
    <n v="4"/>
    <n v="929.93"/>
    <n v="215743.75999999998"/>
    <n v="414"/>
    <n v="232"/>
    <x v="6"/>
    <x v="0"/>
    <x v="6"/>
    <x v="3"/>
    <x v="1"/>
    <x v="0"/>
  </r>
  <r>
    <x v="162"/>
    <s v="21307 LOC 350"/>
    <s v="22300 LOC 350"/>
    <s v="KM - 5 - ZIPAQUIRA- KM - 5"/>
    <n v="96"/>
    <n v="10"/>
    <n v="929.93"/>
    <n v="892732.79999999993"/>
    <n v="808"/>
    <n v="960"/>
    <x v="6"/>
    <x v="0"/>
    <x v="6"/>
    <x v="0"/>
    <x v="0"/>
    <x v="0"/>
  </r>
  <r>
    <x v="163"/>
    <s v="21301 AUT 1676"/>
    <s v="21302 AUT 1676"/>
    <s v="KM - 5 - LA CARO - KM - 5"/>
    <n v="58"/>
    <n v="4"/>
    <n v="929.93"/>
    <n v="215743.75999999998"/>
    <n v="188"/>
    <n v="232"/>
    <x v="6"/>
    <x v="0"/>
    <x v="6"/>
    <x v="1"/>
    <x v="1"/>
    <x v="0"/>
  </r>
  <r>
    <x v="163"/>
    <s v="21303 LOC 752"/>
    <s v="22300 LOC 752"/>
    <s v="KM - 5 - UN MILITAR-KM-5"/>
    <n v="76"/>
    <n v="10"/>
    <n v="929.93"/>
    <n v="706746.79999999993"/>
    <n v="1164"/>
    <n v="760"/>
    <x v="6"/>
    <x v="0"/>
    <x v="6"/>
    <x v="2"/>
    <x v="1"/>
    <x v="0"/>
  </r>
  <r>
    <x v="163"/>
    <s v="21305 LOC 350"/>
    <s v="21300 LOC 350"/>
    <s v="KM - 5 - LA CARO - KM - 5"/>
    <n v="58"/>
    <n v="5"/>
    <n v="929.93"/>
    <n v="269679.7"/>
    <n v="587"/>
    <n v="290"/>
    <x v="6"/>
    <x v="0"/>
    <x v="6"/>
    <x v="3"/>
    <x v="1"/>
    <x v="0"/>
  </r>
  <r>
    <x v="164"/>
    <s v="21301 AUT 1696"/>
    <s v="21302 AUT 1696"/>
    <s v="KM - 5 - LA CARO - KM - 5"/>
    <n v="58"/>
    <n v="4"/>
    <n v="929.93"/>
    <n v="215743.75999999998"/>
    <n v="156"/>
    <n v="232"/>
    <x v="6"/>
    <x v="0"/>
    <x v="6"/>
    <x v="1"/>
    <x v="1"/>
    <x v="0"/>
  </r>
  <r>
    <x v="164"/>
    <s v="21303 LOC 711"/>
    <s v="22300 LOC 711"/>
    <s v="KM - 5 - UN MILITAR-KM-5"/>
    <n v="76"/>
    <n v="10"/>
    <n v="929.93"/>
    <n v="706746.79999999993"/>
    <n v="1223"/>
    <n v="760"/>
    <x v="6"/>
    <x v="0"/>
    <x v="6"/>
    <x v="2"/>
    <x v="1"/>
    <x v="0"/>
  </r>
  <r>
    <x v="164"/>
    <s v="21305 LOC 350"/>
    <s v="21300 LOC 350"/>
    <s v="KM - 5 - LA CARO - KM - 5"/>
    <n v="58"/>
    <n v="6"/>
    <n v="929.93"/>
    <n v="323615.63999999996"/>
    <n v="728"/>
    <n v="348"/>
    <x v="6"/>
    <x v="0"/>
    <x v="6"/>
    <x v="3"/>
    <x v="1"/>
    <x v="0"/>
  </r>
  <r>
    <x v="165"/>
    <s v="21301 AUT 1696"/>
    <s v="21302 AUT 1696"/>
    <s v="KM - 5 - LA CARO - KM - 5"/>
    <n v="58"/>
    <n v="4"/>
    <n v="929.93"/>
    <n v="215743.75999999998"/>
    <n v="167"/>
    <n v="232"/>
    <x v="6"/>
    <x v="0"/>
    <x v="6"/>
    <x v="1"/>
    <x v="1"/>
    <x v="0"/>
  </r>
  <r>
    <x v="165"/>
    <s v="21303 LOC 711"/>
    <s v="22300 LOC 711"/>
    <s v="KM - 5 - UN MILITAR-KM-5"/>
    <n v="76"/>
    <n v="10"/>
    <n v="929.93"/>
    <n v="706746.79999999993"/>
    <n v="889"/>
    <n v="760"/>
    <x v="6"/>
    <x v="0"/>
    <x v="6"/>
    <x v="2"/>
    <x v="1"/>
    <x v="0"/>
  </r>
  <r>
    <x v="165"/>
    <s v="21305 LOC 350"/>
    <s v="21300 LOC 350"/>
    <s v="KM - 5 - LA CARO - KM - 5"/>
    <n v="58"/>
    <n v="6"/>
    <n v="929.93"/>
    <n v="323615.63999999996"/>
    <n v="899"/>
    <n v="348"/>
    <x v="6"/>
    <x v="0"/>
    <x v="6"/>
    <x v="3"/>
    <x v="1"/>
    <x v="0"/>
  </r>
  <r>
    <x v="166"/>
    <s v="21301 AUT 1696"/>
    <s v="21302 AUT 1696"/>
    <s v="KM - 5 - LA CARO - KM - 5"/>
    <n v="58"/>
    <n v="4"/>
    <n v="929.93"/>
    <n v="215743.75999999998"/>
    <n v="121"/>
    <n v="232"/>
    <x v="6"/>
    <x v="0"/>
    <x v="6"/>
    <x v="1"/>
    <x v="1"/>
    <x v="0"/>
  </r>
  <r>
    <x v="166"/>
    <s v="21303 LOC 711"/>
    <s v="22300 LOC 711"/>
    <s v="KM - 5 - UN MILITAR-KM-5"/>
    <n v="76"/>
    <n v="13"/>
    <n v="929.93"/>
    <n v="918770.84"/>
    <n v="1486"/>
    <n v="988"/>
    <x v="6"/>
    <x v="0"/>
    <x v="6"/>
    <x v="2"/>
    <x v="1"/>
    <x v="0"/>
  </r>
  <r>
    <x v="166"/>
    <s v="21305 LOC 752"/>
    <s v="21300 LOC 752"/>
    <s v="KM - 5 - LA CARO - KM - 5"/>
    <n v="58"/>
    <n v="6"/>
    <n v="929.93"/>
    <n v="323615.63999999996"/>
    <n v="893"/>
    <n v="348"/>
    <x v="6"/>
    <x v="0"/>
    <x v="6"/>
    <x v="3"/>
    <x v="1"/>
    <x v="0"/>
  </r>
  <r>
    <x v="167"/>
    <s v="21301 LOC 350"/>
    <s v="22300 LOC 350"/>
    <s v="KM - 5 - UN MILITAR-KM-5"/>
    <n v="76"/>
    <n v="6"/>
    <n v="929.93"/>
    <n v="424048.07999999996"/>
    <n v="503"/>
    <n v="456"/>
    <x v="6"/>
    <x v="0"/>
    <x v="6"/>
    <x v="2"/>
    <x v="1"/>
    <x v="0"/>
  </r>
  <r>
    <x v="167"/>
    <s v="21303 LOC 752"/>
    <s v="22302 LOC 752"/>
    <s v="KM - 5 - ZIPAQUIRA- KM - 5"/>
    <n v="96"/>
    <n v="13"/>
    <n v="929.93"/>
    <n v="1160552.6399999999"/>
    <n v="1046"/>
    <n v="1248"/>
    <x v="6"/>
    <x v="0"/>
    <x v="6"/>
    <x v="0"/>
    <x v="0"/>
    <x v="0"/>
  </r>
  <r>
    <x v="168"/>
    <s v="21301 LOC 711"/>
    <s v="22300 LOC 711"/>
    <s v="KM - 5 - ZIPAQUIRA- KM - 5"/>
    <n v="96"/>
    <n v="15"/>
    <n v="929.93"/>
    <n v="1339099.2"/>
    <n v="1026"/>
    <n v="1440"/>
    <x v="6"/>
    <x v="0"/>
    <x v="6"/>
    <x v="0"/>
    <x v="0"/>
    <x v="0"/>
  </r>
  <r>
    <x v="169"/>
    <s v="21301 AUT 1723"/>
    <s v="21302 AUT 1723"/>
    <s v="KM - 5 - LA CARO - KM - 5"/>
    <n v="58"/>
    <n v="4"/>
    <n v="929.93"/>
    <n v="215743.75999999998"/>
    <n v="165"/>
    <n v="232"/>
    <x v="6"/>
    <x v="0"/>
    <x v="6"/>
    <x v="1"/>
    <x v="1"/>
    <x v="0"/>
  </r>
  <r>
    <x v="169"/>
    <s v="21303 LOC 711"/>
    <s v="22300 LOC 711"/>
    <s v="KM - 5 - UN MILITAR-KM-5"/>
    <n v="76"/>
    <n v="10"/>
    <n v="929.93"/>
    <n v="706746.79999999993"/>
    <n v="922"/>
    <n v="760"/>
    <x v="6"/>
    <x v="0"/>
    <x v="6"/>
    <x v="2"/>
    <x v="1"/>
    <x v="0"/>
  </r>
  <r>
    <x v="169"/>
    <s v="21305 AUT 1676"/>
    <s v="21300 AUT 1676"/>
    <s v="KM - 5 - LA CARO - KM - 5"/>
    <n v="58"/>
    <n v="4"/>
    <n v="929.93"/>
    <n v="215743.75999999998"/>
    <n v="435"/>
    <n v="232"/>
    <x v="6"/>
    <x v="0"/>
    <x v="6"/>
    <x v="3"/>
    <x v="1"/>
    <x v="0"/>
  </r>
  <r>
    <x v="170"/>
    <s v="21301 AUT 1723"/>
    <s v="21302 AUT 1723"/>
    <s v="KM - 5 - LA CARO - KM - 5"/>
    <n v="58"/>
    <n v="4"/>
    <n v="929.93"/>
    <n v="215743.75999999998"/>
    <n v="183"/>
    <n v="232"/>
    <x v="6"/>
    <x v="0"/>
    <x v="6"/>
    <x v="1"/>
    <x v="1"/>
    <x v="0"/>
  </r>
  <r>
    <x v="170"/>
    <s v="21303 LOC 711"/>
    <s v="22300 LOC 711"/>
    <s v="KM - 5 - UN MILITAR-KM-5"/>
    <n v="76"/>
    <n v="10"/>
    <n v="929.93"/>
    <n v="706746.79999999993"/>
    <n v="1277"/>
    <n v="760"/>
    <x v="6"/>
    <x v="0"/>
    <x v="6"/>
    <x v="2"/>
    <x v="1"/>
    <x v="0"/>
  </r>
  <r>
    <x v="170"/>
    <s v="21305 LOC 350"/>
    <s v="21300 LOC 350"/>
    <s v="KM - 5 - LA CARO - KM - 5"/>
    <n v="58"/>
    <n v="5"/>
    <n v="929.93"/>
    <n v="269679.7"/>
    <n v="574"/>
    <n v="290"/>
    <x v="6"/>
    <x v="0"/>
    <x v="6"/>
    <x v="3"/>
    <x v="1"/>
    <x v="0"/>
  </r>
  <r>
    <x v="171"/>
    <s v="21301 AUT 1723"/>
    <s v="21302 AUT 1723"/>
    <s v="KM - 5 - LA CARO - KM - 5"/>
    <n v="58"/>
    <n v="4"/>
    <n v="929.93"/>
    <n v="215743.75999999998"/>
    <n v="118"/>
    <n v="232"/>
    <x v="6"/>
    <x v="0"/>
    <x v="6"/>
    <x v="1"/>
    <x v="1"/>
    <x v="0"/>
  </r>
  <r>
    <x v="171"/>
    <s v="21303 LOC 711"/>
    <s v="22300 LOC 711"/>
    <s v="KM - 5 - UN MILITAR-KM-5"/>
    <n v="76"/>
    <n v="10"/>
    <n v="929.93"/>
    <n v="706746.79999999993"/>
    <n v="1307"/>
    <n v="760"/>
    <x v="6"/>
    <x v="0"/>
    <x v="6"/>
    <x v="2"/>
    <x v="1"/>
    <x v="0"/>
  </r>
  <r>
    <x v="171"/>
    <s v="21305 LOC 350"/>
    <s v="21300 LOC 350"/>
    <s v="KM - 5 - LA CARO - KM - 5"/>
    <n v="58"/>
    <n v="6"/>
    <n v="929.93"/>
    <n v="323615.63999999996"/>
    <n v="688"/>
    <n v="348"/>
    <x v="6"/>
    <x v="0"/>
    <x v="6"/>
    <x v="3"/>
    <x v="1"/>
    <x v="0"/>
  </r>
  <r>
    <x v="172"/>
    <s v="21301 AUT 1696"/>
    <s v="21302 AUT 1696"/>
    <s v="KM - 5 - LA CARO - KM - 5"/>
    <n v="58"/>
    <n v="4"/>
    <n v="929.93"/>
    <n v="215743.75999999998"/>
    <n v="165"/>
    <n v="232"/>
    <x v="7"/>
    <x v="0"/>
    <x v="7"/>
    <x v="1"/>
    <x v="1"/>
    <x v="0"/>
  </r>
  <r>
    <x v="172"/>
    <s v="21303 LOC 711"/>
    <s v="22302 LOC 711"/>
    <s v="KM - 5 - UN MILITAR-KM-5"/>
    <n v="76"/>
    <n v="10"/>
    <n v="929.93"/>
    <n v="706746.79999999993"/>
    <n v="958"/>
    <n v="760"/>
    <x v="7"/>
    <x v="0"/>
    <x v="7"/>
    <x v="2"/>
    <x v="1"/>
    <x v="0"/>
  </r>
  <r>
    <x v="172"/>
    <s v="21305 LOC 350"/>
    <s v="21300 LOC 350"/>
    <s v="KM - 5 - LA CARO - KM - 5"/>
    <n v="58"/>
    <n v="6"/>
    <n v="929.93"/>
    <n v="323615.63999999996"/>
    <n v="654"/>
    <n v="348"/>
    <x v="7"/>
    <x v="0"/>
    <x v="7"/>
    <x v="3"/>
    <x v="1"/>
    <x v="0"/>
  </r>
  <r>
    <x v="172"/>
    <s v="21307 AUT 1676"/>
    <s v="22300 AUT 1676"/>
    <s v="KM - 5 - ZIPAQUIRA- KM - 5"/>
    <n v="96"/>
    <n v="3"/>
    <n v="929.93"/>
    <n v="267819.83999999997"/>
    <n v="172"/>
    <n v="288"/>
    <x v="7"/>
    <x v="0"/>
    <x v="7"/>
    <x v="0"/>
    <x v="0"/>
    <x v="0"/>
  </r>
  <r>
    <x v="173"/>
    <s v="21301 AUT 1696"/>
    <s v="21302 AUT 1696"/>
    <s v="KM - 5 - LA CARO - KM - 5"/>
    <n v="58"/>
    <n v="4"/>
    <n v="929.93"/>
    <n v="215743.75999999998"/>
    <n v="143"/>
    <n v="232"/>
    <x v="7"/>
    <x v="0"/>
    <x v="7"/>
    <x v="1"/>
    <x v="1"/>
    <x v="0"/>
  </r>
  <r>
    <x v="173"/>
    <s v="21303 LOC 711"/>
    <s v="22302 LOC 711"/>
    <s v="KM - 5 - UN MILITAR-KM-5"/>
    <n v="76"/>
    <n v="10"/>
    <n v="929.93"/>
    <n v="706746.79999999993"/>
    <n v="1361"/>
    <n v="760"/>
    <x v="7"/>
    <x v="0"/>
    <x v="7"/>
    <x v="2"/>
    <x v="1"/>
    <x v="0"/>
  </r>
  <r>
    <x v="173"/>
    <s v="21305 LOC 350"/>
    <s v="21300 LOC 350"/>
    <s v="KM - 5 - LA CARO - KM - 5"/>
    <n v="58"/>
    <n v="6"/>
    <n v="929.93"/>
    <n v="323615.63999999996"/>
    <n v="901"/>
    <n v="348"/>
    <x v="7"/>
    <x v="0"/>
    <x v="7"/>
    <x v="3"/>
    <x v="1"/>
    <x v="0"/>
  </r>
  <r>
    <x v="174"/>
    <s v="21301 AUT 1676"/>
    <s v="22300 AUT 1676"/>
    <s v="KM - 5 - UN MILITAR-KM-5"/>
    <n v="76"/>
    <n v="3"/>
    <n v="929.93"/>
    <n v="212024.03999999998"/>
    <n v="324"/>
    <n v="228"/>
    <x v="7"/>
    <x v="0"/>
    <x v="7"/>
    <x v="2"/>
    <x v="1"/>
    <x v="0"/>
  </r>
  <r>
    <x v="174"/>
    <s v="21303 LOC 752"/>
    <s v="22302 LOC 752"/>
    <s v="KM - 5 - ZIPAQUIRA- KM - 5"/>
    <n v="96"/>
    <n v="14"/>
    <n v="929.93"/>
    <n v="1249825.92"/>
    <n v="1074"/>
    <n v="1344"/>
    <x v="7"/>
    <x v="0"/>
    <x v="7"/>
    <x v="0"/>
    <x v="0"/>
    <x v="0"/>
  </r>
  <r>
    <x v="175"/>
    <s v="21301 LOC 711"/>
    <s v="22300 LOC 711"/>
    <s v="KM - 5 - ZIPAQUIRA- KM - 5"/>
    <n v="96"/>
    <n v="14"/>
    <n v="929.93"/>
    <n v="1249825.92"/>
    <n v="1060"/>
    <n v="1344"/>
    <x v="7"/>
    <x v="0"/>
    <x v="7"/>
    <x v="0"/>
    <x v="0"/>
    <x v="0"/>
  </r>
  <r>
    <x v="176"/>
    <s v="21301 AUT 1723"/>
    <s v="21302 AUT 1723"/>
    <s v="KM - 5 - LA CARO - KM - 5"/>
    <n v="58"/>
    <n v="4"/>
    <n v="929.93"/>
    <n v="215743.75999999998"/>
    <n v="157"/>
    <n v="232"/>
    <x v="7"/>
    <x v="0"/>
    <x v="7"/>
    <x v="1"/>
    <x v="1"/>
    <x v="0"/>
  </r>
  <r>
    <x v="176"/>
    <s v="21303 LOC 752"/>
    <s v="22300 LOC 752"/>
    <s v="KM - 5 - UN MILITAR-KM-5"/>
    <n v="76"/>
    <n v="10"/>
    <n v="929.93"/>
    <n v="706746.79999999993"/>
    <n v="930"/>
    <n v="760"/>
    <x v="7"/>
    <x v="0"/>
    <x v="7"/>
    <x v="2"/>
    <x v="1"/>
    <x v="0"/>
  </r>
  <r>
    <x v="176"/>
    <s v="21305 AUT 1676"/>
    <s v="21300 AUT 1676"/>
    <s v="KM - 5 - LA CARO - KM - 5"/>
    <n v="58"/>
    <n v="4"/>
    <n v="929.93"/>
    <n v="215743.75999999998"/>
    <n v="460"/>
    <n v="232"/>
    <x v="7"/>
    <x v="0"/>
    <x v="7"/>
    <x v="3"/>
    <x v="1"/>
    <x v="0"/>
  </r>
  <r>
    <x v="177"/>
    <s v="21301 AUT 1723"/>
    <s v="21302 AUT 1723"/>
    <s v="KM - 5 - LA CARO - KM - 5"/>
    <n v="58"/>
    <n v="4"/>
    <n v="929.93"/>
    <n v="215743.75999999998"/>
    <n v="167"/>
    <n v="232"/>
    <x v="7"/>
    <x v="0"/>
    <x v="7"/>
    <x v="1"/>
    <x v="1"/>
    <x v="0"/>
  </r>
  <r>
    <x v="177"/>
    <s v="21303 LOC 711"/>
    <s v="22300 LOC 711"/>
    <s v="KM - 5 - UN MILITAR-KM-5"/>
    <n v="76"/>
    <n v="10"/>
    <n v="929.93"/>
    <n v="706746.79999999993"/>
    <n v="1325"/>
    <n v="760"/>
    <x v="7"/>
    <x v="0"/>
    <x v="7"/>
    <x v="2"/>
    <x v="1"/>
    <x v="0"/>
  </r>
  <r>
    <x v="177"/>
    <s v="21305 LOC 711"/>
    <s v="21300 LOC 711"/>
    <s v="KM - 5 - LA CARO - KM - 5"/>
    <n v="58"/>
    <n v="5"/>
    <n v="929.93"/>
    <n v="269679.7"/>
    <n v="601"/>
    <n v="290"/>
    <x v="7"/>
    <x v="0"/>
    <x v="7"/>
    <x v="3"/>
    <x v="1"/>
    <x v="0"/>
  </r>
  <r>
    <x v="178"/>
    <s v="21301 LOC 711"/>
    <s v="22300 LOC 711"/>
    <s v="KM - 5 - ZIPAQUIRA- KM - 5"/>
    <n v="96"/>
    <n v="10"/>
    <n v="929.93"/>
    <n v="892732.79999999993"/>
    <n v="698"/>
    <n v="960"/>
    <x v="7"/>
    <x v="0"/>
    <x v="7"/>
    <x v="0"/>
    <x v="0"/>
    <x v="0"/>
  </r>
  <r>
    <x v="179"/>
    <s v="21301 AUT 1696"/>
    <s v="21302 AUT 1696"/>
    <s v="KM - 5 - LA CARO - KM - 5"/>
    <n v="58"/>
    <n v="4"/>
    <n v="929.93"/>
    <n v="215743.75999999998"/>
    <n v="201"/>
    <n v="232"/>
    <x v="7"/>
    <x v="0"/>
    <x v="7"/>
    <x v="1"/>
    <x v="1"/>
    <x v="0"/>
  </r>
  <r>
    <x v="179"/>
    <s v="21303 LOC 711"/>
    <s v="22300 LOC 711"/>
    <s v="KM - 5 - UN MILITAR-KM-5"/>
    <n v="76"/>
    <n v="10"/>
    <n v="929.93"/>
    <n v="706746.79999999993"/>
    <n v="917"/>
    <n v="760"/>
    <x v="7"/>
    <x v="0"/>
    <x v="7"/>
    <x v="2"/>
    <x v="1"/>
    <x v="0"/>
  </r>
  <r>
    <x v="179"/>
    <s v="21305 LOC 350"/>
    <s v="21300 LOC 350"/>
    <s v="KM - 5 - LA CARO - KM - 5"/>
    <n v="58"/>
    <n v="6"/>
    <n v="929.93"/>
    <n v="323615.63999999996"/>
    <n v="611"/>
    <n v="348"/>
    <x v="7"/>
    <x v="0"/>
    <x v="7"/>
    <x v="3"/>
    <x v="1"/>
    <x v="0"/>
  </r>
  <r>
    <x v="180"/>
    <s v="21301 AUT 1696"/>
    <s v="21302 AUT 1696"/>
    <s v="KM - 5 - LA CARO - KM - 5"/>
    <n v="58"/>
    <n v="4"/>
    <n v="929.93"/>
    <n v="215743.75999999998"/>
    <n v="129"/>
    <n v="232"/>
    <x v="7"/>
    <x v="0"/>
    <x v="7"/>
    <x v="1"/>
    <x v="1"/>
    <x v="0"/>
  </r>
  <r>
    <x v="180"/>
    <s v="21303 LOC 752"/>
    <s v="22300 LOC 752"/>
    <s v="KM - 5 - UN MILITAR-KM-5"/>
    <n v="76"/>
    <n v="11"/>
    <n v="929.93"/>
    <n v="777421.48"/>
    <n v="1396"/>
    <n v="836"/>
    <x v="7"/>
    <x v="0"/>
    <x v="7"/>
    <x v="2"/>
    <x v="1"/>
    <x v="0"/>
  </r>
  <r>
    <x v="180"/>
    <s v="21305 LOC 350"/>
    <s v="21300 LOC 350"/>
    <s v="KM - 5 - LA CARO - KM - 5"/>
    <n v="58"/>
    <n v="6"/>
    <n v="929.93"/>
    <n v="323615.63999999996"/>
    <n v="811"/>
    <n v="348"/>
    <x v="7"/>
    <x v="0"/>
    <x v="7"/>
    <x v="3"/>
    <x v="1"/>
    <x v="0"/>
  </r>
  <r>
    <x v="181"/>
    <s v="21301 AUT-1676"/>
    <s v="22300 AUT - 1676"/>
    <s v="KM - 5 - UN MILITAR-KM-5"/>
    <n v="76"/>
    <n v="4"/>
    <n v="929.93"/>
    <n v="282698.71999999997"/>
    <n v="469"/>
    <n v="304"/>
    <x v="7"/>
    <x v="0"/>
    <x v="7"/>
    <x v="2"/>
    <x v="1"/>
    <x v="0"/>
  </r>
  <r>
    <x v="181"/>
    <s v="21303 LOC 752"/>
    <s v="22302 LOC 752"/>
    <s v="KM - 5 - ZIPAQUIRA- KM - 5"/>
    <n v="96"/>
    <n v="12"/>
    <n v="929.93"/>
    <n v="1071279.3599999999"/>
    <n v="962"/>
    <n v="1152"/>
    <x v="7"/>
    <x v="0"/>
    <x v="7"/>
    <x v="0"/>
    <x v="0"/>
    <x v="0"/>
  </r>
  <r>
    <x v="181"/>
    <s v="21305 LOC 711"/>
    <s v="22304 LOC 711"/>
    <s v="KM - 5 - ZIPAQUIRA- KM - 5"/>
    <n v="96"/>
    <n v="6"/>
    <n v="929.93"/>
    <n v="535639.67999999993"/>
    <n v="472"/>
    <n v="576"/>
    <x v="7"/>
    <x v="0"/>
    <x v="7"/>
    <x v="0"/>
    <x v="0"/>
    <x v="0"/>
  </r>
  <r>
    <x v="182"/>
    <s v="21301 LOC 711"/>
    <s v="22300 LOC 711"/>
    <s v="KM - 5 - ZIPAQUIRA- KM - 5"/>
    <n v="96"/>
    <n v="16"/>
    <n v="929.93"/>
    <n v="1428372.48"/>
    <n v="1400"/>
    <n v="1536"/>
    <x v="7"/>
    <x v="0"/>
    <x v="7"/>
    <x v="0"/>
    <x v="0"/>
    <x v="0"/>
  </r>
  <r>
    <x v="183"/>
    <s v="21301 AUT 1696"/>
    <s v="21302 AUT 1696"/>
    <s v="KM - 5 - LA CARO - KM - 5"/>
    <n v="58"/>
    <n v="4"/>
    <n v="929.93"/>
    <n v="215743.75999999998"/>
    <n v="157"/>
    <n v="232"/>
    <x v="7"/>
    <x v="0"/>
    <x v="7"/>
    <x v="1"/>
    <x v="1"/>
    <x v="0"/>
  </r>
  <r>
    <x v="183"/>
    <s v="21303 LOC 752"/>
    <s v="22300 LOC 752"/>
    <s v="KM - 5 - UN MILITAR-KM-5"/>
    <n v="76"/>
    <n v="10"/>
    <n v="929.93"/>
    <n v="706746.79999999993"/>
    <n v="984"/>
    <n v="760"/>
    <x v="7"/>
    <x v="0"/>
    <x v="7"/>
    <x v="2"/>
    <x v="1"/>
    <x v="0"/>
  </r>
  <r>
    <x v="183"/>
    <s v="21305 AUT 1676"/>
    <s v="21300 AUT 1676"/>
    <s v="KM - 5 - LA CARO - KM - 5"/>
    <n v="58"/>
    <n v="4"/>
    <n v="929.93"/>
    <n v="215743.75999999998"/>
    <n v="437"/>
    <n v="232"/>
    <x v="7"/>
    <x v="0"/>
    <x v="7"/>
    <x v="3"/>
    <x v="1"/>
    <x v="0"/>
  </r>
  <r>
    <x v="184"/>
    <s v="21301 AUT 1676"/>
    <s v="21302 AUT 1676"/>
    <s v="KM - 5 - LA CARO - KM - 5"/>
    <n v="58"/>
    <n v="4"/>
    <n v="929.93"/>
    <n v="215743.75999999998"/>
    <n v="179"/>
    <n v="232"/>
    <x v="7"/>
    <x v="0"/>
    <x v="7"/>
    <x v="1"/>
    <x v="1"/>
    <x v="0"/>
  </r>
  <r>
    <x v="184"/>
    <s v="21303 LOC 752"/>
    <s v="22300 LOC 752"/>
    <s v="KM - 5 - UN MILITAR-KM-5"/>
    <n v="76"/>
    <n v="10"/>
    <n v="929.93"/>
    <n v="706746.79999999993"/>
    <n v="1208"/>
    <n v="760"/>
    <x v="7"/>
    <x v="0"/>
    <x v="7"/>
    <x v="2"/>
    <x v="1"/>
    <x v="0"/>
  </r>
  <r>
    <x v="184"/>
    <s v="21305 LOC 350"/>
    <s v="21300 LOC 350"/>
    <s v="KM - 5 - LA CARO - KM - 5"/>
    <n v="58"/>
    <n v="5"/>
    <n v="929.93"/>
    <n v="269679.7"/>
    <n v="599"/>
    <n v="290"/>
    <x v="7"/>
    <x v="0"/>
    <x v="7"/>
    <x v="3"/>
    <x v="1"/>
    <x v="0"/>
  </r>
  <r>
    <x v="185"/>
    <s v="21301 AUT 1676"/>
    <s v="21304 AUT 1676"/>
    <s v="KM - 5 - LA CARO - KM - 5"/>
    <n v="58"/>
    <n v="4"/>
    <n v="929.93"/>
    <n v="215743.75999999998"/>
    <n v="215"/>
    <n v="232"/>
    <x v="7"/>
    <x v="0"/>
    <x v="7"/>
    <x v="1"/>
    <x v="1"/>
    <x v="0"/>
  </r>
  <r>
    <x v="185"/>
    <s v="21303 LOC 752"/>
    <s v="22300 LOC 752"/>
    <s v="KM - 5 - UN MILITAR-KM-5"/>
    <n v="76"/>
    <n v="10"/>
    <n v="929.93"/>
    <n v="706746.79999999993"/>
    <n v="1368"/>
    <n v="760"/>
    <x v="7"/>
    <x v="0"/>
    <x v="7"/>
    <x v="2"/>
    <x v="1"/>
    <x v="0"/>
  </r>
  <r>
    <x v="185"/>
    <s v="21305 LOC 350"/>
    <s v="21302 LOC 350"/>
    <s v="KM - 5 - LA CARO - KM - 5"/>
    <n v="58"/>
    <n v="5"/>
    <n v="929.93"/>
    <n v="269679.7"/>
    <n v="782"/>
    <n v="290"/>
    <x v="7"/>
    <x v="0"/>
    <x v="7"/>
    <x v="3"/>
    <x v="1"/>
    <x v="0"/>
  </r>
  <r>
    <x v="185"/>
    <s v="21307 AUT1696"/>
    <s v="21300 AUT 1696"/>
    <s v="KM - 5 - LA CARO - KM - 5"/>
    <n v="58"/>
    <n v="4"/>
    <n v="929.93"/>
    <n v="215743.75999999998"/>
    <n v="156"/>
    <n v="232"/>
    <x v="7"/>
    <x v="0"/>
    <x v="7"/>
    <x v="1"/>
    <x v="1"/>
    <x v="0"/>
  </r>
  <r>
    <x v="186"/>
    <s v="21301 AUT 1723"/>
    <s v="21302 AUT 1723"/>
    <s v="KM - 5 - LA CARO - KM - 5"/>
    <n v="58"/>
    <n v="4"/>
    <n v="929.93"/>
    <n v="215743.75999999998"/>
    <n v="190"/>
    <n v="232"/>
    <x v="7"/>
    <x v="0"/>
    <x v="7"/>
    <x v="1"/>
    <x v="1"/>
    <x v="0"/>
  </r>
  <r>
    <x v="186"/>
    <s v="21303 LOC 711"/>
    <s v="22300 LOC 711"/>
    <s v="KM - 5 - UN MILITAR-KM-5"/>
    <n v="76"/>
    <n v="11"/>
    <n v="929.93"/>
    <n v="777421.48"/>
    <n v="936"/>
    <n v="836"/>
    <x v="7"/>
    <x v="0"/>
    <x v="7"/>
    <x v="2"/>
    <x v="1"/>
    <x v="0"/>
  </r>
  <r>
    <x v="186"/>
    <s v="21305 LOC 350"/>
    <s v="21300 LOC 350"/>
    <s v="KM - 5 - LA CARO - KM - 5"/>
    <n v="58"/>
    <n v="5"/>
    <n v="929.93"/>
    <n v="269679.7"/>
    <n v="580"/>
    <n v="290"/>
    <x v="7"/>
    <x v="0"/>
    <x v="7"/>
    <x v="3"/>
    <x v="1"/>
    <x v="0"/>
  </r>
  <r>
    <x v="187"/>
    <s v="21301 AUT 1723"/>
    <s v="21302 AUT 1723"/>
    <s v="KM - 5 - LA CARO - KM - 5"/>
    <n v="58"/>
    <n v="4"/>
    <n v="929.93"/>
    <n v="215743.75999999998"/>
    <n v="141"/>
    <n v="232"/>
    <x v="7"/>
    <x v="0"/>
    <x v="7"/>
    <x v="1"/>
    <x v="1"/>
    <x v="0"/>
  </r>
  <r>
    <x v="187"/>
    <s v="21303 LOC 711"/>
    <s v="22300 LOC 711"/>
    <s v="KM - 5 - UN MILITAR-KM-5"/>
    <n v="76"/>
    <n v="10"/>
    <n v="929.93"/>
    <n v="706746.79999999993"/>
    <n v="1319"/>
    <n v="760"/>
    <x v="7"/>
    <x v="0"/>
    <x v="7"/>
    <x v="2"/>
    <x v="1"/>
    <x v="0"/>
  </r>
  <r>
    <x v="187"/>
    <s v="21305 LOC 350"/>
    <s v="21300 LOC 350"/>
    <s v="KM - 5 - LA CARO - KM - 5"/>
    <n v="58"/>
    <n v="6"/>
    <n v="929.93"/>
    <n v="323615.63999999996"/>
    <n v="684"/>
    <n v="348"/>
    <x v="7"/>
    <x v="0"/>
    <x v="7"/>
    <x v="3"/>
    <x v="1"/>
    <x v="0"/>
  </r>
  <r>
    <x v="188"/>
    <s v="21301 AUT 1696"/>
    <s v="22300 AUT 1696"/>
    <s v="KM - 5 - UN MILITAR-KM-5"/>
    <n v="76"/>
    <n v="3"/>
    <n v="929.93"/>
    <n v="212024.03999999998"/>
    <n v="369"/>
    <n v="228"/>
    <x v="7"/>
    <x v="0"/>
    <x v="7"/>
    <x v="2"/>
    <x v="1"/>
    <x v="0"/>
  </r>
  <r>
    <x v="188"/>
    <s v="21303 LOC 752"/>
    <s v="22302 LOC 752"/>
    <s v="KM - 5 - ZIPAQUIRA- KM - 5"/>
    <n v="96"/>
    <n v="17"/>
    <n v="929.93"/>
    <n v="1517645.76"/>
    <n v="1254"/>
    <n v="1632"/>
    <x v="7"/>
    <x v="0"/>
    <x v="7"/>
    <x v="0"/>
    <x v="0"/>
    <x v="0"/>
  </r>
  <r>
    <x v="189"/>
    <s v="21301 LOC 711"/>
    <s v="22300 LOC 711"/>
    <s v="KM - 5 - ZIPAQUIRA- KM - 5"/>
    <n v="96"/>
    <n v="18"/>
    <n v="929.93"/>
    <n v="1606919.0399999998"/>
    <n v="1600"/>
    <n v="1728"/>
    <x v="7"/>
    <x v="0"/>
    <x v="7"/>
    <x v="0"/>
    <x v="0"/>
    <x v="0"/>
  </r>
  <r>
    <x v="190"/>
    <s v="21301 LOC 752"/>
    <s v="22300 LOC 752"/>
    <s v="KM - 5 - ZIPAQUIRA- KM - 5"/>
    <n v="96"/>
    <n v="14"/>
    <n v="929.93"/>
    <n v="1249825.92"/>
    <n v="1014"/>
    <n v="1344"/>
    <x v="7"/>
    <x v="0"/>
    <x v="7"/>
    <x v="0"/>
    <x v="0"/>
    <x v="0"/>
  </r>
  <r>
    <x v="191"/>
    <s v="21301 AUT 1696"/>
    <s v="21302 AUT 1696"/>
    <s v="KM - 5 - LA CARO - KM - 5"/>
    <n v="58"/>
    <n v="4"/>
    <n v="929.93"/>
    <n v="215743.75999999998"/>
    <n v="238"/>
    <n v="232"/>
    <x v="7"/>
    <x v="0"/>
    <x v="7"/>
    <x v="1"/>
    <x v="1"/>
    <x v="0"/>
  </r>
  <r>
    <x v="191"/>
    <s v="21303 LOC 711"/>
    <s v="22300 LOC 711"/>
    <s v="KM - 5 - UN MILITAR-KM-5"/>
    <n v="76"/>
    <n v="10"/>
    <n v="929.93"/>
    <n v="706746.79999999993"/>
    <n v="1250"/>
    <n v="760"/>
    <x v="7"/>
    <x v="0"/>
    <x v="7"/>
    <x v="2"/>
    <x v="1"/>
    <x v="0"/>
  </r>
  <r>
    <x v="191"/>
    <s v="21305 LOC 350"/>
    <s v="21300 LOC 350"/>
    <s v="KM - 5 - LA CARO - KM - 5"/>
    <n v="58"/>
    <n v="5"/>
    <n v="929.93"/>
    <n v="269679.7"/>
    <n v="639"/>
    <n v="290"/>
    <x v="7"/>
    <x v="0"/>
    <x v="7"/>
    <x v="3"/>
    <x v="1"/>
    <x v="0"/>
  </r>
  <r>
    <x v="192"/>
    <s v="21301 AUT 1696"/>
    <s v="21302 AUT 1696"/>
    <s v="KM - 5 - LA CARO - KM - 5"/>
    <n v="58"/>
    <n v="4"/>
    <n v="929.93"/>
    <n v="215743.75999999998"/>
    <n v="173"/>
    <n v="232"/>
    <x v="7"/>
    <x v="0"/>
    <x v="7"/>
    <x v="1"/>
    <x v="1"/>
    <x v="0"/>
  </r>
  <r>
    <x v="192"/>
    <s v="21303 LOC 711"/>
    <s v="22300 LOC 711"/>
    <s v="KM - 5 - UN MILITAR-KM-5"/>
    <n v="76"/>
    <n v="10"/>
    <n v="929.93"/>
    <n v="706746.79999999993"/>
    <n v="1347"/>
    <n v="760"/>
    <x v="7"/>
    <x v="0"/>
    <x v="7"/>
    <x v="2"/>
    <x v="1"/>
    <x v="0"/>
  </r>
  <r>
    <x v="192"/>
    <s v="21305 LOC 350"/>
    <s v="21300 LOC 350"/>
    <s v="KM - 5 - LA CARO - KM - 5"/>
    <n v="58"/>
    <n v="6"/>
    <n v="929.93"/>
    <n v="323615.63999999996"/>
    <n v="671"/>
    <n v="348"/>
    <x v="7"/>
    <x v="0"/>
    <x v="7"/>
    <x v="3"/>
    <x v="1"/>
    <x v="0"/>
  </r>
  <r>
    <x v="193"/>
    <s v="21301 AUT 1676"/>
    <s v="21302 AUT 1676"/>
    <s v="KM - 5 - LA CARO - KM - 5"/>
    <n v="58"/>
    <n v="4"/>
    <n v="929.93"/>
    <n v="215743.75999999998"/>
    <n v="191"/>
    <n v="232"/>
    <x v="7"/>
    <x v="0"/>
    <x v="7"/>
    <x v="1"/>
    <x v="1"/>
    <x v="0"/>
  </r>
  <r>
    <x v="193"/>
    <s v="21303 LOC 711"/>
    <s v="22300 LOC 711"/>
    <s v="KM - 5 - UN MILITAR-KM-5"/>
    <n v="76"/>
    <n v="10"/>
    <n v="929.93"/>
    <n v="706746.79999999993"/>
    <n v="900"/>
    <n v="760"/>
    <x v="7"/>
    <x v="0"/>
    <x v="7"/>
    <x v="2"/>
    <x v="1"/>
    <x v="0"/>
  </r>
  <r>
    <x v="193"/>
    <s v="21305 LOC 350"/>
    <s v="21300 LOC 350"/>
    <s v="KM - 5 - LA CARO - KM - 5"/>
    <n v="58"/>
    <n v="5"/>
    <n v="929.93"/>
    <n v="269679.7"/>
    <n v="596"/>
    <n v="290"/>
    <x v="7"/>
    <x v="0"/>
    <x v="7"/>
    <x v="3"/>
    <x v="1"/>
    <x v="0"/>
  </r>
  <r>
    <x v="194"/>
    <s v="21301 AUT 1696"/>
    <s v="21302 AUT 1696"/>
    <s v="KM - 5 - LA CARO - KM - 5"/>
    <n v="58"/>
    <n v="4"/>
    <n v="929.93"/>
    <n v="215743.75999999998"/>
    <n v="163"/>
    <n v="232"/>
    <x v="7"/>
    <x v="0"/>
    <x v="7"/>
    <x v="1"/>
    <x v="1"/>
    <x v="0"/>
  </r>
  <r>
    <x v="194"/>
    <s v="21303 LOC 711"/>
    <s v="22300 LOC 711"/>
    <s v="KM - 5 - UN MILITAR-KM-5"/>
    <n v="76"/>
    <n v="10"/>
    <n v="929.93"/>
    <n v="706746.79999999993"/>
    <n v="1403"/>
    <n v="760"/>
    <x v="7"/>
    <x v="0"/>
    <x v="7"/>
    <x v="2"/>
    <x v="1"/>
    <x v="0"/>
  </r>
  <r>
    <x v="194"/>
    <s v="21305 LOC 350"/>
    <s v="21300 LOC 350"/>
    <s v="KM - 5 - LA CARO - KM - 5"/>
    <n v="58"/>
    <n v="6"/>
    <n v="929.93"/>
    <n v="323615.63999999996"/>
    <n v="755"/>
    <n v="348"/>
    <x v="7"/>
    <x v="0"/>
    <x v="7"/>
    <x v="3"/>
    <x v="1"/>
    <x v="0"/>
  </r>
  <r>
    <x v="195"/>
    <s v="21301 AUT -1676"/>
    <s v="22300 AUT 1676"/>
    <s v="KM - 5 - UN MILITAR-KM-5"/>
    <n v="76"/>
    <n v="3"/>
    <n v="929.93"/>
    <n v="212024.03999999998"/>
    <n v="445"/>
    <n v="228"/>
    <x v="7"/>
    <x v="0"/>
    <x v="7"/>
    <x v="2"/>
    <x v="1"/>
    <x v="0"/>
  </r>
  <r>
    <x v="195"/>
    <s v="21303 LOC 711"/>
    <s v="22302 LOC 711"/>
    <s v="KM - 5 - ZIPAQUIRA- KM - 5"/>
    <n v="96"/>
    <n v="13"/>
    <n v="929.93"/>
    <n v="1160552.6399999999"/>
    <n v="962"/>
    <n v="1248"/>
    <x v="7"/>
    <x v="0"/>
    <x v="7"/>
    <x v="0"/>
    <x v="0"/>
    <x v="0"/>
  </r>
  <r>
    <x v="196"/>
    <s v="21301 LOC 350"/>
    <s v="22300 LOC 350"/>
    <s v="KM - 5 - ZIPAQUIRA- KM - 5"/>
    <n v="96"/>
    <n v="15"/>
    <n v="929.93"/>
    <n v="1339099.2"/>
    <n v="1060"/>
    <n v="1440"/>
    <x v="7"/>
    <x v="0"/>
    <x v="7"/>
    <x v="0"/>
    <x v="0"/>
    <x v="0"/>
  </r>
  <r>
    <x v="197"/>
    <s v="21301 AUT 1696"/>
    <s v="21302 AUT 1696"/>
    <s v="KM - 5 - LA CARO - KM - 5"/>
    <n v="58"/>
    <n v="4"/>
    <n v="929.93"/>
    <n v="215743.75999999998"/>
    <n v="173"/>
    <n v="232"/>
    <x v="7"/>
    <x v="0"/>
    <x v="7"/>
    <x v="1"/>
    <x v="1"/>
    <x v="0"/>
  </r>
  <r>
    <x v="197"/>
    <s v="21303 LOC 711"/>
    <s v="22300 LOC 711"/>
    <s v="KM - 5 - UN MILITAR-KM-5"/>
    <n v="76"/>
    <n v="10"/>
    <n v="929.93"/>
    <n v="706746.79999999993"/>
    <n v="947"/>
    <n v="760"/>
    <x v="7"/>
    <x v="0"/>
    <x v="7"/>
    <x v="2"/>
    <x v="1"/>
    <x v="0"/>
  </r>
  <r>
    <x v="197"/>
    <s v="21305 AUT 1723"/>
    <s v="21300 AUT 1723"/>
    <s v="KM - 5 - LA CARO - KM - 5"/>
    <n v="58"/>
    <n v="4"/>
    <n v="929.93"/>
    <n v="215743.75999999998"/>
    <n v="440"/>
    <n v="232"/>
    <x v="7"/>
    <x v="0"/>
    <x v="7"/>
    <x v="3"/>
    <x v="1"/>
    <x v="0"/>
  </r>
  <r>
    <x v="198"/>
    <s v="21301 AUT 1696"/>
    <s v="21302 AUT 1696"/>
    <s v="KM - 5 - LA CARO - KM - 5"/>
    <n v="58"/>
    <n v="4"/>
    <n v="929.93"/>
    <n v="215743.75999999998"/>
    <n v="229"/>
    <n v="232"/>
    <x v="7"/>
    <x v="0"/>
    <x v="7"/>
    <x v="1"/>
    <x v="1"/>
    <x v="0"/>
  </r>
  <r>
    <x v="198"/>
    <s v="21303 LOC 711"/>
    <s v="22300 LOC 711"/>
    <s v="KM - 5 - UN MILITAR-KM-5"/>
    <n v="76"/>
    <n v="13"/>
    <n v="929.93"/>
    <n v="918770.84"/>
    <n v="1570"/>
    <n v="988"/>
    <x v="7"/>
    <x v="0"/>
    <x v="7"/>
    <x v="2"/>
    <x v="1"/>
    <x v="0"/>
  </r>
  <r>
    <x v="198"/>
    <s v="21305 LOC 350"/>
    <s v="21300 LOC 350"/>
    <s v="KM - 5 - LA CARO - KM - 5"/>
    <n v="58"/>
    <n v="5"/>
    <n v="929.93"/>
    <n v="269679.7"/>
    <n v="668"/>
    <n v="290"/>
    <x v="7"/>
    <x v="0"/>
    <x v="7"/>
    <x v="3"/>
    <x v="1"/>
    <x v="0"/>
  </r>
  <r>
    <x v="199"/>
    <s v="21301 AUT 1696"/>
    <s v="21302 AUT 1696"/>
    <s v="KM - 5 - LA CARO - KM - 5"/>
    <n v="58"/>
    <n v="4"/>
    <n v="929.93"/>
    <n v="215743.75999999998"/>
    <n v="183"/>
    <n v="232"/>
    <x v="7"/>
    <x v="0"/>
    <x v="7"/>
    <x v="1"/>
    <x v="1"/>
    <x v="0"/>
  </r>
  <r>
    <x v="199"/>
    <s v="21303 LOC 711"/>
    <s v="22300 LOC 711"/>
    <s v="KM - 5 - UN MILITAR-KM-5"/>
    <n v="76"/>
    <n v="10"/>
    <n v="929.93"/>
    <n v="706746.79999999993"/>
    <n v="1255"/>
    <n v="760"/>
    <x v="7"/>
    <x v="0"/>
    <x v="7"/>
    <x v="2"/>
    <x v="1"/>
    <x v="0"/>
  </r>
  <r>
    <x v="199"/>
    <s v="21305 LOC 350"/>
    <s v="21300 LOC 350"/>
    <s v="KM - 5 - LA CARO - KM - 5"/>
    <n v="58"/>
    <n v="6"/>
    <n v="929.93"/>
    <n v="323615.63999999996"/>
    <n v="644"/>
    <n v="348"/>
    <x v="7"/>
    <x v="0"/>
    <x v="7"/>
    <x v="3"/>
    <x v="1"/>
    <x v="0"/>
  </r>
  <r>
    <x v="200"/>
    <s v="21301 AUT 1676"/>
    <s v="21302 AUT 1676"/>
    <s v="KM - 5 - LA CARO - KM - 5"/>
    <n v="58"/>
    <n v="4"/>
    <n v="929.93"/>
    <n v="215743.75999999998"/>
    <n v="203"/>
    <n v="232"/>
    <x v="7"/>
    <x v="0"/>
    <x v="7"/>
    <x v="1"/>
    <x v="1"/>
    <x v="0"/>
  </r>
  <r>
    <x v="200"/>
    <s v="21303 LOC 711"/>
    <s v="22300 LOC 711"/>
    <s v="KM - 5 - UN MILITAR-KM-5"/>
    <n v="76"/>
    <n v="10"/>
    <n v="929.93"/>
    <n v="706746.79999999993"/>
    <n v="860"/>
    <n v="760"/>
    <x v="7"/>
    <x v="0"/>
    <x v="7"/>
    <x v="2"/>
    <x v="1"/>
    <x v="0"/>
  </r>
  <r>
    <x v="200"/>
    <s v="21305 LOC 350"/>
    <s v="21300 LOC 350"/>
    <s v="KM - 5 - LA CARO - KM - 5"/>
    <n v="58"/>
    <n v="5"/>
    <n v="929.93"/>
    <n v="269679.7"/>
    <n v="565"/>
    <n v="290"/>
    <x v="7"/>
    <x v="0"/>
    <x v="7"/>
    <x v="3"/>
    <x v="1"/>
    <x v="0"/>
  </r>
  <r>
    <x v="201"/>
    <s v="21301 AUT 1676"/>
    <s v="21302 AUT 1676"/>
    <s v="KM - 5 - LA CARO - KM - 5"/>
    <n v="58"/>
    <n v="4"/>
    <n v="929.93"/>
    <n v="215743.75999999998"/>
    <n v="146"/>
    <n v="232"/>
    <x v="7"/>
    <x v="0"/>
    <x v="7"/>
    <x v="1"/>
    <x v="1"/>
    <x v="0"/>
  </r>
  <r>
    <x v="201"/>
    <s v="21303 LOC 711"/>
    <s v="22300 LOC 711"/>
    <s v="KM - 5 - UN MILITAR-KM-5"/>
    <n v="76"/>
    <n v="11"/>
    <n v="929.93"/>
    <n v="777421.48"/>
    <n v="1290"/>
    <n v="836"/>
    <x v="7"/>
    <x v="0"/>
    <x v="7"/>
    <x v="2"/>
    <x v="1"/>
    <x v="0"/>
  </r>
  <r>
    <x v="201"/>
    <s v="21305 LOC 350"/>
    <s v="21300 LOC 350"/>
    <s v="KM - 5 - LA CARO - KM - 5"/>
    <n v="58"/>
    <n v="6"/>
    <n v="929.93"/>
    <n v="323615.63999999996"/>
    <n v="779"/>
    <n v="348"/>
    <x v="7"/>
    <x v="0"/>
    <x v="7"/>
    <x v="3"/>
    <x v="1"/>
    <x v="0"/>
  </r>
  <r>
    <x v="202"/>
    <s v="21301 AUT 1676"/>
    <s v="22300 AUT 1676"/>
    <s v="KM - 5 - UN MILITAR-KM-5"/>
    <n v="76"/>
    <n v="3"/>
    <n v="929.93"/>
    <n v="212024.03999999998"/>
    <n v="377"/>
    <n v="228"/>
    <x v="7"/>
    <x v="0"/>
    <x v="7"/>
    <x v="2"/>
    <x v="1"/>
    <x v="0"/>
  </r>
  <r>
    <x v="202"/>
    <s v="21303 LOC 350"/>
    <s v="22302 LOC 350"/>
    <s v="KM - 5 - ZIPAQUIRA- KM - 5"/>
    <n v="96"/>
    <n v="11"/>
    <n v="929.93"/>
    <n v="982006.08"/>
    <n v="664"/>
    <n v="1056"/>
    <x v="7"/>
    <x v="0"/>
    <x v="7"/>
    <x v="0"/>
    <x v="0"/>
    <x v="0"/>
  </r>
  <r>
    <x v="203"/>
    <s v="21301 LOC 752"/>
    <s v="22300 LOC 752"/>
    <s v="KM - 5 - ZIPAQUIRA- KM - 5"/>
    <n v="96"/>
    <n v="16"/>
    <n v="929.93"/>
    <n v="1428372.48"/>
    <n v="1242"/>
    <n v="1536"/>
    <x v="8"/>
    <x v="0"/>
    <x v="8"/>
    <x v="0"/>
    <x v="0"/>
    <x v="0"/>
  </r>
  <r>
    <x v="204"/>
    <s v="21301 AUT 1696"/>
    <s v="21302 AUT 1696"/>
    <s v="KM - 5 - LA CARO - KM - 5"/>
    <n v="58"/>
    <n v="4"/>
    <n v="929.93"/>
    <n v="215743.75999999998"/>
    <n v="339"/>
    <n v="232"/>
    <x v="8"/>
    <x v="0"/>
    <x v="8"/>
    <x v="1"/>
    <x v="1"/>
    <x v="0"/>
  </r>
  <r>
    <x v="204"/>
    <s v="21303 LOC 350"/>
    <s v="22300 LOC 350"/>
    <s v="KM - 5 - UN MILITAR-KM-5"/>
    <n v="76"/>
    <n v="10"/>
    <n v="929.93"/>
    <n v="706746.79999999993"/>
    <n v="1296"/>
    <n v="760"/>
    <x v="8"/>
    <x v="0"/>
    <x v="8"/>
    <x v="2"/>
    <x v="1"/>
    <x v="0"/>
  </r>
  <r>
    <x v="204"/>
    <s v="21305 AUT 1676"/>
    <s v="21300 AUT 1676"/>
    <s v="KM - 5 - LA CARO - KM - 5"/>
    <n v="58"/>
    <n v="4"/>
    <n v="929.93"/>
    <n v="215743.75999999998"/>
    <n v="444"/>
    <n v="232"/>
    <x v="8"/>
    <x v="0"/>
    <x v="8"/>
    <x v="3"/>
    <x v="1"/>
    <x v="0"/>
  </r>
  <r>
    <x v="205"/>
    <s v="21301 LOC 752"/>
    <s v="21300 LOC 752"/>
    <s v="KM - 5 - LA CARO - KM - 5"/>
    <n v="58"/>
    <n v="5"/>
    <n v="929.93"/>
    <n v="269679.7"/>
    <n v="227"/>
    <n v="290"/>
    <x v="8"/>
    <x v="0"/>
    <x v="8"/>
    <x v="3"/>
    <x v="1"/>
    <x v="0"/>
  </r>
  <r>
    <x v="206"/>
    <s v="21301 AUT 1696"/>
    <s v="22300 AUT 1696"/>
    <s v="KM - 5 - UN MILITAR-KM-5"/>
    <n v="76"/>
    <n v="3"/>
    <n v="929.93"/>
    <n v="212024.03999999998"/>
    <n v="352"/>
    <n v="228"/>
    <x v="8"/>
    <x v="0"/>
    <x v="8"/>
    <x v="2"/>
    <x v="1"/>
    <x v="0"/>
  </r>
  <r>
    <x v="206"/>
    <s v="21303 LOC 752"/>
    <s v="22302 LOC 752"/>
    <s v="KM - 5 - ZIPAQUIRA- KM - 5"/>
    <n v="96"/>
    <n v="10"/>
    <n v="929.93"/>
    <n v="892732.79999999993"/>
    <n v="528"/>
    <n v="960"/>
    <x v="8"/>
    <x v="0"/>
    <x v="8"/>
    <x v="0"/>
    <x v="0"/>
    <x v="0"/>
  </r>
  <r>
    <x v="207"/>
    <s v="21301 LOC 711"/>
    <s v="22300 LOC 711"/>
    <s v="KM - 5 - ZIPAQUIRA- KM - 5"/>
    <n v="96"/>
    <n v="11"/>
    <n v="929.93"/>
    <n v="982006.08"/>
    <n v="726"/>
    <n v="1056"/>
    <x v="8"/>
    <x v="0"/>
    <x v="8"/>
    <x v="0"/>
    <x v="0"/>
    <x v="0"/>
  </r>
  <r>
    <x v="208"/>
    <s v="21301 AUT 1723"/>
    <s v="21302 AUT 1723"/>
    <s v="KM - 5 - LA CARO - KM - 5"/>
    <n v="58"/>
    <n v="4"/>
    <n v="929.93"/>
    <n v="215743.75999999998"/>
    <n v="183"/>
    <n v="232"/>
    <x v="8"/>
    <x v="0"/>
    <x v="8"/>
    <x v="1"/>
    <x v="1"/>
    <x v="0"/>
  </r>
  <r>
    <x v="208"/>
    <s v="21303 LOC 711"/>
    <s v="22300 LOC 711"/>
    <s v="KM - 5 - UN MILITAR-KM-5"/>
    <n v="76"/>
    <n v="10"/>
    <n v="929.93"/>
    <n v="706746.79999999993"/>
    <n v="936"/>
    <n v="760"/>
    <x v="8"/>
    <x v="0"/>
    <x v="8"/>
    <x v="2"/>
    <x v="1"/>
    <x v="0"/>
  </r>
  <r>
    <x v="208"/>
    <s v="21305 AUT 1696"/>
    <s v="21300 AUT 1696"/>
    <s v="KM - 5 - LA CARO - KM - 5"/>
    <n v="58"/>
    <n v="4"/>
    <n v="929.93"/>
    <n v="215743.75999999998"/>
    <n v="482"/>
    <n v="232"/>
    <x v="8"/>
    <x v="0"/>
    <x v="8"/>
    <x v="3"/>
    <x v="1"/>
    <x v="0"/>
  </r>
  <r>
    <x v="209"/>
    <s v="21301 AUT 1696"/>
    <s v="21302 AUT 1696"/>
    <s v="KM - 5 - LA CARO - KM - 5"/>
    <n v="58"/>
    <n v="4"/>
    <n v="929.93"/>
    <n v="215743.75999999998"/>
    <n v="204"/>
    <n v="232"/>
    <x v="8"/>
    <x v="0"/>
    <x v="8"/>
    <x v="1"/>
    <x v="1"/>
    <x v="0"/>
  </r>
  <r>
    <x v="209"/>
    <s v="21303 LOC 711"/>
    <s v="22300 LOC 711"/>
    <s v="KM - 5 - UN MILITAR-KM-5"/>
    <n v="76"/>
    <n v="10"/>
    <n v="929.93"/>
    <n v="706746.79999999993"/>
    <n v="1189"/>
    <n v="760"/>
    <x v="8"/>
    <x v="0"/>
    <x v="8"/>
    <x v="2"/>
    <x v="1"/>
    <x v="0"/>
  </r>
  <r>
    <x v="209"/>
    <s v="21305 LOC 350"/>
    <s v="21300 LOC 350"/>
    <s v="KM - 5 - LA CARO - KM - 5"/>
    <n v="58"/>
    <n v="5"/>
    <n v="929.93"/>
    <n v="269679.7"/>
    <n v="612"/>
    <n v="290"/>
    <x v="8"/>
    <x v="0"/>
    <x v="8"/>
    <x v="3"/>
    <x v="1"/>
    <x v="0"/>
  </r>
  <r>
    <x v="210"/>
    <s v="21301 AUT 1696"/>
    <s v="21302 AUT 1696"/>
    <s v="KM - 5 - LA CARO - KM - 5"/>
    <n v="58"/>
    <n v="4"/>
    <n v="929.93"/>
    <n v="215743.75999999998"/>
    <n v="173"/>
    <n v="232"/>
    <x v="8"/>
    <x v="0"/>
    <x v="8"/>
    <x v="1"/>
    <x v="1"/>
    <x v="0"/>
  </r>
  <r>
    <x v="210"/>
    <s v="21303 LOC 711"/>
    <s v="22300 LOC 711"/>
    <s v="KM - 5 - UN MILITAR-KM-5"/>
    <n v="76"/>
    <n v="10"/>
    <n v="929.93"/>
    <n v="706746.79999999993"/>
    <n v="1385"/>
    <n v="760"/>
    <x v="8"/>
    <x v="0"/>
    <x v="8"/>
    <x v="2"/>
    <x v="1"/>
    <x v="0"/>
  </r>
  <r>
    <x v="210"/>
    <s v="21305 LOC 350"/>
    <s v="21300 LOC 350"/>
    <s v="KM - 5 - LA CARO - KM - 5"/>
    <n v="58"/>
    <n v="6"/>
    <n v="929.93"/>
    <n v="323615.63999999996"/>
    <n v="600"/>
    <n v="348"/>
    <x v="8"/>
    <x v="0"/>
    <x v="8"/>
    <x v="3"/>
    <x v="1"/>
    <x v="0"/>
  </r>
  <r>
    <x v="211"/>
    <s v="21301 AUT 1723"/>
    <s v="21302 AUT 1723"/>
    <s v="KM - 5 - LA CARO - KM - 5"/>
    <n v="58"/>
    <n v="4"/>
    <n v="929.93"/>
    <n v="215743.75999999998"/>
    <n v="201"/>
    <n v="232"/>
    <x v="8"/>
    <x v="0"/>
    <x v="8"/>
    <x v="1"/>
    <x v="1"/>
    <x v="0"/>
  </r>
  <r>
    <x v="211"/>
    <s v="21303 LOC 711"/>
    <s v="22300 LOC 711"/>
    <s v="KM - 5 - UN MILITAR-KM-5"/>
    <n v="76"/>
    <n v="11"/>
    <n v="929.93"/>
    <n v="777421.48"/>
    <n v="893"/>
    <n v="836"/>
    <x v="8"/>
    <x v="0"/>
    <x v="8"/>
    <x v="2"/>
    <x v="1"/>
    <x v="0"/>
  </r>
  <r>
    <x v="211"/>
    <s v="21305 LOC 350"/>
    <s v="21300 LOC 350"/>
    <s v="KM - 5 - LA CARO - KM - 5"/>
    <n v="58"/>
    <n v="5"/>
    <n v="929.93"/>
    <n v="269679.7"/>
    <n v="697"/>
    <n v="290"/>
    <x v="8"/>
    <x v="0"/>
    <x v="8"/>
    <x v="3"/>
    <x v="1"/>
    <x v="0"/>
  </r>
  <r>
    <x v="212"/>
    <s v="21301 AUT 1723"/>
    <s v="21302 AUT 1723"/>
    <s v="KM - 5 - LA CARO - KM - 5"/>
    <n v="58"/>
    <n v="4"/>
    <n v="929.93"/>
    <n v="215743.75999999998"/>
    <n v="179"/>
    <n v="232"/>
    <x v="8"/>
    <x v="0"/>
    <x v="8"/>
    <x v="1"/>
    <x v="1"/>
    <x v="0"/>
  </r>
  <r>
    <x v="212"/>
    <s v="21303 LOC 752"/>
    <s v="22300 LOC 752"/>
    <s v="KM - 5 - UN MILITAR-KM-5"/>
    <n v="76"/>
    <n v="12"/>
    <n v="929.93"/>
    <n v="848096.15999999992"/>
    <n v="1336"/>
    <n v="912"/>
    <x v="8"/>
    <x v="0"/>
    <x v="8"/>
    <x v="2"/>
    <x v="1"/>
    <x v="0"/>
  </r>
  <r>
    <x v="212"/>
    <s v="21305 LOC 350"/>
    <s v="21300 LOC 350"/>
    <s v="KM - 5 - LA CARO - KM - 5"/>
    <n v="58"/>
    <n v="6"/>
    <n v="929.93"/>
    <n v="323615.63999999996"/>
    <n v="685"/>
    <n v="348"/>
    <x v="8"/>
    <x v="0"/>
    <x v="8"/>
    <x v="3"/>
    <x v="1"/>
    <x v="0"/>
  </r>
  <r>
    <x v="213"/>
    <s v="21301 AUT-1723"/>
    <s v="KJ-200 LOC752R1723"/>
    <s v="KM - 5 - PK - 41+900-KM-5"/>
    <n v="72"/>
    <n v="3"/>
    <n v="929.93"/>
    <n v="200864.87999999998"/>
    <n v="190"/>
    <n v="216"/>
    <x v="8"/>
    <x v="0"/>
    <x v="8"/>
    <x v="2"/>
    <x v="1"/>
    <x v="0"/>
  </r>
  <r>
    <x v="213"/>
    <s v="21303 LOC 711"/>
    <s v="22300 LOC 711"/>
    <s v="KM - 5 - ZIPAQUIRA- KM - 5"/>
    <n v="96"/>
    <n v="11"/>
    <n v="929.93"/>
    <n v="982006.08"/>
    <n v="514"/>
    <n v="1056"/>
    <x v="8"/>
    <x v="0"/>
    <x v="8"/>
    <x v="0"/>
    <x v="0"/>
    <x v="0"/>
  </r>
  <r>
    <x v="214"/>
    <s v="21301 LOC 752"/>
    <s v="22300 LOC 752"/>
    <s v="KM - 5 - ZIPAQUIRA- KM - 5"/>
    <n v="96"/>
    <n v="16"/>
    <n v="929.93"/>
    <n v="1428372.48"/>
    <n v="1244"/>
    <n v="1536"/>
    <x v="8"/>
    <x v="0"/>
    <x v="8"/>
    <x v="0"/>
    <x v="0"/>
    <x v="0"/>
  </r>
  <r>
    <x v="215"/>
    <s v="21301 AUT-1696"/>
    <s v="21302 AUT-1696"/>
    <s v="KM - 5 - LA CARO - KM - 5"/>
    <n v="58"/>
    <n v="4"/>
    <n v="929.93"/>
    <n v="215743.75999999998"/>
    <n v="181"/>
    <n v="232"/>
    <x v="8"/>
    <x v="0"/>
    <x v="8"/>
    <x v="1"/>
    <x v="1"/>
    <x v="0"/>
  </r>
  <r>
    <x v="215"/>
    <s v="21303 LOC 711"/>
    <s v="22300 LOC 711"/>
    <s v="KM - 5 - UN MILITAR-KM-5"/>
    <n v="76"/>
    <n v="9"/>
    <n v="929.93"/>
    <n v="636072.12"/>
    <n v="943"/>
    <n v="684"/>
    <x v="8"/>
    <x v="0"/>
    <x v="8"/>
    <x v="2"/>
    <x v="1"/>
    <x v="0"/>
  </r>
  <r>
    <x v="215"/>
    <s v="21305 AUT - 1676"/>
    <s v="21300 AUT -1676"/>
    <s v="KM - 5 - LA CARO - KM - 5"/>
    <n v="58"/>
    <n v="4"/>
    <n v="929.93"/>
    <n v="215743.75999999998"/>
    <n v="388"/>
    <n v="232"/>
    <x v="8"/>
    <x v="0"/>
    <x v="8"/>
    <x v="3"/>
    <x v="1"/>
    <x v="0"/>
  </r>
  <r>
    <x v="216"/>
    <s v="21301 AUT-1696"/>
    <s v="21300 AUT-1696"/>
    <s v="KM - 5 - LA CARO - KM - 5"/>
    <n v="58"/>
    <n v="4"/>
    <n v="929.93"/>
    <n v="215743.75999999998"/>
    <n v="195"/>
    <n v="232"/>
    <x v="8"/>
    <x v="0"/>
    <x v="8"/>
    <x v="1"/>
    <x v="1"/>
    <x v="0"/>
  </r>
  <r>
    <x v="216"/>
    <s v="21303 LOC 711"/>
    <s v="22300 LOC 711"/>
    <s v="KM - 5 - UN MILITAR-KM-5"/>
    <n v="76"/>
    <n v="9"/>
    <n v="929.93"/>
    <n v="636072.12"/>
    <n v="1237"/>
    <n v="684"/>
    <x v="8"/>
    <x v="0"/>
    <x v="8"/>
    <x v="2"/>
    <x v="1"/>
    <x v="0"/>
  </r>
  <r>
    <x v="216"/>
    <s v="21305 LOC - 350"/>
    <s v="21300 LOC -350"/>
    <s v="KM - 5 - LA CARO - KM - 5"/>
    <n v="58"/>
    <n v="5"/>
    <n v="929.93"/>
    <n v="269679.7"/>
    <n v="679"/>
    <n v="290"/>
    <x v="8"/>
    <x v="0"/>
    <x v="8"/>
    <x v="3"/>
    <x v="1"/>
    <x v="0"/>
  </r>
  <r>
    <x v="217"/>
    <s v="21301 AUT-1676"/>
    <s v="21300 AUT-1676"/>
    <s v="KM - 5 - LA CARO - KM - 5"/>
    <n v="58"/>
    <n v="4"/>
    <n v="929.93"/>
    <n v="215743.75999999998"/>
    <n v="194"/>
    <n v="232"/>
    <x v="8"/>
    <x v="0"/>
    <x v="8"/>
    <x v="1"/>
    <x v="1"/>
    <x v="0"/>
  </r>
  <r>
    <x v="217"/>
    <s v="21303 LOC 711"/>
    <s v="22300 LOC 711"/>
    <s v="KM - 5 - UN MILITAR-KM-5"/>
    <n v="76"/>
    <n v="9"/>
    <n v="929.93"/>
    <n v="636072.12"/>
    <n v="1360"/>
    <n v="684"/>
    <x v="8"/>
    <x v="0"/>
    <x v="8"/>
    <x v="2"/>
    <x v="1"/>
    <x v="0"/>
  </r>
  <r>
    <x v="217"/>
    <s v="21305 LOC - 350"/>
    <s v="21300 LOC -350"/>
    <s v="KM - 5 - LA CARO - KM - 5"/>
    <n v="58"/>
    <n v="6"/>
    <n v="929.93"/>
    <n v="323615.63999999996"/>
    <n v="610"/>
    <n v="348"/>
    <x v="8"/>
    <x v="0"/>
    <x v="8"/>
    <x v="3"/>
    <x v="1"/>
    <x v="0"/>
  </r>
  <r>
    <x v="218"/>
    <s v="21301 AUT-1676"/>
    <s v="21300 AUT-1676"/>
    <s v="KM - 5 - LA CARO - KM - 5"/>
    <n v="58"/>
    <n v="4"/>
    <n v="929.93"/>
    <n v="215743.75999999998"/>
    <n v="120"/>
    <n v="232"/>
    <x v="8"/>
    <x v="0"/>
    <x v="8"/>
    <x v="1"/>
    <x v="1"/>
    <x v="0"/>
  </r>
  <r>
    <x v="218"/>
    <s v="21303 LOC 711"/>
    <s v="22300 LOC 752"/>
    <s v="KM - 5 - UN MILITAR-KM-5"/>
    <n v="76"/>
    <n v="9"/>
    <n v="929.93"/>
    <n v="636072.12"/>
    <n v="852"/>
    <n v="684"/>
    <x v="8"/>
    <x v="0"/>
    <x v="8"/>
    <x v="2"/>
    <x v="1"/>
    <x v="0"/>
  </r>
  <r>
    <x v="218"/>
    <s v="21305 LOC - 350"/>
    <s v="21300 LOC -350"/>
    <s v="KM - 5 - LA CARO - KM - 5"/>
    <n v="58"/>
    <n v="5"/>
    <n v="929.93"/>
    <n v="269679.7"/>
    <n v="514"/>
    <n v="290"/>
    <x v="8"/>
    <x v="0"/>
    <x v="8"/>
    <x v="3"/>
    <x v="1"/>
    <x v="0"/>
  </r>
  <r>
    <x v="219"/>
    <s v="21301 AUT-1676"/>
    <s v="21300 AUT-1676"/>
    <s v="KM - 5 - LA CARO - KM - 5"/>
    <n v="58"/>
    <n v="4"/>
    <n v="929.93"/>
    <n v="215743.75999999998"/>
    <n v="122"/>
    <n v="232"/>
    <x v="8"/>
    <x v="0"/>
    <x v="8"/>
    <x v="1"/>
    <x v="1"/>
    <x v="0"/>
  </r>
  <r>
    <x v="219"/>
    <s v="21303 LOC 350"/>
    <s v="22300 LOC 350"/>
    <s v="KM - 5 - UN MILITAR-KM-5"/>
    <n v="76"/>
    <n v="10"/>
    <n v="929.93"/>
    <n v="706746.79999999993"/>
    <n v="1238"/>
    <n v="760"/>
    <x v="8"/>
    <x v="0"/>
    <x v="8"/>
    <x v="2"/>
    <x v="1"/>
    <x v="0"/>
  </r>
  <r>
    <x v="219"/>
    <s v="21305 LOC - 711"/>
    <s v="21300 LOC -711"/>
    <s v="KM - 5 - LA CARO - KM - 5"/>
    <n v="58"/>
    <n v="6"/>
    <n v="929.93"/>
    <n v="323615.63999999996"/>
    <n v="500"/>
    <n v="348"/>
    <x v="8"/>
    <x v="0"/>
    <x v="8"/>
    <x v="3"/>
    <x v="1"/>
    <x v="0"/>
  </r>
  <r>
    <x v="220"/>
    <s v="21301 AUT 1676"/>
    <s v="22300 AUT 1676"/>
    <s v="KM - 5 - UN MILITAR-KM-5"/>
    <n v="76"/>
    <n v="4"/>
    <n v="929.93"/>
    <n v="282698.71999999997"/>
    <n v="331"/>
    <n v="304"/>
    <x v="8"/>
    <x v="0"/>
    <x v="8"/>
    <x v="2"/>
    <x v="1"/>
    <x v="0"/>
  </r>
  <r>
    <x v="220"/>
    <s v="21303 LOC 711"/>
    <s v="22302 LOC 711"/>
    <s v="KM - 5 - ZIPAQUIRA- KM - 5"/>
    <n v="96"/>
    <n v="17"/>
    <n v="929.93"/>
    <n v="1517645.76"/>
    <n v="1196"/>
    <n v="1632"/>
    <x v="8"/>
    <x v="0"/>
    <x v="8"/>
    <x v="0"/>
    <x v="0"/>
    <x v="0"/>
  </r>
  <r>
    <x v="221"/>
    <s v="21301 LOC 711"/>
    <s v="22300 LOC 711"/>
    <s v="KM - 5 - ZIPAQUIRA- KM - 5"/>
    <n v="96"/>
    <n v="13"/>
    <n v="929.93"/>
    <n v="1160552.6399999999"/>
    <n v="880"/>
    <n v="1248"/>
    <x v="8"/>
    <x v="0"/>
    <x v="8"/>
    <x v="0"/>
    <x v="0"/>
    <x v="0"/>
  </r>
  <r>
    <x v="222"/>
    <s v="21301 AUT-1696"/>
    <s v="21300 AUT-1696"/>
    <s v="KM - 5 - LA CARO - KM - 5"/>
    <n v="58"/>
    <n v="4"/>
    <n v="929.93"/>
    <n v="215743.75999999998"/>
    <n v="183"/>
    <n v="232"/>
    <x v="8"/>
    <x v="0"/>
    <x v="8"/>
    <x v="1"/>
    <x v="1"/>
    <x v="0"/>
  </r>
  <r>
    <x v="222"/>
    <s v="21303 LOC 711"/>
    <s v="22300 LOC 711"/>
    <s v="KM - 5 - UN MILITAR-KM-5"/>
    <n v="76"/>
    <n v="10"/>
    <n v="929.93"/>
    <n v="706746.79999999993"/>
    <n v="943"/>
    <n v="760"/>
    <x v="8"/>
    <x v="0"/>
    <x v="8"/>
    <x v="2"/>
    <x v="1"/>
    <x v="0"/>
  </r>
  <r>
    <x v="222"/>
    <s v="21305 AUT  1676"/>
    <s v="21300 AUT - 1676"/>
    <s v="KM - 5 - LA CARO - KM - 5"/>
    <n v="58"/>
    <n v="4"/>
    <n v="929.93"/>
    <n v="215743.75999999998"/>
    <n v="396"/>
    <n v="232"/>
    <x v="8"/>
    <x v="0"/>
    <x v="8"/>
    <x v="3"/>
    <x v="1"/>
    <x v="0"/>
  </r>
  <r>
    <x v="223"/>
    <s v="21301 AUT-1696"/>
    <s v="21300 AUT-1696"/>
    <s v="KM - 5 - LA CARO - KM - 5"/>
    <n v="58"/>
    <n v="4"/>
    <n v="929.93"/>
    <n v="215743.75999999998"/>
    <n v="188"/>
    <n v="232"/>
    <x v="8"/>
    <x v="0"/>
    <x v="8"/>
    <x v="1"/>
    <x v="1"/>
    <x v="0"/>
  </r>
  <r>
    <x v="223"/>
    <s v="21303 LOC 711"/>
    <s v="22300 LOC 711"/>
    <s v="KM - 5 - UN MILITAR-KM-5"/>
    <n v="76"/>
    <n v="10"/>
    <n v="929.93"/>
    <n v="706746.79999999993"/>
    <n v="1210"/>
    <n v="760"/>
    <x v="8"/>
    <x v="0"/>
    <x v="8"/>
    <x v="2"/>
    <x v="1"/>
    <x v="0"/>
  </r>
  <r>
    <x v="223"/>
    <s v="21305 LOC 350"/>
    <s v="21300 LOC 350"/>
    <s v="KM - 5 - LA CARO - KM - 5"/>
    <n v="58"/>
    <n v="5"/>
    <n v="929.93"/>
    <n v="269679.7"/>
    <n v="536"/>
    <n v="290"/>
    <x v="8"/>
    <x v="0"/>
    <x v="8"/>
    <x v="3"/>
    <x v="1"/>
    <x v="0"/>
  </r>
  <r>
    <x v="224"/>
    <s v="21301 AUT-1696"/>
    <s v="21300 AUT-1696"/>
    <s v="KM - 5 - LA CARO - KM - 5"/>
    <n v="58"/>
    <n v="4"/>
    <n v="929.93"/>
    <n v="215743.75999999998"/>
    <n v="213"/>
    <n v="232"/>
    <x v="8"/>
    <x v="0"/>
    <x v="8"/>
    <x v="1"/>
    <x v="1"/>
    <x v="0"/>
  </r>
  <r>
    <x v="224"/>
    <s v="21303 LOC 711"/>
    <s v="22300 LOC 711"/>
    <s v="KM - 5 - UN MILITAR-KM-5"/>
    <n v="76"/>
    <n v="10"/>
    <n v="929.93"/>
    <n v="706746.79999999993"/>
    <n v="1360"/>
    <n v="760"/>
    <x v="8"/>
    <x v="0"/>
    <x v="8"/>
    <x v="2"/>
    <x v="1"/>
    <x v="0"/>
  </r>
  <r>
    <x v="224"/>
    <s v="21305 LOC 350"/>
    <s v="21300 LOC 350"/>
    <s v="KM - 5 - LA CARO - KM - 5"/>
    <n v="58"/>
    <n v="6"/>
    <n v="929.93"/>
    <n v="323615.63999999996"/>
    <n v="609"/>
    <n v="348"/>
    <x v="8"/>
    <x v="0"/>
    <x v="8"/>
    <x v="3"/>
    <x v="1"/>
    <x v="0"/>
  </r>
  <r>
    <x v="225"/>
    <s v="21301 AUT-1696"/>
    <s v="21300 AUT-1696"/>
    <s v="KM - 5 - LA CARO - KM - 5"/>
    <n v="58"/>
    <n v="4"/>
    <n v="929.93"/>
    <n v="215743.75999999998"/>
    <n v="235"/>
    <n v="232"/>
    <x v="8"/>
    <x v="0"/>
    <x v="8"/>
    <x v="1"/>
    <x v="1"/>
    <x v="0"/>
  </r>
  <r>
    <x v="225"/>
    <s v="21303 LOC 711"/>
    <s v="22300 LOC 711"/>
    <s v="KM - 5 - UN MILITAR-KM-5"/>
    <n v="76"/>
    <n v="10"/>
    <n v="929.93"/>
    <n v="706746.79999999993"/>
    <n v="831"/>
    <n v="760"/>
    <x v="8"/>
    <x v="0"/>
    <x v="8"/>
    <x v="2"/>
    <x v="1"/>
    <x v="0"/>
  </r>
  <r>
    <x v="225"/>
    <s v="21305 LOC 350"/>
    <s v="21300 LOC 350"/>
    <s v="KM - 5 - LA CARO - KM - 5"/>
    <n v="58"/>
    <n v="5"/>
    <n v="929.93"/>
    <n v="269679.7"/>
    <n v="462"/>
    <n v="290"/>
    <x v="8"/>
    <x v="0"/>
    <x v="8"/>
    <x v="3"/>
    <x v="1"/>
    <x v="0"/>
  </r>
  <r>
    <x v="226"/>
    <s v="21301 AUT-1676"/>
    <s v="21300 AUT-1676"/>
    <s v="KM - 5 - LA CARO - KM - 5"/>
    <n v="58"/>
    <n v="4"/>
    <n v="929.93"/>
    <n v="215743.75999999998"/>
    <n v="152"/>
    <n v="232"/>
    <x v="8"/>
    <x v="0"/>
    <x v="8"/>
    <x v="1"/>
    <x v="1"/>
    <x v="0"/>
  </r>
  <r>
    <x v="226"/>
    <s v="21303 LOC 711"/>
    <s v="22300 LOC 711"/>
    <s v="KM - 5 - UN MILITAR-KM-5"/>
    <n v="76"/>
    <n v="10"/>
    <n v="929.93"/>
    <n v="706746.79999999993"/>
    <n v="1304"/>
    <n v="760"/>
    <x v="8"/>
    <x v="0"/>
    <x v="8"/>
    <x v="2"/>
    <x v="1"/>
    <x v="0"/>
  </r>
  <r>
    <x v="226"/>
    <s v="21305 LOC 723"/>
    <s v="21300 LOC 723"/>
    <s v="KM - 5 - LA CARO - KM - 5"/>
    <n v="58"/>
    <n v="6"/>
    <n v="929.93"/>
    <n v="323615.63999999996"/>
    <n v="647"/>
    <n v="348"/>
    <x v="8"/>
    <x v="0"/>
    <x v="8"/>
    <x v="3"/>
    <x v="1"/>
    <x v="0"/>
  </r>
  <r>
    <x v="227"/>
    <s v="21301 LOC 350"/>
    <s v="22300 LOC 350"/>
    <s v="KM - 5 - UN MILITAR-KM-5"/>
    <n v="76"/>
    <n v="5"/>
    <n v="929.93"/>
    <n v="353373.39999999997"/>
    <n v="437"/>
    <n v="380"/>
    <x v="8"/>
    <x v="0"/>
    <x v="8"/>
    <x v="2"/>
    <x v="1"/>
    <x v="0"/>
  </r>
  <r>
    <x v="227"/>
    <s v="21303 LOC 711"/>
    <s v="22302 LOC 711"/>
    <s v="KM - 5 - ZIPAQUIRA- KM - 5"/>
    <n v="96"/>
    <n v="15"/>
    <n v="929.93"/>
    <n v="1339099.2"/>
    <n v="1064"/>
    <n v="1440"/>
    <x v="8"/>
    <x v="0"/>
    <x v="8"/>
    <x v="0"/>
    <x v="0"/>
    <x v="0"/>
  </r>
  <r>
    <x v="228"/>
    <s v="21301 LOC 711"/>
    <s v="22300 LOC 711"/>
    <s v="KM - 5 - ZIPAQUIRA- KM - 5"/>
    <n v="96"/>
    <n v="11"/>
    <n v="929.93"/>
    <n v="982006.08"/>
    <n v="748"/>
    <n v="1056"/>
    <x v="8"/>
    <x v="0"/>
    <x v="8"/>
    <x v="0"/>
    <x v="0"/>
    <x v="0"/>
  </r>
  <r>
    <x v="229"/>
    <s v="21301 AUT-1696"/>
    <s v="21300 AUT-1696"/>
    <s v="KM - 5 - LA CARO - KM - 5"/>
    <n v="58"/>
    <n v="4"/>
    <n v="929.93"/>
    <n v="215743.75999999998"/>
    <n v="205"/>
    <n v="232"/>
    <x v="8"/>
    <x v="0"/>
    <x v="8"/>
    <x v="1"/>
    <x v="1"/>
    <x v="0"/>
  </r>
  <r>
    <x v="229"/>
    <s v="21303 LOC 711"/>
    <s v="22300 LOC 711"/>
    <s v="KM - 5 - UN MILITAR-KM-5"/>
    <n v="76"/>
    <n v="9"/>
    <n v="929.93"/>
    <n v="636072.12"/>
    <n v="878"/>
    <n v="684"/>
    <x v="8"/>
    <x v="0"/>
    <x v="8"/>
    <x v="2"/>
    <x v="1"/>
    <x v="0"/>
  </r>
  <r>
    <x v="229"/>
    <s v="21305 AUT 1676"/>
    <s v="21300 AUT 1676"/>
    <s v="KM - 5 - LA CARO - KM - 5"/>
    <n v="58"/>
    <n v="4"/>
    <n v="929.93"/>
    <n v="215743.75999999998"/>
    <n v="379"/>
    <n v="232"/>
    <x v="8"/>
    <x v="0"/>
    <x v="8"/>
    <x v="3"/>
    <x v="1"/>
    <x v="0"/>
  </r>
  <r>
    <x v="230"/>
    <s v="21301 AUT 1676"/>
    <s v="21302 AUT 1676"/>
    <s v="KM - 5 - LA CARO - KM - 5"/>
    <n v="58"/>
    <n v="4"/>
    <n v="929.93"/>
    <n v="215743.75999999998"/>
    <n v="214"/>
    <n v="232"/>
    <x v="9"/>
    <x v="0"/>
    <x v="9"/>
    <x v="1"/>
    <x v="1"/>
    <x v="0"/>
  </r>
  <r>
    <x v="230"/>
    <s v="21303 LOC 752"/>
    <s v="22300 LOC 752"/>
    <s v="KM - 5 - UN MILITAR-KM-5"/>
    <n v="76"/>
    <n v="9"/>
    <n v="929.93"/>
    <n v="636072.12"/>
    <n v="1070"/>
    <n v="684"/>
    <x v="9"/>
    <x v="0"/>
    <x v="9"/>
    <x v="2"/>
    <x v="1"/>
    <x v="0"/>
  </r>
  <r>
    <x v="230"/>
    <s v="21305 LOC 350"/>
    <s v="21300 LOC 350"/>
    <s v="KM - 5 - LA CARO - KM - 5"/>
    <n v="58"/>
    <n v="5"/>
    <n v="929.93"/>
    <n v="269679.7"/>
    <n v="585"/>
    <n v="290"/>
    <x v="9"/>
    <x v="0"/>
    <x v="9"/>
    <x v="3"/>
    <x v="1"/>
    <x v="0"/>
  </r>
  <r>
    <x v="231"/>
    <s v="21301 AUT 1676"/>
    <s v="21302 AUT 1676"/>
    <s v="KM - 5 - LA CARO - KM - 5"/>
    <n v="58"/>
    <n v="4"/>
    <n v="929.93"/>
    <n v="215743.75999999998"/>
    <n v="203"/>
    <n v="232"/>
    <x v="9"/>
    <x v="0"/>
    <x v="9"/>
    <x v="1"/>
    <x v="1"/>
    <x v="0"/>
  </r>
  <r>
    <x v="231"/>
    <s v="21303 LOC 723"/>
    <s v="22300 LOC 723"/>
    <s v="KM - 5 - UN MILITAR-KM-5"/>
    <n v="76"/>
    <n v="9"/>
    <n v="929.93"/>
    <n v="636072.12"/>
    <n v="1270"/>
    <n v="684"/>
    <x v="9"/>
    <x v="0"/>
    <x v="9"/>
    <x v="2"/>
    <x v="1"/>
    <x v="0"/>
  </r>
  <r>
    <x v="231"/>
    <s v="21305 LOC 350"/>
    <s v="21300 LOC 350"/>
    <s v="KM - 5 - LA CARO - KM - 5"/>
    <n v="58"/>
    <n v="6"/>
    <n v="929.93"/>
    <n v="323615.63999999996"/>
    <n v="600"/>
    <n v="348"/>
    <x v="9"/>
    <x v="0"/>
    <x v="9"/>
    <x v="3"/>
    <x v="1"/>
    <x v="0"/>
  </r>
  <r>
    <x v="232"/>
    <s v="21301 AUT 1676"/>
    <s v="21302 AUT 1676"/>
    <s v="KM - 5 - LA CARO - KM - 5"/>
    <n v="58"/>
    <n v="4"/>
    <n v="929.93"/>
    <n v="215743.75999999998"/>
    <n v="221"/>
    <n v="232"/>
    <x v="9"/>
    <x v="0"/>
    <x v="9"/>
    <x v="1"/>
    <x v="1"/>
    <x v="0"/>
  </r>
  <r>
    <x v="232"/>
    <s v="21303 LOC 723"/>
    <s v="22300 LOC 723"/>
    <s v="KM - 5 - UN MILITAR-KM-5"/>
    <n v="76"/>
    <n v="9"/>
    <n v="929.93"/>
    <n v="636072.12"/>
    <n v="1018"/>
    <n v="684"/>
    <x v="9"/>
    <x v="0"/>
    <x v="9"/>
    <x v="2"/>
    <x v="1"/>
    <x v="0"/>
  </r>
  <r>
    <x v="232"/>
    <s v="21305 LOC 350"/>
    <s v="21300 LOC 350"/>
    <s v="KM - 5 - LA CARO - KM - 5"/>
    <n v="58"/>
    <n v="5"/>
    <n v="929.93"/>
    <n v="269679.7"/>
    <n v="450"/>
    <n v="290"/>
    <x v="9"/>
    <x v="0"/>
    <x v="9"/>
    <x v="3"/>
    <x v="1"/>
    <x v="0"/>
  </r>
  <r>
    <x v="233"/>
    <s v="21301 AUT 1676"/>
    <s v="21302 AUT 1676"/>
    <s v="KM - 5 - LA CARO - KM - 5"/>
    <n v="58"/>
    <n v="4"/>
    <n v="929.93"/>
    <n v="215743.75999999998"/>
    <n v="155"/>
    <n v="232"/>
    <x v="9"/>
    <x v="0"/>
    <x v="9"/>
    <x v="1"/>
    <x v="1"/>
    <x v="0"/>
  </r>
  <r>
    <x v="233"/>
    <s v="21303 LOC 711"/>
    <s v="22300 LOC 711"/>
    <s v="KM - 5 - UN MILITAR-KM-5"/>
    <n v="76"/>
    <n v="10"/>
    <n v="929.93"/>
    <n v="706746.79999999993"/>
    <n v="1188"/>
    <n v="760"/>
    <x v="9"/>
    <x v="0"/>
    <x v="9"/>
    <x v="2"/>
    <x v="1"/>
    <x v="0"/>
  </r>
  <r>
    <x v="233"/>
    <s v="21305 LOC 350"/>
    <s v="21300 LOC 350"/>
    <s v="KM - 5 - LA CARO - KM - 5"/>
    <n v="58"/>
    <n v="6"/>
    <n v="929.93"/>
    <n v="323615.63999999996"/>
    <n v="678"/>
    <n v="348"/>
    <x v="9"/>
    <x v="0"/>
    <x v="9"/>
    <x v="3"/>
    <x v="1"/>
    <x v="0"/>
  </r>
  <r>
    <x v="234"/>
    <s v="21301 AUT 1696"/>
    <s v="22300 AUT 1696"/>
    <s v="KM - 5 - UN MILITAR-KM-5"/>
    <n v="76"/>
    <n v="3"/>
    <n v="929.93"/>
    <n v="212024.03999999998"/>
    <n v="294"/>
    <n v="228"/>
    <x v="9"/>
    <x v="0"/>
    <x v="9"/>
    <x v="2"/>
    <x v="1"/>
    <x v="0"/>
  </r>
  <r>
    <x v="234"/>
    <s v="21303 LOC 711"/>
    <s v="22302 LOC 711"/>
    <s v="KM - 5 - ZIPAQUIRA- KM - 5"/>
    <n v="96"/>
    <n v="12"/>
    <n v="929.93"/>
    <n v="1071279.3599999999"/>
    <n v="728"/>
    <n v="1152"/>
    <x v="9"/>
    <x v="0"/>
    <x v="9"/>
    <x v="0"/>
    <x v="0"/>
    <x v="0"/>
  </r>
  <r>
    <x v="235"/>
    <s v="21301 LOC 723"/>
    <s v="22300 LOC 723"/>
    <s v="KM - 5 - ZIPAQUIRA- KM - 5"/>
    <n v="96"/>
    <n v="15"/>
    <n v="929.93"/>
    <n v="1339099.2"/>
    <n v="1078"/>
    <n v="1440"/>
    <x v="9"/>
    <x v="0"/>
    <x v="9"/>
    <x v="0"/>
    <x v="0"/>
    <x v="0"/>
  </r>
  <r>
    <x v="236"/>
    <s v="21301 LOC 711"/>
    <s v="21300 LOC 711"/>
    <s v="KM - 5 - LA CARO - KM - 5"/>
    <n v="58"/>
    <n v="4"/>
    <n v="929.93"/>
    <n v="215743.75999999998"/>
    <n v="205"/>
    <n v="232"/>
    <x v="9"/>
    <x v="0"/>
    <x v="9"/>
    <x v="1"/>
    <x v="1"/>
    <x v="0"/>
  </r>
  <r>
    <x v="236"/>
    <s v="21303 AUT - 1676"/>
    <s v="22300 AUT - 1676"/>
    <s v="KM - 5 - UN MILITAR-KM-5"/>
    <n v="76"/>
    <n v="3"/>
    <n v="929.93"/>
    <n v="212024.03999999998"/>
    <n v="49"/>
    <n v="228"/>
    <x v="9"/>
    <x v="0"/>
    <x v="9"/>
    <x v="2"/>
    <x v="1"/>
    <x v="0"/>
  </r>
  <r>
    <x v="237"/>
    <s v="21301 LOC 711"/>
    <s v="21300 LOC 711"/>
    <s v="KM - 5 - LA CARO - KM - 5"/>
    <n v="58"/>
    <n v="4"/>
    <n v="929.93"/>
    <n v="215743.75999999998"/>
    <n v="208"/>
    <n v="232"/>
    <x v="9"/>
    <x v="0"/>
    <x v="9"/>
    <x v="1"/>
    <x v="1"/>
    <x v="0"/>
  </r>
  <r>
    <x v="237"/>
    <s v="21303 AUT - 1676"/>
    <s v="22302 AUT - 1676"/>
    <s v="KM - 5 - UN MILITAR-KM-5"/>
    <n v="76"/>
    <n v="3"/>
    <n v="929.93"/>
    <n v="212024.03999999998"/>
    <n v="81"/>
    <n v="228"/>
    <x v="9"/>
    <x v="0"/>
    <x v="9"/>
    <x v="2"/>
    <x v="1"/>
    <x v="0"/>
  </r>
  <r>
    <x v="237"/>
    <s v="21305 LOC 723"/>
    <s v="22300 LOC 723"/>
    <s v="KM - 5 - ZIPAQUIRA- KM - 5"/>
    <n v="96"/>
    <n v="11"/>
    <n v="929.93"/>
    <n v="982006.08"/>
    <n v="998"/>
    <n v="1056"/>
    <x v="9"/>
    <x v="0"/>
    <x v="9"/>
    <x v="0"/>
    <x v="0"/>
    <x v="0"/>
  </r>
  <r>
    <x v="238"/>
    <s v="21301 LOC 711"/>
    <s v="21300 LOC 711"/>
    <s v="KM - 5 - LA CARO - KM - 5"/>
    <n v="58"/>
    <n v="4"/>
    <n v="929.93"/>
    <n v="215743.75999999998"/>
    <n v="181"/>
    <n v="232"/>
    <x v="9"/>
    <x v="0"/>
    <x v="9"/>
    <x v="1"/>
    <x v="1"/>
    <x v="0"/>
  </r>
  <r>
    <x v="238"/>
    <s v="21303 AUT - 1696"/>
    <s v="22302 AUT - 1696"/>
    <s v="KM - 5 - UN MILITAR-KM-5"/>
    <n v="76"/>
    <n v="3"/>
    <n v="929.93"/>
    <n v="212024.03999999998"/>
    <n v="134"/>
    <n v="228"/>
    <x v="9"/>
    <x v="0"/>
    <x v="9"/>
    <x v="2"/>
    <x v="1"/>
    <x v="0"/>
  </r>
  <r>
    <x v="239"/>
    <s v="21301 LOC 711"/>
    <s v="21300 LOC 711"/>
    <s v="KM - 5 - LA CARO - KM - 5"/>
    <n v="58"/>
    <n v="4"/>
    <n v="929.93"/>
    <n v="215743.75999999998"/>
    <n v="179"/>
    <n v="232"/>
    <x v="9"/>
    <x v="0"/>
    <x v="9"/>
    <x v="1"/>
    <x v="1"/>
    <x v="0"/>
  </r>
  <r>
    <x v="239"/>
    <s v="21303 AUT - 1696"/>
    <s v="22302 AUT - 1696"/>
    <s v="KM - 5 - UN MILITAR-KM-5"/>
    <n v="76"/>
    <n v="3"/>
    <n v="929.93"/>
    <n v="212024.03999999998"/>
    <n v="202"/>
    <n v="228"/>
    <x v="9"/>
    <x v="0"/>
    <x v="9"/>
    <x v="2"/>
    <x v="1"/>
    <x v="0"/>
  </r>
  <r>
    <x v="240"/>
    <s v="21301 LOC 711"/>
    <s v="21300 LOC 711"/>
    <s v="KM - 5 - LA CARO - KM - 5"/>
    <n v="58"/>
    <n v="4"/>
    <n v="929.93"/>
    <n v="215743.75999999998"/>
    <n v="125"/>
    <n v="232"/>
    <x v="9"/>
    <x v="0"/>
    <x v="9"/>
    <x v="1"/>
    <x v="1"/>
    <x v="0"/>
  </r>
  <r>
    <x v="240"/>
    <s v="21303 AUT - 1696"/>
    <s v="22302 AUT - 1696"/>
    <s v="KM - 5 - UN MILITAR-KM-5"/>
    <n v="76"/>
    <n v="3"/>
    <n v="929.93"/>
    <n v="212024.03999999998"/>
    <n v="156"/>
    <n v="228"/>
    <x v="9"/>
    <x v="0"/>
    <x v="9"/>
    <x v="2"/>
    <x v="1"/>
    <x v="0"/>
  </r>
  <r>
    <x v="241"/>
    <s v="21301 LOC 723"/>
    <s v="22300 LOC 723"/>
    <s v="KM - 5 - ZIPAQUIRA- KM - 5"/>
    <n v="96"/>
    <n v="18"/>
    <n v="929.93"/>
    <n v="1606919.0399999998"/>
    <n v="1560"/>
    <n v="1728"/>
    <x v="9"/>
    <x v="0"/>
    <x v="9"/>
    <x v="0"/>
    <x v="0"/>
    <x v="0"/>
  </r>
  <r>
    <x v="242"/>
    <s v="21301 LOC 723"/>
    <s v="22300 LOC 723"/>
    <s v="KM - 5 - ZIPAQUIRA- KM - 5"/>
    <n v="96"/>
    <n v="18"/>
    <n v="929.93"/>
    <n v="1606919.0399999998"/>
    <n v="1558"/>
    <n v="1728"/>
    <x v="9"/>
    <x v="0"/>
    <x v="9"/>
    <x v="0"/>
    <x v="0"/>
    <x v="0"/>
  </r>
  <r>
    <x v="243"/>
    <s v="21301 LOC 711"/>
    <s v="22300 LOC 711"/>
    <s v="KM - 5 - ZIPAQUIRA- KM - 5"/>
    <n v="96"/>
    <n v="14"/>
    <n v="929.93"/>
    <n v="1249825.92"/>
    <n v="1016"/>
    <n v="1344"/>
    <x v="9"/>
    <x v="0"/>
    <x v="9"/>
    <x v="0"/>
    <x v="0"/>
    <x v="0"/>
  </r>
  <r>
    <x v="244"/>
    <s v="21301 LOC 723"/>
    <s v="22300 LOC 723"/>
    <s v="KM - 5 - UN MILITAR-KM-5"/>
    <n v="76"/>
    <n v="9"/>
    <n v="929.93"/>
    <n v="636072.12"/>
    <n v="1096"/>
    <n v="684"/>
    <x v="9"/>
    <x v="0"/>
    <x v="9"/>
    <x v="2"/>
    <x v="1"/>
    <x v="0"/>
  </r>
  <r>
    <x v="244"/>
    <s v="21303 LOC 711"/>
    <s v="21300 LOC 711"/>
    <s v="KM - 5 - LA CARO - KM - 5"/>
    <n v="58"/>
    <n v="5"/>
    <n v="929.93"/>
    <n v="269679.7"/>
    <n v="578"/>
    <n v="290"/>
    <x v="9"/>
    <x v="0"/>
    <x v="9"/>
    <x v="3"/>
    <x v="1"/>
    <x v="0"/>
  </r>
  <r>
    <x v="245"/>
    <s v="21301 LOC 723"/>
    <s v="22300 LOC 723"/>
    <s v="KM - 5 - UN MILITAR-KM-5"/>
    <n v="76"/>
    <n v="9"/>
    <n v="929.93"/>
    <n v="636072.12"/>
    <n v="1204"/>
    <n v="684"/>
    <x v="9"/>
    <x v="0"/>
    <x v="9"/>
    <x v="2"/>
    <x v="1"/>
    <x v="0"/>
  </r>
  <r>
    <x v="245"/>
    <s v="21303 LOC 711"/>
    <s v="21300 LOC 711"/>
    <s v="KM - 5 - LA CARO - KM - 5"/>
    <n v="58"/>
    <n v="6"/>
    <n v="929.93"/>
    <n v="323615.63999999996"/>
    <n v="528"/>
    <n v="348"/>
    <x v="9"/>
    <x v="0"/>
    <x v="9"/>
    <x v="3"/>
    <x v="1"/>
    <x v="0"/>
  </r>
  <r>
    <x v="246"/>
    <s v="21301 LOC 723"/>
    <s v="22300 LOC 723"/>
    <s v="KM - 5 - UN MILITAR-KM-5"/>
    <n v="76"/>
    <n v="9"/>
    <n v="929.93"/>
    <n v="636072.12"/>
    <n v="832"/>
    <n v="684"/>
    <x v="9"/>
    <x v="0"/>
    <x v="9"/>
    <x v="2"/>
    <x v="1"/>
    <x v="0"/>
  </r>
  <r>
    <x v="246"/>
    <s v="21303 LOC 711"/>
    <s v="21300 LOC 711"/>
    <s v="KM - 5 - LA CARO - KM - 5"/>
    <n v="58"/>
    <n v="5"/>
    <n v="929.93"/>
    <n v="269679.7"/>
    <n v="449"/>
    <n v="290"/>
    <x v="9"/>
    <x v="0"/>
    <x v="9"/>
    <x v="3"/>
    <x v="1"/>
    <x v="0"/>
  </r>
  <r>
    <x v="247"/>
    <s v="21301 LOC 723"/>
    <s v="22300 LOC 723"/>
    <s v="KM - 5 - UN MILITAR-KM-5"/>
    <n v="76"/>
    <n v="9"/>
    <n v="929.93"/>
    <n v="636072.12"/>
    <n v="1268"/>
    <n v="684"/>
    <x v="9"/>
    <x v="0"/>
    <x v="9"/>
    <x v="2"/>
    <x v="1"/>
    <x v="0"/>
  </r>
  <r>
    <x v="247"/>
    <s v="21303 LOC 350"/>
    <s v="21300 LOC 350"/>
    <s v="KM - 5 - LA CARO - KM - 5"/>
    <n v="58"/>
    <n v="6"/>
    <n v="929.93"/>
    <n v="323615.63999999996"/>
    <n v="692"/>
    <n v="348"/>
    <x v="9"/>
    <x v="0"/>
    <x v="9"/>
    <x v="3"/>
    <x v="1"/>
    <x v="0"/>
  </r>
  <r>
    <x v="248"/>
    <s v="21301 AUT 1676"/>
    <s v="22300 AUT 1676"/>
    <s v="KM - 5 - UN MILITAR-KM-5"/>
    <n v="76"/>
    <n v="3"/>
    <n v="929.93"/>
    <n v="212024.03999999998"/>
    <n v="318"/>
    <n v="228"/>
    <x v="9"/>
    <x v="0"/>
    <x v="9"/>
    <x v="2"/>
    <x v="1"/>
    <x v="0"/>
  </r>
  <r>
    <x v="248"/>
    <s v="21303 LOC 711"/>
    <s v="22302 LOC 711"/>
    <s v="KM - 5 - UN MILITAR-KM-5"/>
    <n v="76"/>
    <n v="6"/>
    <n v="929.93"/>
    <n v="424048.07999999996"/>
    <n v="224"/>
    <n v="456"/>
    <x v="9"/>
    <x v="0"/>
    <x v="9"/>
    <x v="2"/>
    <x v="1"/>
    <x v="0"/>
  </r>
  <r>
    <x v="248"/>
    <s v="21305 LOC 723"/>
    <s v="22304 LOC 723"/>
    <s v="KM - 5 - ZIPAQUIRA- KM - 5"/>
    <n v="96"/>
    <n v="13"/>
    <n v="929.93"/>
    <n v="1160552.6399999999"/>
    <n v="810"/>
    <n v="1248"/>
    <x v="9"/>
    <x v="0"/>
    <x v="9"/>
    <x v="0"/>
    <x v="0"/>
    <x v="0"/>
  </r>
  <r>
    <x v="249"/>
    <s v="21301 LOC 752"/>
    <s v="22300 LOC 752"/>
    <s v="KM - 5 - ZIPAQUIRA- KM - 5"/>
    <n v="96"/>
    <n v="12"/>
    <n v="929.93"/>
    <n v="1071279.3599999999"/>
    <n v="836"/>
    <n v="1152"/>
    <x v="9"/>
    <x v="0"/>
    <x v="9"/>
    <x v="0"/>
    <x v="0"/>
    <x v="0"/>
  </r>
  <r>
    <x v="250"/>
    <s v="21301 AUT 1676"/>
    <s v="21302 AUT 1676"/>
    <s v="KM - 5 - LA CARO - KM - 5"/>
    <n v="58"/>
    <n v="4"/>
    <n v="929.93"/>
    <n v="215743.75999999998"/>
    <n v="165"/>
    <n v="232"/>
    <x v="9"/>
    <x v="0"/>
    <x v="9"/>
    <x v="1"/>
    <x v="1"/>
    <x v="0"/>
  </r>
  <r>
    <x v="250"/>
    <s v="21303 LOC 723"/>
    <s v="22300 LOC 723"/>
    <s v="KM - 5 - UN MILITAR-KM-5"/>
    <n v="76"/>
    <n v="9"/>
    <n v="929.93"/>
    <n v="636072.12"/>
    <n v="973"/>
    <n v="684"/>
    <x v="9"/>
    <x v="0"/>
    <x v="9"/>
    <x v="2"/>
    <x v="1"/>
    <x v="0"/>
  </r>
  <r>
    <x v="250"/>
    <s v="21305 AUT 1696"/>
    <s v="21300 AUT 1696"/>
    <s v="KM - 5 - LA CARO - KM - 5"/>
    <n v="58"/>
    <n v="4"/>
    <n v="929.93"/>
    <n v="215743.75999999998"/>
    <n v="376"/>
    <n v="232"/>
    <x v="9"/>
    <x v="0"/>
    <x v="9"/>
    <x v="3"/>
    <x v="1"/>
    <x v="0"/>
  </r>
  <r>
    <x v="251"/>
    <s v="21301 AUT 1676"/>
    <s v="21302 AUT 1676"/>
    <s v="KM - 5 - LA CARO - KM - 5"/>
    <n v="58"/>
    <n v="4"/>
    <n v="929.93"/>
    <n v="215743.75999999998"/>
    <n v="187"/>
    <n v="232"/>
    <x v="9"/>
    <x v="0"/>
    <x v="9"/>
    <x v="1"/>
    <x v="1"/>
    <x v="0"/>
  </r>
  <r>
    <x v="251"/>
    <s v="21303 LOC 723"/>
    <s v="22300 LOC 723"/>
    <s v="KM - 5 - UN MILITAR-KM-5"/>
    <n v="76"/>
    <n v="9"/>
    <n v="929.93"/>
    <n v="636072.12"/>
    <n v="1372"/>
    <n v="684"/>
    <x v="9"/>
    <x v="0"/>
    <x v="9"/>
    <x v="2"/>
    <x v="1"/>
    <x v="0"/>
  </r>
  <r>
    <x v="251"/>
    <s v="21305 LOC 350"/>
    <s v="21300 LOC 350"/>
    <s v="KM - 5 - LA CARO - KM - 5"/>
    <n v="58"/>
    <n v="5"/>
    <n v="929.93"/>
    <n v="269679.7"/>
    <n v="572"/>
    <n v="290"/>
    <x v="9"/>
    <x v="0"/>
    <x v="9"/>
    <x v="3"/>
    <x v="1"/>
    <x v="0"/>
  </r>
  <r>
    <x v="252"/>
    <s v="21301 AUT 1676"/>
    <s v="21302 AUT 1676"/>
    <s v="KM - 5 - LA CARO - KM - 5"/>
    <n v="58"/>
    <n v="4"/>
    <n v="929.93"/>
    <n v="215743.75999999998"/>
    <n v="185"/>
    <n v="232"/>
    <x v="9"/>
    <x v="0"/>
    <x v="9"/>
    <x v="1"/>
    <x v="1"/>
    <x v="0"/>
  </r>
  <r>
    <x v="252"/>
    <s v="21303 LOC 723"/>
    <s v="22300 LOC 723"/>
    <s v="KM - 5 - UN MILITAR-KM-5"/>
    <n v="76"/>
    <n v="9"/>
    <n v="929.93"/>
    <n v="636072.12"/>
    <n v="1143"/>
    <n v="684"/>
    <x v="9"/>
    <x v="0"/>
    <x v="9"/>
    <x v="2"/>
    <x v="1"/>
    <x v="0"/>
  </r>
  <r>
    <x v="252"/>
    <s v="21305 LOC 350"/>
    <s v="21300 LOC 350"/>
    <s v="KM - 5 - LA CARO - KM - 5"/>
    <n v="58"/>
    <n v="6"/>
    <n v="929.93"/>
    <n v="323615.63999999996"/>
    <n v="482"/>
    <n v="348"/>
    <x v="9"/>
    <x v="0"/>
    <x v="9"/>
    <x v="3"/>
    <x v="1"/>
    <x v="0"/>
  </r>
  <r>
    <x v="253"/>
    <s v="21301 AUT 1676"/>
    <s v="21302 AUT 1676"/>
    <s v="KM - 5 - LA CARO - KM - 5"/>
    <n v="58"/>
    <n v="4"/>
    <n v="929.93"/>
    <n v="215743.75999999998"/>
    <n v="174"/>
    <n v="232"/>
    <x v="9"/>
    <x v="0"/>
    <x v="9"/>
    <x v="1"/>
    <x v="1"/>
    <x v="0"/>
  </r>
  <r>
    <x v="253"/>
    <s v="21303 LOC 723"/>
    <s v="22300 LOC 723"/>
    <s v="KM - 5 - UN MILITAR-KM-5"/>
    <n v="76"/>
    <n v="9"/>
    <n v="929.93"/>
    <n v="636072.12"/>
    <n v="855"/>
    <n v="684"/>
    <x v="9"/>
    <x v="0"/>
    <x v="9"/>
    <x v="2"/>
    <x v="1"/>
    <x v="0"/>
  </r>
  <r>
    <x v="253"/>
    <s v="21305 LOC 350"/>
    <s v="21300 LOC 350"/>
    <s v="KM - 5 - LA CARO - KM - 5"/>
    <n v="58"/>
    <n v="5"/>
    <n v="929.93"/>
    <n v="269679.7"/>
    <n v="475"/>
    <n v="290"/>
    <x v="9"/>
    <x v="0"/>
    <x v="9"/>
    <x v="3"/>
    <x v="1"/>
    <x v="0"/>
  </r>
  <r>
    <x v="254"/>
    <s v="21301 AUT 1696"/>
    <s v="21302 AUT 1696"/>
    <s v="KM - 5 - LA CARO - KM - 5"/>
    <n v="58"/>
    <n v="4"/>
    <n v="929.93"/>
    <n v="215743.75999999998"/>
    <n v="133"/>
    <n v="232"/>
    <x v="9"/>
    <x v="0"/>
    <x v="9"/>
    <x v="1"/>
    <x v="1"/>
    <x v="0"/>
  </r>
  <r>
    <x v="254"/>
    <s v="21303 LOC 752"/>
    <s v="22300 LOC 752"/>
    <s v="KM - 5 - UN MILITAR-KM-5"/>
    <n v="76"/>
    <n v="9"/>
    <n v="929.93"/>
    <n v="636072.12"/>
    <n v="1198"/>
    <n v="684"/>
    <x v="9"/>
    <x v="0"/>
    <x v="9"/>
    <x v="2"/>
    <x v="1"/>
    <x v="0"/>
  </r>
  <r>
    <x v="254"/>
    <s v="21305 LOC 350"/>
    <s v="21300 LOC 350"/>
    <s v="KM - 5 - LA CARO - KM - 5"/>
    <n v="58"/>
    <n v="6"/>
    <n v="929.93"/>
    <n v="323615.63999999996"/>
    <n v="698"/>
    <n v="348"/>
    <x v="9"/>
    <x v="0"/>
    <x v="9"/>
    <x v="3"/>
    <x v="1"/>
    <x v="0"/>
  </r>
  <r>
    <x v="255"/>
    <s v="21301 AUT 1696"/>
    <s v="22300 AUT 1696"/>
    <s v="KM - 5 - UN MILITAR-KM-5"/>
    <n v="76"/>
    <n v="3"/>
    <n v="929.93"/>
    <n v="212024.03999999998"/>
    <n v="399"/>
    <n v="228"/>
    <x v="9"/>
    <x v="0"/>
    <x v="9"/>
    <x v="2"/>
    <x v="1"/>
    <x v="0"/>
  </r>
  <r>
    <x v="255"/>
    <s v="21303 LOC 752"/>
    <s v="22302 LOC 752"/>
    <s v="KM - 5 - ZIPAQUIRA- KM - 5"/>
    <n v="96"/>
    <n v="12"/>
    <n v="929.93"/>
    <n v="1071279.3599999999"/>
    <n v="1158"/>
    <n v="1152"/>
    <x v="9"/>
    <x v="0"/>
    <x v="9"/>
    <x v="0"/>
    <x v="0"/>
    <x v="0"/>
  </r>
  <r>
    <x v="256"/>
    <s v="21301 LOC 752"/>
    <s v="22300 LOC 752"/>
    <s v="KM - 5 - ZIPAQUIRA- KM - 5"/>
    <n v="96"/>
    <n v="15"/>
    <n v="929.93"/>
    <n v="1339099.2"/>
    <n v="1214"/>
    <n v="1440"/>
    <x v="9"/>
    <x v="0"/>
    <x v="9"/>
    <x v="0"/>
    <x v="0"/>
    <x v="0"/>
  </r>
  <r>
    <x v="257"/>
    <s v="21301 AUT 1676"/>
    <s v="21302 AUT 1676"/>
    <s v="KM - 5 - LA CARO - KM - 5"/>
    <n v="58"/>
    <n v="4"/>
    <n v="929.93"/>
    <n v="215743.75999999998"/>
    <n v="177"/>
    <n v="232"/>
    <x v="9"/>
    <x v="0"/>
    <x v="9"/>
    <x v="1"/>
    <x v="1"/>
    <x v="0"/>
  </r>
  <r>
    <x v="257"/>
    <s v="21303 LOC 752"/>
    <s v="22300 LOC 752"/>
    <s v="KM - 5 - UN MILITAR-KM-5"/>
    <n v="76"/>
    <n v="9"/>
    <n v="929.93"/>
    <n v="636072.12"/>
    <n v="966"/>
    <n v="684"/>
    <x v="9"/>
    <x v="0"/>
    <x v="9"/>
    <x v="2"/>
    <x v="1"/>
    <x v="0"/>
  </r>
  <r>
    <x v="257"/>
    <s v="21305 AUT 1696"/>
    <s v="21300 AUT 1696"/>
    <s v="KM - 5 - LA CARO - KM - 5"/>
    <n v="58"/>
    <n v="4"/>
    <n v="929.93"/>
    <n v="215743.75999999998"/>
    <n v="389"/>
    <n v="232"/>
    <x v="9"/>
    <x v="0"/>
    <x v="9"/>
    <x v="3"/>
    <x v="1"/>
    <x v="0"/>
  </r>
  <r>
    <x v="258"/>
    <s v="21301 AUT 1676"/>
    <s v="21302 AUT 1676"/>
    <s v="KM - 5 - LA CARO - KM - 5"/>
    <n v="58"/>
    <n v="4"/>
    <n v="929.93"/>
    <n v="215743.75999999998"/>
    <n v="194"/>
    <n v="232"/>
    <x v="9"/>
    <x v="0"/>
    <x v="9"/>
    <x v="1"/>
    <x v="1"/>
    <x v="0"/>
  </r>
  <r>
    <x v="258"/>
    <s v="21303 LOC 752"/>
    <s v="22300 LOC 752"/>
    <s v="KM - 5 - UN MILITAR-KM-5"/>
    <n v="76"/>
    <n v="9"/>
    <n v="929.93"/>
    <n v="636072.12"/>
    <n v="1057"/>
    <n v="684"/>
    <x v="9"/>
    <x v="0"/>
    <x v="9"/>
    <x v="2"/>
    <x v="1"/>
    <x v="0"/>
  </r>
  <r>
    <x v="258"/>
    <s v="21305 LOC 350"/>
    <s v="21300 LOC 350"/>
    <s v="KM - 5 - LA CARO - KM - 5"/>
    <n v="58"/>
    <n v="5"/>
    <n v="929.93"/>
    <n v="269679.7"/>
    <n v="502"/>
    <n v="290"/>
    <x v="9"/>
    <x v="0"/>
    <x v="9"/>
    <x v="3"/>
    <x v="1"/>
    <x v="0"/>
  </r>
  <r>
    <x v="259"/>
    <s v="21301 AUT 1676"/>
    <s v="21302 AUT 1676"/>
    <s v="KM - 5 - LA CARO - KM - 5"/>
    <n v="58"/>
    <n v="4"/>
    <n v="929.93"/>
    <n v="215743.75999999998"/>
    <n v="158"/>
    <n v="232"/>
    <x v="9"/>
    <x v="0"/>
    <x v="9"/>
    <x v="1"/>
    <x v="1"/>
    <x v="0"/>
  </r>
  <r>
    <x v="259"/>
    <s v="21303 LOC 752"/>
    <s v="22300 LOC 752"/>
    <s v="KM - 5 - UN MILITAR-KM-5"/>
    <n v="76"/>
    <n v="9"/>
    <n v="929.93"/>
    <n v="636072.12"/>
    <n v="1278"/>
    <n v="684"/>
    <x v="9"/>
    <x v="0"/>
    <x v="9"/>
    <x v="2"/>
    <x v="1"/>
    <x v="0"/>
  </r>
  <r>
    <x v="259"/>
    <s v="21305 LOC 723"/>
    <s v="21300 LOC 723"/>
    <s v="KM - 5 - LA CARO - KM - 5"/>
    <n v="58"/>
    <n v="6"/>
    <n v="929.93"/>
    <n v="323615.63999999996"/>
    <n v="486"/>
    <n v="348"/>
    <x v="9"/>
    <x v="0"/>
    <x v="9"/>
    <x v="3"/>
    <x v="1"/>
    <x v="0"/>
  </r>
  <r>
    <x v="260"/>
    <s v="21301 AUT 1676"/>
    <s v="21302 AUT 1676"/>
    <s v="KM - 5 - LA CARO - KM - 5"/>
    <n v="58"/>
    <n v="4"/>
    <n v="929.93"/>
    <n v="215743.75999999998"/>
    <n v="172"/>
    <n v="232"/>
    <x v="9"/>
    <x v="0"/>
    <x v="9"/>
    <x v="1"/>
    <x v="1"/>
    <x v="0"/>
  </r>
  <r>
    <x v="260"/>
    <s v="21303 LOC 752"/>
    <s v="22300 LOC 752"/>
    <s v="KM - 5 - UN MILITAR-KM-5"/>
    <n v="76"/>
    <n v="9"/>
    <n v="929.93"/>
    <n v="636072.12"/>
    <n v="789"/>
    <n v="684"/>
    <x v="9"/>
    <x v="0"/>
    <x v="9"/>
    <x v="2"/>
    <x v="1"/>
    <x v="0"/>
  </r>
  <r>
    <x v="260"/>
    <s v="21305 LOC 723"/>
    <s v="21300 LOC 723"/>
    <s v="KM - 5 - LA CARO - KM - 5"/>
    <n v="58"/>
    <n v="5"/>
    <n v="929.93"/>
    <n v="269679.7"/>
    <n v="443"/>
    <n v="290"/>
    <x v="9"/>
    <x v="0"/>
    <x v="9"/>
    <x v="3"/>
    <x v="1"/>
    <x v="0"/>
  </r>
  <r>
    <x v="261"/>
    <s v="21301 AUT 1696"/>
    <s v="21302 AUT 1696"/>
    <s v="KM - 5 - LA CARO - KM - 5"/>
    <n v="58"/>
    <n v="4"/>
    <n v="929.93"/>
    <n v="215743.75999999998"/>
    <n v="147"/>
    <n v="232"/>
    <x v="10"/>
    <x v="0"/>
    <x v="10"/>
    <x v="1"/>
    <x v="1"/>
    <x v="0"/>
  </r>
  <r>
    <x v="261"/>
    <s v="21303 LOC 752"/>
    <s v="22300 LOC 752"/>
    <s v="KM - 5 - UN MILITAR-KM-5"/>
    <n v="76"/>
    <n v="9"/>
    <n v="929.93"/>
    <n v="636072.12"/>
    <n v="1060"/>
    <n v="684"/>
    <x v="10"/>
    <x v="0"/>
    <x v="10"/>
    <x v="2"/>
    <x v="1"/>
    <x v="0"/>
  </r>
  <r>
    <x v="261"/>
    <s v="21305 LOC 723"/>
    <s v="21300 LOC 723"/>
    <s v="KM - 5 - LA CARO - KM - 5"/>
    <n v="58"/>
    <n v="6"/>
    <n v="929.93"/>
    <n v="323615.63999999996"/>
    <n v="552"/>
    <n v="348"/>
    <x v="10"/>
    <x v="0"/>
    <x v="10"/>
    <x v="3"/>
    <x v="1"/>
    <x v="0"/>
  </r>
  <r>
    <x v="262"/>
    <s v="21301 AUT 1696"/>
    <s v="22300 AUT - 1696"/>
    <s v="KM - 5 - UN MILITAR-KM-5"/>
    <n v="76"/>
    <n v="3"/>
    <n v="929.93"/>
    <n v="212024.03999999998"/>
    <n v="280"/>
    <n v="228"/>
    <x v="10"/>
    <x v="0"/>
    <x v="10"/>
    <x v="2"/>
    <x v="1"/>
    <x v="0"/>
  </r>
  <r>
    <x v="262"/>
    <s v="21303 LOC 752"/>
    <s v="22302 LOC 752"/>
    <s v="KM - 5 - ZIPAQUIRA- KM - 5"/>
    <n v="96"/>
    <n v="15"/>
    <n v="929.93"/>
    <n v="1339099.2"/>
    <n v="1062"/>
    <n v="1440"/>
    <x v="10"/>
    <x v="0"/>
    <x v="10"/>
    <x v="0"/>
    <x v="0"/>
    <x v="0"/>
  </r>
  <r>
    <x v="263"/>
    <s v="21301 LOC 752"/>
    <s v="22300 LOC 752"/>
    <s v="KM - 5 - ZIPAQUIRA- KM - 5"/>
    <n v="96"/>
    <n v="18"/>
    <n v="929.93"/>
    <n v="1606919.0399999998"/>
    <n v="1590"/>
    <n v="1728"/>
    <x v="10"/>
    <x v="0"/>
    <x v="10"/>
    <x v="0"/>
    <x v="0"/>
    <x v="0"/>
  </r>
  <r>
    <x v="264"/>
    <s v="21301 LOC 752"/>
    <s v="22300 LOC 752"/>
    <s v="KM - 5 - ZIPAQUIRA- KM - 5"/>
    <n v="96"/>
    <n v="14"/>
    <n v="929.93"/>
    <n v="1249825.92"/>
    <n v="1050"/>
    <n v="1344"/>
    <x v="10"/>
    <x v="0"/>
    <x v="10"/>
    <x v="0"/>
    <x v="0"/>
    <x v="0"/>
  </r>
  <r>
    <x v="265"/>
    <s v="21301 LOC 1676"/>
    <s v="21302 AUT 1676"/>
    <s v="KM - 5 - LA CARO - KM - 5"/>
    <n v="58"/>
    <n v="4"/>
    <n v="929.93"/>
    <n v="215743.75999999998"/>
    <n v="233"/>
    <n v="232"/>
    <x v="10"/>
    <x v="0"/>
    <x v="10"/>
    <x v="1"/>
    <x v="1"/>
    <x v="0"/>
  </r>
  <r>
    <x v="265"/>
    <s v="21303 LOC 723"/>
    <s v="22300 LOC 723"/>
    <s v="KM - 5 - UN MILITAR-KM-5"/>
    <n v="76"/>
    <n v="9"/>
    <n v="929.93"/>
    <n v="636072.12"/>
    <n v="1097"/>
    <n v="684"/>
    <x v="10"/>
    <x v="0"/>
    <x v="10"/>
    <x v="2"/>
    <x v="1"/>
    <x v="0"/>
  </r>
  <r>
    <x v="265"/>
    <s v="21305 LOC 350"/>
    <s v="21300 LOC 350"/>
    <s v="KM - 5 - LA CARO - KM - 5"/>
    <n v="58"/>
    <n v="5"/>
    <n v="929.93"/>
    <n v="269679.7"/>
    <n v="413"/>
    <n v="290"/>
    <x v="10"/>
    <x v="0"/>
    <x v="10"/>
    <x v="3"/>
    <x v="1"/>
    <x v="0"/>
  </r>
  <r>
    <x v="266"/>
    <s v="21301 LOC 1676"/>
    <s v="21302 AUT 1676"/>
    <s v="KM - 5 - LA CARO - KM - 5"/>
    <n v="58"/>
    <n v="4"/>
    <n v="929.93"/>
    <n v="215743.75999999998"/>
    <n v="610"/>
    <n v="232"/>
    <x v="10"/>
    <x v="0"/>
    <x v="10"/>
    <x v="1"/>
    <x v="1"/>
    <x v="0"/>
  </r>
  <r>
    <x v="266"/>
    <s v="21303 LOC 723"/>
    <s v="22300 LOC 723"/>
    <s v="KM - 5 - UN MILITAR-KM-5"/>
    <n v="76"/>
    <n v="9"/>
    <n v="929.93"/>
    <n v="636072.12"/>
    <n v="1114"/>
    <n v="684"/>
    <x v="10"/>
    <x v="0"/>
    <x v="10"/>
    <x v="2"/>
    <x v="1"/>
    <x v="0"/>
  </r>
  <r>
    <x v="266"/>
    <s v="21305 LOC 350"/>
    <s v="21300 LOC 350"/>
    <s v="KM - 5 - LA CARO - KM - 5"/>
    <n v="58"/>
    <n v="6"/>
    <n v="929.93"/>
    <n v="323615.63999999996"/>
    <n v="547"/>
    <n v="348"/>
    <x v="10"/>
    <x v="0"/>
    <x v="10"/>
    <x v="3"/>
    <x v="1"/>
    <x v="0"/>
  </r>
  <r>
    <x v="266"/>
    <s v="21307 LOC 752"/>
    <s v="21304 LOC 752"/>
    <s v="KM - 5 - LA CARO - KM - 5"/>
    <n v="58"/>
    <n v="3"/>
    <n v="929.93"/>
    <n v="161807.81999999998"/>
    <n v="480"/>
    <n v="174"/>
    <x v="10"/>
    <x v="0"/>
    <x v="10"/>
    <x v="1"/>
    <x v="1"/>
    <x v="0"/>
  </r>
  <r>
    <x v="267"/>
    <s v="21301 LOC 723"/>
    <s v="22300 LOC 723"/>
    <s v="KM - 5 - UN MILITAR-KM-5"/>
    <n v="76"/>
    <n v="9"/>
    <n v="929.93"/>
    <n v="636072.12"/>
    <n v="555"/>
    <n v="684"/>
    <x v="10"/>
    <x v="0"/>
    <x v="10"/>
    <x v="2"/>
    <x v="1"/>
    <x v="0"/>
  </r>
  <r>
    <x v="267"/>
    <s v="21303 LOC 752"/>
    <s v="21300 LOC 752"/>
    <s v="KM - 5 - LA CARO - KM - 5"/>
    <n v="58"/>
    <n v="5"/>
    <n v="929.93"/>
    <n v="269679.7"/>
    <n v="159"/>
    <n v="290"/>
    <x v="10"/>
    <x v="0"/>
    <x v="10"/>
    <x v="3"/>
    <x v="1"/>
    <x v="0"/>
  </r>
  <r>
    <x v="267"/>
    <s v="21305 LOC 350"/>
    <s v="21302 LOC 350"/>
    <s v="KM - 5 - LA CARO - KM - 5"/>
    <n v="58"/>
    <n v="4"/>
    <n v="929.93"/>
    <n v="215743.75999999998"/>
    <n v="30"/>
    <n v="232"/>
    <x v="10"/>
    <x v="0"/>
    <x v="10"/>
    <x v="1"/>
    <x v="1"/>
    <x v="0"/>
  </r>
  <r>
    <x v="268"/>
    <s v="21301 LOC 723"/>
    <s v="22300 LOC 723"/>
    <s v="KM - 5 - UN MILITAR-KM-5"/>
    <n v="76"/>
    <n v="9"/>
    <n v="929.93"/>
    <n v="636072.12"/>
    <n v="1372"/>
    <n v="684"/>
    <x v="10"/>
    <x v="0"/>
    <x v="10"/>
    <x v="2"/>
    <x v="1"/>
    <x v="0"/>
  </r>
  <r>
    <x v="269"/>
    <s v="21301 AUT 1696"/>
    <s v="22300 AUT 1696"/>
    <s v="KM - 5 - UN MILITAR-KM-5"/>
    <n v="76"/>
    <n v="3"/>
    <n v="929.93"/>
    <n v="212024.03999999998"/>
    <n v="227"/>
    <n v="228"/>
    <x v="10"/>
    <x v="0"/>
    <x v="10"/>
    <x v="2"/>
    <x v="1"/>
    <x v="0"/>
  </r>
  <r>
    <x v="269"/>
    <s v="21303 LOC 350"/>
    <s v="21302 LOC 350"/>
    <s v="KM - 5 - LA CARO - KM - 5"/>
    <n v="58"/>
    <n v="4"/>
    <n v="929.93"/>
    <n v="215743.75999999998"/>
    <n v="141"/>
    <n v="232"/>
    <x v="10"/>
    <x v="0"/>
    <x v="10"/>
    <x v="1"/>
    <x v="1"/>
    <x v="0"/>
  </r>
  <r>
    <x v="269"/>
    <s v="21305 AUT 1676"/>
    <s v="21300 AUT 1676"/>
    <s v="KM - 5 - LA CARO - KM - 5"/>
    <n v="58"/>
    <n v="4"/>
    <n v="929.93"/>
    <n v="215743.75999999998"/>
    <n v="135"/>
    <n v="232"/>
    <x v="10"/>
    <x v="0"/>
    <x v="10"/>
    <x v="1"/>
    <x v="1"/>
    <x v="0"/>
  </r>
  <r>
    <x v="269"/>
    <s v="21307 LOC 752"/>
    <s v="22302 LOC 752"/>
    <s v="KM - 5 - ZIPAQUIRA- KM - 5"/>
    <n v="96"/>
    <n v="11"/>
    <n v="929.93"/>
    <n v="982006.08"/>
    <n v="912"/>
    <n v="1056"/>
    <x v="10"/>
    <x v="0"/>
    <x v="10"/>
    <x v="0"/>
    <x v="0"/>
    <x v="0"/>
  </r>
  <r>
    <x v="270"/>
    <s v="21301 LOC 350"/>
    <s v="22300 LOC 350"/>
    <s v="KM - 5 - ZIPAQUIRA- KM - 5"/>
    <n v="96"/>
    <n v="18"/>
    <n v="929.93"/>
    <n v="1606919.0399999998"/>
    <n v="1526"/>
    <n v="1728"/>
    <x v="10"/>
    <x v="0"/>
    <x v="10"/>
    <x v="0"/>
    <x v="0"/>
    <x v="0"/>
  </r>
  <r>
    <x v="271"/>
    <s v="21301 LOC 350"/>
    <s v="22300 LOC 350"/>
    <s v="KM - 5 - ZIPAQUIRA- KM - 5"/>
    <n v="96"/>
    <n v="13"/>
    <n v="929.93"/>
    <n v="1160552.6399999999"/>
    <n v="1096"/>
    <n v="1248"/>
    <x v="10"/>
    <x v="0"/>
    <x v="10"/>
    <x v="0"/>
    <x v="0"/>
    <x v="0"/>
  </r>
  <r>
    <x v="272"/>
    <s v="21301 LOC 1676"/>
    <s v="21302 AUT 1676"/>
    <s v="KM - 5 - LA CARO - KM - 5"/>
    <n v="58"/>
    <n v="4"/>
    <n v="929.93"/>
    <n v="215743.75999999998"/>
    <n v="352"/>
    <n v="232"/>
    <x v="10"/>
    <x v="0"/>
    <x v="10"/>
    <x v="1"/>
    <x v="1"/>
    <x v="0"/>
  </r>
  <r>
    <x v="272"/>
    <s v="21303 LOC 752"/>
    <s v="22300 LOC 752"/>
    <s v="KM - 5 - UN MILITAR-KM-5"/>
    <n v="76"/>
    <n v="9"/>
    <n v="929.93"/>
    <n v="636072.12"/>
    <n v="1132"/>
    <n v="684"/>
    <x v="10"/>
    <x v="0"/>
    <x v="10"/>
    <x v="2"/>
    <x v="1"/>
    <x v="0"/>
  </r>
  <r>
    <x v="272"/>
    <s v="21305 LOC 723"/>
    <s v="21300 LOC 723"/>
    <s v="KM - 5 - LA CARO - KM - 5"/>
    <n v="58"/>
    <n v="4"/>
    <n v="929.93"/>
    <n v="215743.75999999998"/>
    <n v="182"/>
    <n v="232"/>
    <x v="10"/>
    <x v="0"/>
    <x v="10"/>
    <x v="3"/>
    <x v="1"/>
    <x v="0"/>
  </r>
  <r>
    <x v="273"/>
    <s v="21301 AUT 1696"/>
    <s v="21302 AUT 1696"/>
    <s v="KM - 5 - LA CARO - KM - 5"/>
    <n v="58"/>
    <n v="4"/>
    <n v="929.93"/>
    <n v="215743.75999999998"/>
    <n v="233"/>
    <n v="232"/>
    <x v="10"/>
    <x v="0"/>
    <x v="10"/>
    <x v="1"/>
    <x v="1"/>
    <x v="0"/>
  </r>
  <r>
    <x v="273"/>
    <s v="21303 LOC 752"/>
    <s v="22300 LOC 752"/>
    <s v="KM - 5 - UN MILITAR-KM-5"/>
    <n v="76"/>
    <n v="9"/>
    <n v="929.93"/>
    <n v="636072.12"/>
    <n v="1197"/>
    <n v="684"/>
    <x v="10"/>
    <x v="0"/>
    <x v="10"/>
    <x v="2"/>
    <x v="1"/>
    <x v="0"/>
  </r>
  <r>
    <x v="273"/>
    <s v="21305 AUT 1676"/>
    <s v="21300 AUT 1676"/>
    <s v="KM - 5 - LA CARO - KM - 5"/>
    <n v="58"/>
    <n v="4"/>
    <n v="929.93"/>
    <n v="215743.75999999998"/>
    <n v="384"/>
    <n v="232"/>
    <x v="10"/>
    <x v="0"/>
    <x v="10"/>
    <x v="3"/>
    <x v="1"/>
    <x v="0"/>
  </r>
  <r>
    <x v="274"/>
    <s v="21301 AUT 1696"/>
    <s v="21302 AUT 1696"/>
    <s v="KM - 5 - LA CARO - KM - 5"/>
    <n v="58"/>
    <n v="4"/>
    <n v="929.93"/>
    <n v="215743.75999999998"/>
    <n v="277"/>
    <n v="232"/>
    <x v="10"/>
    <x v="0"/>
    <x v="10"/>
    <x v="1"/>
    <x v="1"/>
    <x v="0"/>
  </r>
  <r>
    <x v="274"/>
    <s v="21303 LOC 752"/>
    <s v="22302 LOC 752"/>
    <s v="KM - 5 - UN MILITAR-KM-5"/>
    <n v="76"/>
    <n v="9"/>
    <n v="929.93"/>
    <n v="636072.12"/>
    <n v="878"/>
    <n v="684"/>
    <x v="10"/>
    <x v="0"/>
    <x v="10"/>
    <x v="2"/>
    <x v="1"/>
    <x v="0"/>
  </r>
  <r>
    <x v="274"/>
    <s v="21305 AUT 1676"/>
    <s v="21300 AUT 1676"/>
    <s v="KM - 5 - LA CARO - KM - 5"/>
    <n v="58"/>
    <n v="4"/>
    <n v="929.93"/>
    <n v="215743.75999999998"/>
    <n v="208"/>
    <n v="232"/>
    <x v="10"/>
    <x v="0"/>
    <x v="10"/>
    <x v="3"/>
    <x v="1"/>
    <x v="0"/>
  </r>
  <r>
    <x v="274"/>
    <s v="21307 LOC 350"/>
    <s v="22300 LOC 350"/>
    <s v="KM - 5 - ZIPAQUIRA- KM - 5"/>
    <n v="96"/>
    <n v="5"/>
    <n v="929.93"/>
    <n v="446366.39999999997"/>
    <n v="159"/>
    <n v="480"/>
    <x v="10"/>
    <x v="0"/>
    <x v="10"/>
    <x v="0"/>
    <x v="0"/>
    <x v="0"/>
  </r>
  <r>
    <x v="275"/>
    <s v="21301 AUT 1696"/>
    <s v="21302 AUT 1696"/>
    <s v="KM - 5 - LA CARO - KM - 5"/>
    <n v="58"/>
    <n v="4"/>
    <n v="929.93"/>
    <n v="215743.75999999998"/>
    <n v="157"/>
    <n v="232"/>
    <x v="10"/>
    <x v="0"/>
    <x v="10"/>
    <x v="1"/>
    <x v="1"/>
    <x v="0"/>
  </r>
  <r>
    <x v="275"/>
    <s v="21303 LOC 752"/>
    <s v="22302 LOC 752"/>
    <s v="KM - 5 - UN MILITAR-KM-5"/>
    <n v="76"/>
    <n v="10"/>
    <n v="929.93"/>
    <n v="706746.79999999993"/>
    <n v="1147"/>
    <n v="760"/>
    <x v="10"/>
    <x v="0"/>
    <x v="10"/>
    <x v="2"/>
    <x v="1"/>
    <x v="0"/>
  </r>
  <r>
    <x v="275"/>
    <s v="21305 LOC 723"/>
    <s v="21300 LOC 723T 1676"/>
    <s v="KM - 5 - LA CARO - KM - 5"/>
    <n v="58"/>
    <n v="5"/>
    <n v="929.93"/>
    <n v="269679.7"/>
    <n v="500"/>
    <n v="290"/>
    <x v="10"/>
    <x v="0"/>
    <x v="10"/>
    <x v="3"/>
    <x v="1"/>
    <x v="0"/>
  </r>
  <r>
    <x v="275"/>
    <s v="21307 LOC 350"/>
    <s v="22300 LOC 350"/>
    <s v="KM - 5 - ZIPAQUIRA- KM - 5"/>
    <n v="96"/>
    <n v="4"/>
    <n v="929.93"/>
    <n v="357093.12"/>
    <n v="192"/>
    <n v="384"/>
    <x v="10"/>
    <x v="0"/>
    <x v="10"/>
    <x v="0"/>
    <x v="0"/>
    <x v="0"/>
  </r>
  <r>
    <x v="276"/>
    <s v="21301 AUT 1696"/>
    <s v="22300 AUT 1696"/>
    <s v="KM - 5 - UN MILITAR-KM-5"/>
    <n v="76"/>
    <n v="3"/>
    <n v="929.93"/>
    <n v="212024.03999999998"/>
    <n v="274"/>
    <n v="228"/>
    <x v="10"/>
    <x v="0"/>
    <x v="10"/>
    <x v="2"/>
    <x v="1"/>
    <x v="0"/>
  </r>
  <r>
    <x v="276"/>
    <s v="21303 LOC 752"/>
    <s v="22302 LOC 752"/>
    <s v="KM - 5 - ZIPAQUIRA- KM - 5"/>
    <n v="96"/>
    <n v="17"/>
    <n v="929.93"/>
    <n v="1517645.76"/>
    <n v="1430"/>
    <n v="1632"/>
    <x v="10"/>
    <x v="0"/>
    <x v="10"/>
    <x v="0"/>
    <x v="0"/>
    <x v="0"/>
  </r>
  <r>
    <x v="277"/>
    <s v="21301 LOC 752"/>
    <s v="22300 LOC 752"/>
    <s v="KM - 5 - ZIPAQUIRA- KM - 5"/>
    <n v="96"/>
    <n v="14"/>
    <n v="929.93"/>
    <n v="1249825.92"/>
    <n v="1188"/>
    <n v="1344"/>
    <x v="10"/>
    <x v="0"/>
    <x v="10"/>
    <x v="0"/>
    <x v="0"/>
    <x v="0"/>
  </r>
  <r>
    <x v="278"/>
    <s v="21301 AUT 1696"/>
    <s v="21300 AUT 1696"/>
    <s v="KM - 5 - LA CARO - KM - 5"/>
    <n v="58"/>
    <n v="4"/>
    <n v="929.93"/>
    <n v="215743.75999999998"/>
    <n v="180"/>
    <n v="232"/>
    <x v="10"/>
    <x v="0"/>
    <x v="10"/>
    <x v="1"/>
    <x v="1"/>
    <x v="0"/>
  </r>
  <r>
    <x v="278"/>
    <s v="21303 LOC 723"/>
    <s v="22300 LOC 723"/>
    <s v="KM - 5 - UN MILITAR-KM-5"/>
    <n v="76"/>
    <n v="9"/>
    <n v="929.93"/>
    <n v="636072.12"/>
    <n v="816"/>
    <n v="684"/>
    <x v="10"/>
    <x v="0"/>
    <x v="10"/>
    <x v="2"/>
    <x v="1"/>
    <x v="0"/>
  </r>
  <r>
    <x v="279"/>
    <s v="21301 AUT 1696"/>
    <s v="21300 AUT 1696"/>
    <s v="KM - 5 - LA CARO - KM - 5"/>
    <n v="58"/>
    <n v="4"/>
    <n v="929.93"/>
    <n v="215743.75999999998"/>
    <n v="162"/>
    <n v="232"/>
    <x v="10"/>
    <x v="0"/>
    <x v="10"/>
    <x v="1"/>
    <x v="1"/>
    <x v="0"/>
  </r>
  <r>
    <x v="279"/>
    <s v="21303 LOC 723"/>
    <s v="22300 LOC 723"/>
    <s v="KM - 5 - UN MILITAR-KM-5"/>
    <n v="76"/>
    <n v="9"/>
    <n v="929.93"/>
    <n v="636072.12"/>
    <n v="944"/>
    <n v="684"/>
    <x v="10"/>
    <x v="0"/>
    <x v="10"/>
    <x v="2"/>
    <x v="1"/>
    <x v="0"/>
  </r>
  <r>
    <x v="280"/>
    <s v="21301 AUT 1696"/>
    <s v="21300 LOC 350R 1696"/>
    <s v="KM - 5 - LA CARO - KM - 5"/>
    <n v="58"/>
    <n v="4"/>
    <n v="929.93"/>
    <n v="215743.75999999998"/>
    <n v="178"/>
    <n v="232"/>
    <x v="10"/>
    <x v="0"/>
    <x v="10"/>
    <x v="1"/>
    <x v="1"/>
    <x v="0"/>
  </r>
  <r>
    <x v="280"/>
    <s v="21303 LOC 723"/>
    <s v="22300 LOC 723"/>
    <s v="KM - 5 - UN MILITAR-KM-5"/>
    <n v="76"/>
    <n v="9"/>
    <n v="929.93"/>
    <n v="636072.12"/>
    <n v="941"/>
    <n v="684"/>
    <x v="10"/>
    <x v="0"/>
    <x v="10"/>
    <x v="2"/>
    <x v="1"/>
    <x v="0"/>
  </r>
  <r>
    <x v="281"/>
    <s v="21301 AUT 1676"/>
    <s v="21300 AUT  1696"/>
    <s v="KM - 5 - LA CARO - KM - 5"/>
    <n v="58"/>
    <n v="4"/>
    <n v="929.93"/>
    <n v="215743.75999999998"/>
    <n v="139"/>
    <n v="232"/>
    <x v="10"/>
    <x v="0"/>
    <x v="10"/>
    <x v="1"/>
    <x v="1"/>
    <x v="0"/>
  </r>
  <r>
    <x v="281"/>
    <s v="21303 LOC 752"/>
    <s v="22300 LOC 752"/>
    <s v="KM - 5 - UN MILITAR-KM-5"/>
    <n v="76"/>
    <n v="9"/>
    <n v="929.93"/>
    <n v="636072.12"/>
    <n v="613"/>
    <n v="684"/>
    <x v="10"/>
    <x v="0"/>
    <x v="10"/>
    <x v="2"/>
    <x v="1"/>
    <x v="0"/>
  </r>
  <r>
    <x v="282"/>
    <s v="21301 AUT 1676"/>
    <s v="21300 AUT  1696"/>
    <s v="KM - 5 - LA CARO - KM - 5"/>
    <n v="58"/>
    <n v="4"/>
    <n v="929.93"/>
    <n v="215743.75999999998"/>
    <n v="146"/>
    <n v="232"/>
    <x v="10"/>
    <x v="0"/>
    <x v="10"/>
    <x v="1"/>
    <x v="1"/>
    <x v="0"/>
  </r>
  <r>
    <x v="282"/>
    <s v="21303 LOC 752"/>
    <s v="22300 LOC 752"/>
    <s v="KM - 5 - UN MILITAR-KM-5"/>
    <n v="76"/>
    <n v="9"/>
    <n v="929.93"/>
    <n v="636072.12"/>
    <n v="1110"/>
    <n v="684"/>
    <x v="10"/>
    <x v="0"/>
    <x v="10"/>
    <x v="2"/>
    <x v="1"/>
    <x v="0"/>
  </r>
  <r>
    <x v="283"/>
    <s v="21301 AUT 1696"/>
    <s v="22300 AUT 1696"/>
    <s v="KM - 5 - UN MILITAR-KM-5"/>
    <n v="76"/>
    <n v="3"/>
    <n v="929.93"/>
    <n v="212024.03999999998"/>
    <n v="233"/>
    <n v="228"/>
    <x v="10"/>
    <x v="0"/>
    <x v="10"/>
    <x v="2"/>
    <x v="1"/>
    <x v="0"/>
  </r>
  <r>
    <x v="283"/>
    <s v="21303 LOC 350"/>
    <s v="22300 LOC 350"/>
    <s v="KM - 5 - ZIPAQUIRA- KM - 5"/>
    <n v="96"/>
    <n v="12"/>
    <n v="929.93"/>
    <n v="1071279.3599999999"/>
    <n v="968"/>
    <n v="1152"/>
    <x v="10"/>
    <x v="0"/>
    <x v="10"/>
    <x v="0"/>
    <x v="0"/>
    <x v="0"/>
  </r>
  <r>
    <x v="284"/>
    <s v="21301 LOC 350"/>
    <s v="22300 LOC 350"/>
    <s v="KM - 5 - ZIPAQUIRA- KM - 5"/>
    <n v="96"/>
    <n v="15"/>
    <n v="929.93"/>
    <n v="1339099.2"/>
    <n v="1326"/>
    <n v="1440"/>
    <x v="10"/>
    <x v="0"/>
    <x v="10"/>
    <x v="0"/>
    <x v="0"/>
    <x v="0"/>
  </r>
  <r>
    <x v="285"/>
    <s v="21301 LOC 723"/>
    <s v="22300 LOC 723"/>
    <s v="KM - 5 - UN MILITAR-KM-5"/>
    <n v="76"/>
    <n v="6"/>
    <n v="929.93"/>
    <n v="424048.07999999996"/>
    <n v="633"/>
    <n v="456"/>
    <x v="10"/>
    <x v="0"/>
    <x v="10"/>
    <x v="2"/>
    <x v="1"/>
    <x v="0"/>
  </r>
  <r>
    <x v="286"/>
    <s v="21301 LOC 723"/>
    <s v="22300 LOC 723"/>
    <s v="KM - 5 - UN MILITAR-KM-5"/>
    <n v="76"/>
    <n v="6"/>
    <n v="929.93"/>
    <n v="424048.07999999996"/>
    <n v="496"/>
    <n v="456"/>
    <x v="10"/>
    <x v="0"/>
    <x v="10"/>
    <x v="2"/>
    <x v="1"/>
    <x v="0"/>
  </r>
  <r>
    <x v="287"/>
    <s v="21301 LOC 752"/>
    <s v="22300 LOC 752"/>
    <s v="KM - 5 - UN MILITAR-KM-5"/>
    <n v="76"/>
    <n v="6"/>
    <n v="929.93"/>
    <n v="424048.07999999996"/>
    <n v="372"/>
    <n v="456"/>
    <x v="10"/>
    <x v="0"/>
    <x v="10"/>
    <x v="2"/>
    <x v="1"/>
    <x v="0"/>
  </r>
  <r>
    <x v="288"/>
    <s v="21301 LOC 752"/>
    <s v="22300 LOC 752"/>
    <s v="KM - 5 - UN MILITAR-KM-5"/>
    <n v="76"/>
    <n v="6"/>
    <n v="929.93"/>
    <n v="424048.07999999996"/>
    <n v="393"/>
    <n v="456"/>
    <x v="10"/>
    <x v="0"/>
    <x v="10"/>
    <x v="2"/>
    <x v="1"/>
    <x v="0"/>
  </r>
  <r>
    <x v="289"/>
    <s v="21301 LOC 752"/>
    <s v="22300 LOC 752"/>
    <s v="KM - 5 - UN MILITAR-KM-5"/>
    <n v="76"/>
    <n v="7"/>
    <n v="929.93"/>
    <n v="494722.75999999995"/>
    <n v="301"/>
    <n v="532"/>
    <x v="10"/>
    <x v="0"/>
    <x v="10"/>
    <x v="2"/>
    <x v="1"/>
    <x v="0"/>
  </r>
  <r>
    <x v="289"/>
    <s v="21303 LOC 711"/>
    <s v="22300 LOC 711"/>
    <s v="KM - 5 - LA CARO - KM - 5"/>
    <n v="58"/>
    <n v="14"/>
    <n v="929.93"/>
    <n v="755103.15999999992"/>
    <n v="986"/>
    <n v="812"/>
    <x v="10"/>
    <x v="0"/>
    <x v="10"/>
    <x v="5"/>
    <x v="0"/>
    <x v="0"/>
  </r>
  <r>
    <x v="290"/>
    <s v="21301 AUT 1696"/>
    <s v="22300 AUT 1696"/>
    <s v="KM - 5 - UN MILITAR-KM-5"/>
    <n v="76"/>
    <n v="3"/>
    <n v="929.93"/>
    <n v="212024.03999999998"/>
    <n v="82"/>
    <n v="228"/>
    <x v="10"/>
    <x v="0"/>
    <x v="10"/>
    <x v="2"/>
    <x v="1"/>
    <x v="0"/>
  </r>
  <r>
    <x v="290"/>
    <s v="21303 LOC 711"/>
    <s v="22302 LOC 711"/>
    <s v="KM - 5 - ZIPAQUIRA- KM - 5"/>
    <n v="96"/>
    <n v="18"/>
    <n v="929.93"/>
    <n v="1606919.0399999998"/>
    <n v="1378"/>
    <n v="1728"/>
    <x v="10"/>
    <x v="0"/>
    <x v="10"/>
    <x v="0"/>
    <x v="0"/>
    <x v="0"/>
  </r>
  <r>
    <x v="290"/>
    <s v="21305 LOC 723"/>
    <s v="21300 LOC 723"/>
    <s v="KM - 5 - LA CARO - KM - 5"/>
    <n v="58"/>
    <n v="14"/>
    <n v="929.93"/>
    <n v="755103.15999999992"/>
    <n v="1100"/>
    <n v="812"/>
    <x v="10"/>
    <x v="0"/>
    <x v="10"/>
    <x v="5"/>
    <x v="0"/>
    <x v="0"/>
  </r>
  <r>
    <x v="291"/>
    <s v="21301 LOC 752"/>
    <s v="22300 LOC 752"/>
    <s v="KM - 5 - ZIPAQUIRA- KM - 5"/>
    <n v="96"/>
    <n v="18"/>
    <n v="929.93"/>
    <n v="1606919.0399999998"/>
    <n v="1358"/>
    <n v="1728"/>
    <x v="11"/>
    <x v="0"/>
    <x v="11"/>
    <x v="0"/>
    <x v="0"/>
    <x v="0"/>
  </r>
  <r>
    <x v="291"/>
    <s v="21303 LOC 350"/>
    <s v="21300 LOC 350"/>
    <s v="KM - 5 - LA CARO - KM - 5"/>
    <n v="58"/>
    <n v="14"/>
    <n v="929.93"/>
    <n v="755103.15999999992"/>
    <n v="1158"/>
    <n v="812"/>
    <x v="11"/>
    <x v="0"/>
    <x v="11"/>
    <x v="5"/>
    <x v="0"/>
    <x v="0"/>
  </r>
  <r>
    <x v="292"/>
    <s v="21301 LOC 752"/>
    <s v="22300 LOC 752"/>
    <s v="KM - 5 - UN MILITAR-KM-5"/>
    <n v="76"/>
    <n v="6"/>
    <n v="929.93"/>
    <n v="424048.07999999996"/>
    <n v="101"/>
    <n v="456"/>
    <x v="11"/>
    <x v="0"/>
    <x v="11"/>
    <x v="2"/>
    <x v="1"/>
    <x v="0"/>
  </r>
  <r>
    <x v="292"/>
    <s v="21303 LOC 350"/>
    <s v="21300 LOC 350"/>
    <s v="KM - 5 - LA CARO - KM - 5"/>
    <n v="58"/>
    <n v="14"/>
    <n v="929.93"/>
    <n v="755103.15999999992"/>
    <n v="1134"/>
    <n v="812"/>
    <x v="11"/>
    <x v="0"/>
    <x v="11"/>
    <x v="5"/>
    <x v="0"/>
    <x v="0"/>
  </r>
  <r>
    <x v="293"/>
    <s v="21301 LOC 711"/>
    <s v="22300 LOC 711"/>
    <s v="KM - 5 - UN MILITAR-KM-5"/>
    <n v="76"/>
    <n v="3"/>
    <n v="929.93"/>
    <n v="212024.03999999998"/>
    <n v="85"/>
    <n v="228"/>
    <x v="11"/>
    <x v="0"/>
    <x v="11"/>
    <x v="2"/>
    <x v="1"/>
    <x v="0"/>
  </r>
  <r>
    <x v="293"/>
    <s v="21303 LOC 350"/>
    <s v="21300 LOC 350"/>
    <s v="KM - 5 - LA CARO - KM - 5"/>
    <n v="58"/>
    <n v="14"/>
    <n v="929.93"/>
    <n v="755103.15999999992"/>
    <n v="1190"/>
    <n v="812"/>
    <x v="11"/>
    <x v="0"/>
    <x v="11"/>
    <x v="5"/>
    <x v="0"/>
    <x v="0"/>
  </r>
  <r>
    <x v="294"/>
    <s v="21301 LOC 752"/>
    <s v="22300 LOC 752"/>
    <s v="KM - 5 - UN MILITAR-KM-5"/>
    <n v="76"/>
    <n v="9"/>
    <n v="929.93"/>
    <n v="636072.12"/>
    <n v="79"/>
    <n v="684"/>
    <x v="11"/>
    <x v="0"/>
    <x v="11"/>
    <x v="2"/>
    <x v="1"/>
    <x v="0"/>
  </r>
  <r>
    <x v="294"/>
    <s v="21303 LOC 350"/>
    <s v="21300 LOC 350"/>
    <s v="KM - 5 - LA CARO - KM - 5"/>
    <n v="58"/>
    <n v="14"/>
    <n v="929.93"/>
    <n v="755103.15999999992"/>
    <n v="1148"/>
    <n v="812"/>
    <x v="11"/>
    <x v="0"/>
    <x v="11"/>
    <x v="5"/>
    <x v="0"/>
    <x v="0"/>
  </r>
  <r>
    <x v="295"/>
    <s v="21301 LOC 752"/>
    <s v="22300 LOC 752"/>
    <s v="KM - 5 - UN MILITAR-KM-5"/>
    <n v="76"/>
    <n v="3"/>
    <n v="929.93"/>
    <n v="212024.03999999998"/>
    <n v="97"/>
    <n v="228"/>
    <x v="11"/>
    <x v="0"/>
    <x v="11"/>
    <x v="2"/>
    <x v="1"/>
    <x v="0"/>
  </r>
  <r>
    <x v="295"/>
    <s v="21303 LOC 350"/>
    <s v="21300 LOC 350"/>
    <s v="KM - 5 - LA CARO - KM - 5"/>
    <n v="58"/>
    <n v="14"/>
    <n v="929.93"/>
    <n v="755103.15999999992"/>
    <n v="1146"/>
    <n v="812"/>
    <x v="11"/>
    <x v="0"/>
    <x v="11"/>
    <x v="5"/>
    <x v="0"/>
    <x v="0"/>
  </r>
  <r>
    <x v="296"/>
    <s v="21301 LOC 752"/>
    <s v="22300 LOC 752"/>
    <s v="KM - 5 - UN MILITAR-KM-5"/>
    <n v="76"/>
    <n v="3"/>
    <n v="929.93"/>
    <n v="212024.03999999998"/>
    <n v="93"/>
    <n v="228"/>
    <x v="11"/>
    <x v="0"/>
    <x v="11"/>
    <x v="2"/>
    <x v="1"/>
    <x v="0"/>
  </r>
  <r>
    <x v="296"/>
    <s v="21303 LOC 350"/>
    <s v="21300 LOC 350"/>
    <s v="KM - 5 - LA CARO - KM - 5"/>
    <n v="58"/>
    <n v="14"/>
    <n v="929.93"/>
    <n v="755103.15999999992"/>
    <n v="1228"/>
    <n v="812"/>
    <x v="11"/>
    <x v="0"/>
    <x v="11"/>
    <x v="5"/>
    <x v="0"/>
    <x v="0"/>
  </r>
  <r>
    <x v="297"/>
    <s v="21301 LOC 723"/>
    <s v="22300 LOC 723"/>
    <s v="KM - 5 - ZIPAQUIRA- KM - 5"/>
    <n v="96"/>
    <n v="18"/>
    <n v="929.93"/>
    <n v="1606919.0399999998"/>
    <n v="1398"/>
    <n v="1728"/>
    <x v="11"/>
    <x v="0"/>
    <x v="11"/>
    <x v="0"/>
    <x v="0"/>
    <x v="0"/>
  </r>
  <r>
    <x v="297"/>
    <s v="21303 LOC 711"/>
    <s v="21300 LOC 711"/>
    <s v="PAIPA - SOGAMOSO - PAIPA"/>
    <n v="62"/>
    <n v="10"/>
    <n v="929.93"/>
    <n v="576556.6"/>
    <n v="841"/>
    <n v="620"/>
    <x v="11"/>
    <x v="0"/>
    <x v="11"/>
    <x v="4"/>
    <x v="0"/>
    <x v="0"/>
  </r>
  <r>
    <x v="297"/>
    <s v="21305 LOC 752"/>
    <s v="21302 LOC 752"/>
    <s v="KM - 5 - LA CARO - KM - 5"/>
    <n v="58"/>
    <n v="14"/>
    <n v="929.93"/>
    <n v="755103.15999999992"/>
    <n v="1226"/>
    <n v="812"/>
    <x v="11"/>
    <x v="0"/>
    <x v="11"/>
    <x v="5"/>
    <x v="0"/>
    <x v="0"/>
  </r>
  <r>
    <x v="298"/>
    <s v="21301 LOC 723"/>
    <s v="22300 LOC 723"/>
    <s v="KM - 5 - ZIPAQUIRA- KM - 5"/>
    <n v="96"/>
    <n v="18"/>
    <n v="929.93"/>
    <n v="1606919.0399999998"/>
    <n v="1572"/>
    <n v="1728"/>
    <x v="11"/>
    <x v="0"/>
    <x v="11"/>
    <x v="0"/>
    <x v="0"/>
    <x v="0"/>
  </r>
  <r>
    <x v="298"/>
    <s v="21303 LOC 711"/>
    <s v="21300 LOC 711"/>
    <s v="PAIPA - SOGAMOSO - PAIPA"/>
    <n v="62"/>
    <n v="10"/>
    <n v="929.93"/>
    <n v="576556.6"/>
    <n v="954"/>
    <n v="620"/>
    <x v="11"/>
    <x v="0"/>
    <x v="11"/>
    <x v="4"/>
    <x v="0"/>
    <x v="0"/>
  </r>
  <r>
    <x v="298"/>
    <s v="21305 LOC 752"/>
    <s v="21302 LOC 752"/>
    <s v="KM - 5 - LA CARO - KM - 5"/>
    <n v="58"/>
    <n v="14"/>
    <n v="929.93"/>
    <n v="755103.15999999992"/>
    <n v="1220"/>
    <n v="812"/>
    <x v="11"/>
    <x v="0"/>
    <x v="11"/>
    <x v="5"/>
    <x v="0"/>
    <x v="0"/>
  </r>
  <r>
    <x v="299"/>
    <s v="21301 LOC 711"/>
    <s v="21300 LOC 711"/>
    <s v="PAIPA - SOGAMOSO - PAIPA"/>
    <n v="62"/>
    <n v="10"/>
    <n v="929.93"/>
    <n v="576556.6"/>
    <n v="1280"/>
    <n v="620"/>
    <x v="11"/>
    <x v="0"/>
    <x v="11"/>
    <x v="4"/>
    <x v="0"/>
    <x v="0"/>
  </r>
  <r>
    <x v="299"/>
    <s v="21303 LOC 350"/>
    <s v="21302 LOC 350"/>
    <s v="KM - 5 - LA CARO - KM - 5"/>
    <n v="58"/>
    <n v="14"/>
    <n v="929.93"/>
    <n v="755103.15999999992"/>
    <n v="1214"/>
    <n v="812"/>
    <x v="11"/>
    <x v="0"/>
    <x v="11"/>
    <x v="5"/>
    <x v="0"/>
    <x v="0"/>
  </r>
  <r>
    <x v="300"/>
    <s v="21301 LOC 711"/>
    <s v="21300 LOC 711"/>
    <s v="PAIPA - SOGAMOSO - PAIPA"/>
    <n v="62"/>
    <n v="10"/>
    <n v="929.93"/>
    <n v="576556.6"/>
    <n v="1280"/>
    <n v="620"/>
    <x v="11"/>
    <x v="0"/>
    <x v="11"/>
    <x v="4"/>
    <x v="0"/>
    <x v="0"/>
  </r>
  <r>
    <x v="300"/>
    <s v="21303 LOC 350"/>
    <s v="21302 LOC 350"/>
    <s v="KM - 5 - LA CARO - KM - 5"/>
    <n v="58"/>
    <n v="14"/>
    <n v="929.93"/>
    <n v="755103.15999999992"/>
    <n v="1192"/>
    <n v="812"/>
    <x v="11"/>
    <x v="0"/>
    <x v="11"/>
    <x v="5"/>
    <x v="0"/>
    <x v="0"/>
  </r>
  <r>
    <x v="301"/>
    <s v="21301 LOC 711"/>
    <s v="21300 LOC 711"/>
    <s v="PAIPA - SOGAMOSO - PAIPA"/>
    <n v="62"/>
    <n v="10"/>
    <n v="929.93"/>
    <n v="576556.6"/>
    <n v="1280"/>
    <n v="620"/>
    <x v="11"/>
    <x v="0"/>
    <x v="11"/>
    <x v="4"/>
    <x v="0"/>
    <x v="0"/>
  </r>
  <r>
    <x v="301"/>
    <s v="21303 LOC 752"/>
    <s v="21302 LOC 752"/>
    <s v="KM - 5 - LA CARO - KM - 5"/>
    <n v="58"/>
    <n v="14"/>
    <n v="929.93"/>
    <n v="755103.15999999992"/>
    <n v="1210"/>
    <n v="812"/>
    <x v="11"/>
    <x v="0"/>
    <x v="11"/>
    <x v="5"/>
    <x v="0"/>
    <x v="0"/>
  </r>
  <r>
    <x v="302"/>
    <s v="21301 LOC 711"/>
    <s v="21300 LOC 711"/>
    <s v="PAIPA - SOGAMOSO - PAIPA"/>
    <n v="62"/>
    <n v="10"/>
    <n v="929.93"/>
    <n v="576556.6"/>
    <n v="1280"/>
    <n v="620"/>
    <x v="11"/>
    <x v="0"/>
    <x v="11"/>
    <x v="4"/>
    <x v="0"/>
    <x v="0"/>
  </r>
  <r>
    <x v="302"/>
    <s v="21303 LOC 350"/>
    <s v="21302 LOC 350"/>
    <s v="KM - 5 - LA CARO - KM - 5"/>
    <n v="58"/>
    <n v="14"/>
    <n v="929.93"/>
    <n v="755103.15999999992"/>
    <n v="1206"/>
    <n v="812"/>
    <x v="11"/>
    <x v="0"/>
    <x v="11"/>
    <x v="5"/>
    <x v="0"/>
    <x v="0"/>
  </r>
  <r>
    <x v="303"/>
    <s v="21301 LOC 711"/>
    <s v="21300 LOC 711"/>
    <s v="PAIPA - SOGAMOSO - PAIPA"/>
    <n v="62"/>
    <n v="10"/>
    <n v="929.93"/>
    <n v="576556.6"/>
    <n v="1045"/>
    <n v="620"/>
    <x v="11"/>
    <x v="0"/>
    <x v="11"/>
    <x v="4"/>
    <x v="0"/>
    <x v="0"/>
  </r>
  <r>
    <x v="303"/>
    <s v="21303 LOC 752"/>
    <s v="21302 LOC 752"/>
    <s v="KM - 5 - LA CARO - KM - 5"/>
    <n v="58"/>
    <n v="14"/>
    <n v="929.93"/>
    <n v="755103.15999999992"/>
    <n v="1170"/>
    <n v="812"/>
    <x v="11"/>
    <x v="0"/>
    <x v="11"/>
    <x v="5"/>
    <x v="0"/>
    <x v="0"/>
  </r>
  <r>
    <x v="304"/>
    <s v="21301 LOC 752"/>
    <s v="22300 LOC 752"/>
    <s v="KM - 5 - ZIPAQUIRA- KM - 5"/>
    <n v="96"/>
    <n v="18"/>
    <n v="929.93"/>
    <n v="1606919.0399999998"/>
    <n v="1558"/>
    <n v="1728"/>
    <x v="11"/>
    <x v="0"/>
    <x v="11"/>
    <x v="0"/>
    <x v="0"/>
    <x v="0"/>
  </r>
  <r>
    <x v="304"/>
    <s v="21303 LOC 711"/>
    <s v="21300 LOC 711"/>
    <s v="PAIPA - SOGAMOSO - PAIPA"/>
    <n v="62"/>
    <n v="10"/>
    <n v="929.93"/>
    <n v="576556.6"/>
    <n v="1110"/>
    <n v="620"/>
    <x v="11"/>
    <x v="0"/>
    <x v="11"/>
    <x v="4"/>
    <x v="0"/>
    <x v="0"/>
  </r>
  <r>
    <x v="304"/>
    <s v="21305 LOC 752"/>
    <s v="21302 LOC 752"/>
    <s v="KM - 5 - LA CARO - KM - 5"/>
    <n v="58"/>
    <n v="14"/>
    <n v="929.93"/>
    <n v="755103.15999999992"/>
    <n v="1228"/>
    <n v="812"/>
    <x v="11"/>
    <x v="0"/>
    <x v="11"/>
    <x v="5"/>
    <x v="0"/>
    <x v="0"/>
  </r>
  <r>
    <x v="305"/>
    <s v="21301 LOC 752"/>
    <s v="22300 LOC 752"/>
    <s v="KM - 5 - ZIPAQUIRA- KM - 5"/>
    <n v="96"/>
    <n v="18"/>
    <n v="929.93"/>
    <n v="1606919.0399999998"/>
    <n v="1582"/>
    <n v="1728"/>
    <x v="11"/>
    <x v="0"/>
    <x v="11"/>
    <x v="0"/>
    <x v="0"/>
    <x v="0"/>
  </r>
  <r>
    <x v="305"/>
    <s v="21303 LOC 711"/>
    <s v="21300 LOC 711"/>
    <s v="PAIPA - SOGAMOSO - PAIPA"/>
    <n v="62"/>
    <n v="10"/>
    <n v="929.93"/>
    <n v="576556.6"/>
    <n v="1135"/>
    <n v="620"/>
    <x v="11"/>
    <x v="0"/>
    <x v="11"/>
    <x v="4"/>
    <x v="0"/>
    <x v="0"/>
  </r>
  <r>
    <x v="305"/>
    <s v="21305 LOC 752"/>
    <s v="21302 LOC 752"/>
    <s v="KM - 5 - LA CARO - KM - 5"/>
    <n v="58"/>
    <n v="14"/>
    <n v="929.93"/>
    <n v="755103.15999999992"/>
    <n v="1212"/>
    <n v="812"/>
    <x v="11"/>
    <x v="0"/>
    <x v="11"/>
    <x v="5"/>
    <x v="0"/>
    <x v="0"/>
  </r>
  <r>
    <x v="306"/>
    <s v="21301 LOC 711"/>
    <s v="21300 LOC 711"/>
    <s v="PAIPA - SOGAMOSO - PAIPA"/>
    <n v="62"/>
    <n v="10"/>
    <n v="929.93"/>
    <n v="576556.6"/>
    <n v="623"/>
    <n v="620"/>
    <x v="11"/>
    <x v="0"/>
    <x v="11"/>
    <x v="4"/>
    <x v="0"/>
    <x v="0"/>
  </r>
  <r>
    <x v="306"/>
    <s v="21303 LOC 350"/>
    <s v="21302 LOC 350"/>
    <s v="KM - 5 - LA CARO - KM - 5"/>
    <n v="58"/>
    <n v="14"/>
    <n v="929.93"/>
    <n v="755103.15999999992"/>
    <n v="1238"/>
    <n v="812"/>
    <x v="11"/>
    <x v="0"/>
    <x v="11"/>
    <x v="5"/>
    <x v="0"/>
    <x v="0"/>
  </r>
  <r>
    <x v="307"/>
    <s v="21301 LOC 711"/>
    <s v="21300 LOC 711"/>
    <s v="PAIPA - SOGAMOSO - PAIPA"/>
    <n v="62"/>
    <n v="10"/>
    <n v="929.93"/>
    <n v="576556.6"/>
    <n v="631"/>
    <n v="620"/>
    <x v="11"/>
    <x v="0"/>
    <x v="11"/>
    <x v="4"/>
    <x v="0"/>
    <x v="0"/>
  </r>
  <r>
    <x v="307"/>
    <s v="21303 LOC 752"/>
    <s v="21302 LOC 752"/>
    <s v="KM - 5 - LA CARO - KM - 5"/>
    <n v="58"/>
    <n v="14"/>
    <n v="929.93"/>
    <n v="755103.15999999992"/>
    <n v="1190"/>
    <n v="812"/>
    <x v="11"/>
    <x v="0"/>
    <x v="11"/>
    <x v="5"/>
    <x v="0"/>
    <x v="0"/>
  </r>
  <r>
    <x v="308"/>
    <s v="21301 LOC 711"/>
    <s v="21300 LOC 711"/>
    <s v="PAIPA - SOGAMOSO - PAIPA"/>
    <n v="62"/>
    <n v="10"/>
    <n v="929.93"/>
    <n v="576556.6"/>
    <n v="718"/>
    <n v="620"/>
    <x v="11"/>
    <x v="0"/>
    <x v="11"/>
    <x v="4"/>
    <x v="0"/>
    <x v="0"/>
  </r>
  <r>
    <x v="308"/>
    <s v="21303 LOC 752"/>
    <s v="21302 LOC 752"/>
    <s v="KM - 5 - LA CARO - KM - 5"/>
    <n v="58"/>
    <n v="14"/>
    <n v="929.93"/>
    <n v="755103.15999999992"/>
    <n v="1208"/>
    <n v="812"/>
    <x v="11"/>
    <x v="0"/>
    <x v="11"/>
    <x v="5"/>
    <x v="0"/>
    <x v="0"/>
  </r>
  <r>
    <x v="309"/>
    <s v="21301 LOC 711"/>
    <s v="21300 LOC 711"/>
    <s v="PAIPA - SOGAMOSO - PAIPA"/>
    <n v="62"/>
    <n v="10"/>
    <n v="929.93"/>
    <n v="576556.6"/>
    <n v="569"/>
    <n v="620"/>
    <x v="11"/>
    <x v="0"/>
    <x v="11"/>
    <x v="4"/>
    <x v="0"/>
    <x v="0"/>
  </r>
  <r>
    <x v="309"/>
    <s v="21303 LOC 752"/>
    <s v="21302 LOC 752"/>
    <s v="KM - 5 - LA CARO - KM - 5"/>
    <n v="58"/>
    <n v="14"/>
    <n v="929.93"/>
    <n v="755103.15999999992"/>
    <n v="1122"/>
    <n v="812"/>
    <x v="11"/>
    <x v="0"/>
    <x v="11"/>
    <x v="5"/>
    <x v="0"/>
    <x v="0"/>
  </r>
  <r>
    <x v="310"/>
    <s v="21301 LOC 711"/>
    <s v="21300 LOC 711"/>
    <s v="PAIPA - SOGAMOSO - PAIPA"/>
    <n v="62"/>
    <n v="10"/>
    <n v="929.93"/>
    <n v="576556.6"/>
    <n v="846"/>
    <n v="620"/>
    <x v="11"/>
    <x v="0"/>
    <x v="11"/>
    <x v="4"/>
    <x v="0"/>
    <x v="0"/>
  </r>
  <r>
    <x v="310"/>
    <s v="21303 LOC 752"/>
    <s v="21302 LOC 752"/>
    <s v="KM - 5 - LA CARO - KM - 5"/>
    <n v="58"/>
    <n v="14"/>
    <n v="929.93"/>
    <n v="755103.15999999992"/>
    <n v="1210"/>
    <n v="812"/>
    <x v="11"/>
    <x v="0"/>
    <x v="11"/>
    <x v="5"/>
    <x v="0"/>
    <x v="0"/>
  </r>
  <r>
    <x v="311"/>
    <s v="21301 LOC 350"/>
    <s v="22300 LOC 350"/>
    <s v="KM - 5 - ZIPAQUIRA- KM - 5"/>
    <n v="96"/>
    <n v="18"/>
    <n v="929.93"/>
    <n v="1606919.0399999998"/>
    <n v="1510"/>
    <n v="1728"/>
    <x v="11"/>
    <x v="0"/>
    <x v="11"/>
    <x v="0"/>
    <x v="0"/>
    <x v="0"/>
  </r>
  <r>
    <x v="311"/>
    <s v="21303 LOC 711"/>
    <s v="21300 LOC 711"/>
    <s v="PAIPA - SOGAMOSO - PAIPA"/>
    <n v="62"/>
    <n v="10"/>
    <n v="929.93"/>
    <n v="576556.6"/>
    <n v="1239"/>
    <n v="620"/>
    <x v="11"/>
    <x v="0"/>
    <x v="11"/>
    <x v="4"/>
    <x v="0"/>
    <x v="0"/>
  </r>
  <r>
    <x v="311"/>
    <s v="21305 LOC 350"/>
    <s v="21302 LOC 350"/>
    <s v="KM - 5 - LA CARO - KM - 5"/>
    <n v="58"/>
    <n v="14"/>
    <n v="929.93"/>
    <n v="755103.15999999992"/>
    <n v="1240"/>
    <n v="812"/>
    <x v="11"/>
    <x v="0"/>
    <x v="11"/>
    <x v="5"/>
    <x v="0"/>
    <x v="0"/>
  </r>
  <r>
    <x v="312"/>
    <s v="21301 LOC 723"/>
    <s v="22300 LOC 752R723"/>
    <s v="KM - 5 - ZIPAQUIRA- KM - 5"/>
    <n v="96"/>
    <n v="18"/>
    <n v="929.93"/>
    <n v="1606919.0399999998"/>
    <n v="1584"/>
    <n v="1728"/>
    <x v="11"/>
    <x v="0"/>
    <x v="11"/>
    <x v="0"/>
    <x v="0"/>
    <x v="0"/>
  </r>
  <r>
    <x v="312"/>
    <s v="21303 LOC 711"/>
    <s v="21300 LOC 711"/>
    <s v="PAIPA - SOGAMOSO - PAIPA"/>
    <n v="62"/>
    <n v="10"/>
    <n v="929.93"/>
    <n v="576556.6"/>
    <n v="1156"/>
    <n v="620"/>
    <x v="11"/>
    <x v="0"/>
    <x v="11"/>
    <x v="4"/>
    <x v="0"/>
    <x v="0"/>
  </r>
  <r>
    <x v="312"/>
    <s v="21305 LOC 350"/>
    <s v="21302 LOC 350"/>
    <s v="KM - 5 - LA CARO - KM - 5"/>
    <n v="58"/>
    <n v="14"/>
    <n v="929.93"/>
    <n v="755103.15999999992"/>
    <n v="1206"/>
    <n v="812"/>
    <x v="11"/>
    <x v="0"/>
    <x v="11"/>
    <x v="5"/>
    <x v="0"/>
    <x v="0"/>
  </r>
  <r>
    <x v="313"/>
    <s v="21301 LOC 711"/>
    <s v="21300 LOC 711"/>
    <s v="PAIPA - SOGAMOSO - PAIPA"/>
    <n v="62"/>
    <n v="10"/>
    <n v="929.93"/>
    <n v="576556.6"/>
    <n v="1110"/>
    <n v="620"/>
    <x v="11"/>
    <x v="0"/>
    <x v="11"/>
    <x v="4"/>
    <x v="0"/>
    <x v="0"/>
  </r>
  <r>
    <x v="313"/>
    <s v="21303 LOC 350"/>
    <s v="21302 LOC 350"/>
    <s v="KM - 5 - LA CARO - KM - 5"/>
    <n v="58"/>
    <n v="14"/>
    <n v="929.93"/>
    <n v="755103.15999999992"/>
    <n v="1234"/>
    <n v="812"/>
    <x v="11"/>
    <x v="0"/>
    <x v="11"/>
    <x v="5"/>
    <x v="0"/>
    <x v="0"/>
  </r>
  <r>
    <x v="314"/>
    <s v="21301 LOC 711"/>
    <s v="21300 LOC 711"/>
    <s v="PAIPA - SOGAMOSO - PAIPA"/>
    <n v="62"/>
    <n v="10"/>
    <n v="929.93"/>
    <n v="576556.6"/>
    <n v="946"/>
    <n v="620"/>
    <x v="11"/>
    <x v="0"/>
    <x v="11"/>
    <x v="4"/>
    <x v="0"/>
    <x v="0"/>
  </r>
  <r>
    <x v="314"/>
    <s v="21303 LOC 350"/>
    <s v="21302 LOC 350"/>
    <s v="KM - 5 - LA CARO - KM - 5"/>
    <n v="58"/>
    <n v="14"/>
    <n v="929.93"/>
    <n v="755103.15999999992"/>
    <n v="1180"/>
    <n v="812"/>
    <x v="11"/>
    <x v="0"/>
    <x v="11"/>
    <x v="5"/>
    <x v="0"/>
    <x v="0"/>
  </r>
  <r>
    <x v="315"/>
    <s v="21301 LOC 711"/>
    <s v="21300 LOC 711"/>
    <s v="PAIPA - SOGAMOSO - PAIPA"/>
    <n v="62"/>
    <n v="10"/>
    <n v="929.93"/>
    <n v="576556.6"/>
    <n v="1218"/>
    <n v="620"/>
    <x v="11"/>
    <x v="0"/>
    <x v="11"/>
    <x v="4"/>
    <x v="0"/>
    <x v="0"/>
  </r>
  <r>
    <x v="315"/>
    <s v="21303 LOC 350"/>
    <s v="21302 LOC 350"/>
    <s v="KM - 5 - LA CARO - KM - 5"/>
    <n v="58"/>
    <n v="14"/>
    <n v="929.93"/>
    <n v="755103.15999999992"/>
    <n v="1218"/>
    <n v="812"/>
    <x v="11"/>
    <x v="0"/>
    <x v="11"/>
    <x v="5"/>
    <x v="0"/>
    <x v="0"/>
  </r>
  <r>
    <x v="316"/>
    <s v="21301 LOC 711"/>
    <s v="21300 LOC 711"/>
    <s v="PAIPA - SOGAMOSO - PAIPA"/>
    <n v="62"/>
    <n v="10"/>
    <n v="929.93"/>
    <n v="576556.6"/>
    <n v="1224"/>
    <n v="620"/>
    <x v="11"/>
    <x v="0"/>
    <x v="11"/>
    <x v="4"/>
    <x v="0"/>
    <x v="0"/>
  </r>
  <r>
    <x v="316"/>
    <s v="21303 LOC 350"/>
    <s v="21302 LOC 350"/>
    <s v="KM - 5 - LA CARO - KM - 5"/>
    <n v="58"/>
    <n v="14"/>
    <n v="929.93"/>
    <n v="755103.15999999992"/>
    <n v="1228"/>
    <n v="812"/>
    <x v="11"/>
    <x v="0"/>
    <x v="11"/>
    <x v="5"/>
    <x v="0"/>
    <x v="0"/>
  </r>
  <r>
    <x v="317"/>
    <s v="21301 LOC 752"/>
    <s v="22300 LOC 752"/>
    <s v="KM - 5 - ZIPAQUIRA- KM - 5"/>
    <n v="96"/>
    <n v="18"/>
    <n v="929.93"/>
    <n v="1606919.0399999998"/>
    <n v="1494"/>
    <n v="1728"/>
    <x v="11"/>
    <x v="0"/>
    <x v="11"/>
    <x v="0"/>
    <x v="0"/>
    <x v="0"/>
  </r>
  <r>
    <x v="317"/>
    <s v="21303 LOC 711"/>
    <s v="21300 LOC 711"/>
    <s v="PAIPA - SOGAMOSO - PAIPA"/>
    <n v="62"/>
    <n v="10"/>
    <n v="929.93"/>
    <n v="576556.6"/>
    <n v="1268"/>
    <n v="620"/>
    <x v="11"/>
    <x v="0"/>
    <x v="11"/>
    <x v="4"/>
    <x v="0"/>
    <x v="0"/>
  </r>
  <r>
    <x v="317"/>
    <s v="21305 LOC 350"/>
    <s v="21302 LOC 350"/>
    <s v="KM - 5 - LA CARO - KM - 5"/>
    <n v="58"/>
    <n v="14"/>
    <n v="929.93"/>
    <n v="755103.15999999992"/>
    <n v="1234"/>
    <n v="812"/>
    <x v="11"/>
    <x v="0"/>
    <x v="11"/>
    <x v="5"/>
    <x v="0"/>
    <x v="0"/>
  </r>
  <r>
    <x v="318"/>
    <s v="21301 LOC 752"/>
    <s v="22300 LOC 752"/>
    <s v="KM - 5 - ZIPAQUIRA- KM - 5"/>
    <n v="96"/>
    <n v="18"/>
    <n v="929.93"/>
    <n v="1606919.0399999998"/>
    <n v="1484"/>
    <n v="1728"/>
    <x v="11"/>
    <x v="0"/>
    <x v="11"/>
    <x v="0"/>
    <x v="0"/>
    <x v="0"/>
  </r>
  <r>
    <x v="318"/>
    <s v="21303 LOC 711"/>
    <s v="21300 LOC 711"/>
    <s v="PAIPA - SOGAMOSO - PAIPA"/>
    <n v="62"/>
    <n v="10"/>
    <n v="929.93"/>
    <n v="576556.6"/>
    <n v="1224"/>
    <n v="620"/>
    <x v="11"/>
    <x v="0"/>
    <x v="11"/>
    <x v="4"/>
    <x v="0"/>
    <x v="0"/>
  </r>
  <r>
    <x v="318"/>
    <s v="21305 LOC 350"/>
    <s v="21302 LOC 350"/>
    <s v="KM - 5 - LA CARO - KM - 5"/>
    <n v="58"/>
    <n v="14"/>
    <n v="929.93"/>
    <n v="755103.15999999992"/>
    <n v="1202"/>
    <n v="812"/>
    <x v="11"/>
    <x v="0"/>
    <x v="11"/>
    <x v="5"/>
    <x v="0"/>
    <x v="0"/>
  </r>
  <r>
    <x v="319"/>
    <s v="21301 LOC 711"/>
    <s v="21300 LOC 711"/>
    <s v="PAIPA - SOGAMOSO - PAIPA"/>
    <n v="62"/>
    <n v="10"/>
    <n v="929.93"/>
    <n v="576556.6"/>
    <n v="1271"/>
    <n v="620"/>
    <x v="11"/>
    <x v="0"/>
    <x v="11"/>
    <x v="4"/>
    <x v="0"/>
    <x v="0"/>
  </r>
  <r>
    <x v="319"/>
    <s v="21303 LOC 350"/>
    <s v="21302 LOC 350"/>
    <s v="KM - 5 - LA CARO - KM - 5"/>
    <n v="58"/>
    <n v="14"/>
    <n v="929.93"/>
    <n v="755103.15999999992"/>
    <n v="1184"/>
    <n v="812"/>
    <x v="11"/>
    <x v="0"/>
    <x v="11"/>
    <x v="5"/>
    <x v="0"/>
    <x v="0"/>
  </r>
  <r>
    <x v="320"/>
    <s v="21301 LOC 752"/>
    <s v="22300 LOC 752"/>
    <s v="KM - 5 - ZIPAQUIRA - KM - 5"/>
    <n v="96"/>
    <n v="18"/>
    <n v="978.29"/>
    <n v="1690485.1199999999"/>
    <n v="1584"/>
    <n v="1728"/>
    <x v="0"/>
    <x v="1"/>
    <x v="12"/>
    <x v="0"/>
    <x v="0"/>
    <x v="0"/>
  </r>
  <r>
    <x v="321"/>
    <s v="21301 LOC 350"/>
    <s v="22300 LOC 350"/>
    <s v="KM - 5 - ZIPAQUIRA - KM - 5"/>
    <n v="96"/>
    <n v="18"/>
    <n v="978.29"/>
    <n v="1690485.1199999999"/>
    <n v="1618"/>
    <n v="1728"/>
    <x v="0"/>
    <x v="1"/>
    <x v="12"/>
    <x v="0"/>
    <x v="0"/>
    <x v="0"/>
  </r>
  <r>
    <x v="322"/>
    <s v="21301 LOC 350"/>
    <s v="22300 LOC 350"/>
    <s v="KM - 5 - ZIPAQUIRA - KM - 5"/>
    <n v="96"/>
    <n v="18"/>
    <n v="978.29"/>
    <n v="1690485.1199999999"/>
    <n v="1566"/>
    <n v="1728"/>
    <x v="0"/>
    <x v="1"/>
    <x v="12"/>
    <x v="0"/>
    <x v="0"/>
    <x v="0"/>
  </r>
  <r>
    <x v="323"/>
    <s v="21301 LOC 723"/>
    <s v="22300 LOC 723"/>
    <s v="KM - 5 - ZIPAQUIRA - KM - 5"/>
    <n v="96"/>
    <n v="18"/>
    <n v="978.29"/>
    <n v="1690485.1199999999"/>
    <n v="1580"/>
    <n v="1728"/>
    <x v="0"/>
    <x v="1"/>
    <x v="12"/>
    <x v="0"/>
    <x v="0"/>
    <x v="0"/>
  </r>
  <r>
    <x v="324"/>
    <s v="21301 LOC 350"/>
    <s v="22300 LOC 350"/>
    <s v="KM - 5 - ZIPAQUIRA - KM - 5"/>
    <n v="96"/>
    <n v="18"/>
    <n v="978.29"/>
    <n v="1690485.1199999999"/>
    <n v="1556"/>
    <n v="1728"/>
    <x v="0"/>
    <x v="1"/>
    <x v="12"/>
    <x v="0"/>
    <x v="0"/>
    <x v="0"/>
  </r>
  <r>
    <x v="325"/>
    <s v="21301 AUT-1676"/>
    <s v="21300 AUT 1676"/>
    <s v="KM - 5 - LA CARO - KM - 5"/>
    <n v="58"/>
    <n v="4"/>
    <n v="978.29"/>
    <n v="226963.28"/>
    <n v="279"/>
    <n v="232"/>
    <x v="0"/>
    <x v="1"/>
    <x v="12"/>
    <x v="1"/>
    <x v="1"/>
    <x v="0"/>
  </r>
  <r>
    <x v="326"/>
    <s v="21301 LOC 350"/>
    <s v="22300 LOC 350"/>
    <s v="KM - 5 - ZIPAQUIRA - KM - 5"/>
    <n v="96"/>
    <n v="17"/>
    <n v="978.29"/>
    <n v="1596569.28"/>
    <n v="1504"/>
    <n v="1632"/>
    <x v="0"/>
    <x v="1"/>
    <x v="12"/>
    <x v="0"/>
    <x v="0"/>
    <x v="0"/>
  </r>
  <r>
    <x v="327"/>
    <s v="21301 LOC 752"/>
    <s v="22300 LOC 752"/>
    <s v="KM - 5 - ZIPAQUIRA - KM - 5"/>
    <n v="96"/>
    <n v="16"/>
    <n v="978.29"/>
    <n v="1502653.4399999999"/>
    <n v="1260"/>
    <n v="1536"/>
    <x v="0"/>
    <x v="1"/>
    <x v="12"/>
    <x v="0"/>
    <x v="0"/>
    <x v="0"/>
  </r>
  <r>
    <x v="328"/>
    <s v="21301 AUT-1676"/>
    <s v="21300 AUT 1676"/>
    <s v="KM - 5 - LA CARO - KM - 5"/>
    <n v="58"/>
    <n v="4"/>
    <n v="978.29"/>
    <n v="226963.28"/>
    <n v="183"/>
    <n v="232"/>
    <x v="0"/>
    <x v="1"/>
    <x v="12"/>
    <x v="1"/>
    <x v="1"/>
    <x v="0"/>
  </r>
  <r>
    <x v="328"/>
    <s v="21303 LOC 752"/>
    <s v="22300 LOC 752"/>
    <s v="KM - 5 - PK - 43 UNI MIL-KM-5"/>
    <n v="76"/>
    <n v="9"/>
    <n v="978.29"/>
    <n v="669150.36"/>
    <n v="1291"/>
    <n v="684"/>
    <x v="0"/>
    <x v="1"/>
    <x v="12"/>
    <x v="2"/>
    <x v="1"/>
    <x v="0"/>
  </r>
  <r>
    <x v="329"/>
    <s v="21301 AUT-1676"/>
    <s v="21300 AUT 1676"/>
    <s v="KM - 5 - LA CARO - KM - 5"/>
    <n v="58"/>
    <n v="4"/>
    <n v="978.29"/>
    <n v="226963.28"/>
    <n v="239"/>
    <n v="232"/>
    <x v="0"/>
    <x v="1"/>
    <x v="12"/>
    <x v="1"/>
    <x v="1"/>
    <x v="0"/>
  </r>
  <r>
    <x v="329"/>
    <s v="21303 LOC 711"/>
    <s v="22300 LOC 711"/>
    <s v="KM - 5 - PK - 43 UNI MIL-KM-5"/>
    <n v="76"/>
    <n v="9"/>
    <n v="978.29"/>
    <n v="669150.36"/>
    <n v="1109"/>
    <n v="684"/>
    <x v="0"/>
    <x v="1"/>
    <x v="12"/>
    <x v="2"/>
    <x v="1"/>
    <x v="0"/>
  </r>
  <r>
    <x v="330"/>
    <s v="21301 AUT-1696"/>
    <s v="21300 AUT 1696"/>
    <s v="KM - 5 - LA CARO - KM - 5"/>
    <n v="58"/>
    <n v="4"/>
    <n v="978.29"/>
    <n v="226963.28"/>
    <n v="224"/>
    <n v="232"/>
    <x v="0"/>
    <x v="1"/>
    <x v="12"/>
    <x v="1"/>
    <x v="1"/>
    <x v="0"/>
  </r>
  <r>
    <x v="330"/>
    <s v="21303 LOC 711"/>
    <s v="22300 LOC 711"/>
    <s v="KM - 5 - PK - 43 UNI MIL-KM-5"/>
    <n v="76"/>
    <n v="9"/>
    <n v="978.29"/>
    <n v="669150.36"/>
    <n v="978"/>
    <n v="684"/>
    <x v="0"/>
    <x v="1"/>
    <x v="12"/>
    <x v="2"/>
    <x v="1"/>
    <x v="0"/>
  </r>
  <r>
    <x v="331"/>
    <s v="21301 AUT-1696"/>
    <s v="21300 AUT 1696"/>
    <s v="KM - 5 - LA CARO - KM - 5"/>
    <n v="58"/>
    <n v="4"/>
    <n v="978.29"/>
    <n v="226963.28"/>
    <n v="212"/>
    <n v="232"/>
    <x v="0"/>
    <x v="1"/>
    <x v="12"/>
    <x v="1"/>
    <x v="1"/>
    <x v="0"/>
  </r>
  <r>
    <x v="331"/>
    <s v="21303 LOC 752"/>
    <s v="22300 LOC 752"/>
    <s v="KM - 5 - PK - 43 UNI MIL-KM-5"/>
    <n v="76"/>
    <n v="9"/>
    <n v="978.29"/>
    <n v="669150.36"/>
    <n v="984"/>
    <n v="684"/>
    <x v="0"/>
    <x v="1"/>
    <x v="12"/>
    <x v="2"/>
    <x v="1"/>
    <x v="0"/>
  </r>
  <r>
    <x v="332"/>
    <s v="21301 AUT-1696"/>
    <s v="21300 AUT 1696"/>
    <s v="KM - 5 - LA CARO - KM - 5"/>
    <n v="58"/>
    <n v="4"/>
    <n v="978.29"/>
    <n v="226963.28"/>
    <n v="159"/>
    <n v="232"/>
    <x v="0"/>
    <x v="1"/>
    <x v="12"/>
    <x v="1"/>
    <x v="1"/>
    <x v="0"/>
  </r>
  <r>
    <x v="332"/>
    <s v="21303 LOC 752"/>
    <s v="22300 LOC 752"/>
    <s v="KM - 5 - PK - 43 UNI MIL-KM-5"/>
    <n v="76"/>
    <n v="9"/>
    <n v="978.29"/>
    <n v="669150.36"/>
    <n v="1192"/>
    <n v="684"/>
    <x v="0"/>
    <x v="1"/>
    <x v="12"/>
    <x v="2"/>
    <x v="1"/>
    <x v="0"/>
  </r>
  <r>
    <x v="333"/>
    <s v="21301 AUT - 1676"/>
    <s v="2330 AUT - 1676"/>
    <s v="KM - 5 - PK - 43 UNI MIL-KM-5"/>
    <n v="76"/>
    <n v="3"/>
    <n v="978.29"/>
    <n v="223050.12"/>
    <n v="375"/>
    <n v="228"/>
    <x v="0"/>
    <x v="1"/>
    <x v="12"/>
    <x v="2"/>
    <x v="1"/>
    <x v="0"/>
  </r>
  <r>
    <x v="333"/>
    <s v="21303 LOC 752"/>
    <s v="22302 LOC 752"/>
    <s v="KM - 5 - ZIPAQUIRA - KM - 5"/>
    <n v="96"/>
    <n v="14"/>
    <n v="978.29"/>
    <n v="1314821.76"/>
    <n v="1022"/>
    <n v="1344"/>
    <x v="0"/>
    <x v="1"/>
    <x v="12"/>
    <x v="0"/>
    <x v="0"/>
    <x v="0"/>
  </r>
  <r>
    <x v="334"/>
    <s v="21301 LOC 752"/>
    <s v="22300 LOC 752"/>
    <s v="KM - 5 - ZIPAQUIRA - KM - 5"/>
    <n v="96"/>
    <n v="15"/>
    <n v="978.29"/>
    <n v="1408737.5999999999"/>
    <n v="1206"/>
    <n v="1440"/>
    <x v="0"/>
    <x v="1"/>
    <x v="12"/>
    <x v="0"/>
    <x v="0"/>
    <x v="0"/>
  </r>
  <r>
    <x v="335"/>
    <s v="21301 AUT-1676"/>
    <s v="21300 AUT 1676"/>
    <s v="KM - 5 - LA CARO - KM - 5"/>
    <n v="58"/>
    <n v="4"/>
    <n v="978.29"/>
    <n v="226963.28"/>
    <n v="180"/>
    <n v="232"/>
    <x v="0"/>
    <x v="1"/>
    <x v="12"/>
    <x v="1"/>
    <x v="1"/>
    <x v="0"/>
  </r>
  <r>
    <x v="335"/>
    <s v="21303 LOC 752"/>
    <s v="22300 LOC 752"/>
    <s v="KM - 5 - PK - 43 UNI MIL-KM-5"/>
    <n v="76"/>
    <n v="9"/>
    <n v="978.29"/>
    <n v="669150.36"/>
    <n v="1389"/>
    <n v="684"/>
    <x v="0"/>
    <x v="1"/>
    <x v="12"/>
    <x v="2"/>
    <x v="1"/>
    <x v="0"/>
  </r>
  <r>
    <x v="336"/>
    <s v="21301 AUT-1676"/>
    <s v="21302 AUT 1676"/>
    <s v="KM - 5 - LA CARO - KM - 5"/>
    <n v="58"/>
    <n v="4"/>
    <n v="978.29"/>
    <n v="226963.28"/>
    <n v="224"/>
    <n v="232"/>
    <x v="0"/>
    <x v="1"/>
    <x v="12"/>
    <x v="1"/>
    <x v="1"/>
    <x v="0"/>
  </r>
  <r>
    <x v="336"/>
    <s v="21303 LOC 350"/>
    <s v="22300 LOC 350"/>
    <s v="KM - 5 - PK - 43 UNI MIL-KM-5"/>
    <n v="76"/>
    <n v="9"/>
    <n v="978.29"/>
    <n v="669150.36"/>
    <n v="1174"/>
    <n v="684"/>
    <x v="0"/>
    <x v="1"/>
    <x v="12"/>
    <x v="2"/>
    <x v="1"/>
    <x v="0"/>
  </r>
  <r>
    <x v="336"/>
    <s v="21305 AUT 1696"/>
    <s v="21300 AUT 1696"/>
    <s v="KM - 5 - LA CARO - KM - 5"/>
    <n v="58"/>
    <n v="4"/>
    <n v="978.29"/>
    <n v="226963.28"/>
    <n v="513"/>
    <n v="232"/>
    <x v="0"/>
    <x v="1"/>
    <x v="12"/>
    <x v="3"/>
    <x v="1"/>
    <x v="0"/>
  </r>
  <r>
    <x v="337"/>
    <s v="21301 AUT-1676"/>
    <s v="21302 AUT 1676"/>
    <s v="KM - 5 - LA CARO - KM - 5"/>
    <n v="58"/>
    <n v="4"/>
    <n v="978.29"/>
    <n v="226963.28"/>
    <n v="235"/>
    <n v="232"/>
    <x v="0"/>
    <x v="1"/>
    <x v="12"/>
    <x v="1"/>
    <x v="1"/>
    <x v="0"/>
  </r>
  <r>
    <x v="337"/>
    <s v="21303 LOC 350"/>
    <s v="22300 LOC 350"/>
    <s v="KM - 5 - PK - 43 UNI MIL-KM-5"/>
    <n v="76"/>
    <n v="9"/>
    <n v="978.29"/>
    <n v="669150.36"/>
    <n v="946"/>
    <n v="684"/>
    <x v="0"/>
    <x v="1"/>
    <x v="12"/>
    <x v="2"/>
    <x v="1"/>
    <x v="0"/>
  </r>
  <r>
    <x v="337"/>
    <s v="21305 LOC 752"/>
    <s v="21300 LOC 752"/>
    <s v="KM - 5 - LA CARO - KM - 5"/>
    <n v="58"/>
    <n v="6"/>
    <n v="978.29"/>
    <n v="340444.92"/>
    <n v="933"/>
    <n v="348"/>
    <x v="0"/>
    <x v="1"/>
    <x v="12"/>
    <x v="3"/>
    <x v="1"/>
    <x v="0"/>
  </r>
  <r>
    <x v="338"/>
    <s v="21301 AUT-1676"/>
    <s v="21302 AUT 1676"/>
    <s v="KM - 5 - LA CARO - KM - 5"/>
    <n v="58"/>
    <n v="4"/>
    <n v="978.29"/>
    <n v="226963.28"/>
    <n v="224"/>
    <n v="232"/>
    <x v="0"/>
    <x v="1"/>
    <x v="12"/>
    <x v="1"/>
    <x v="1"/>
    <x v="0"/>
  </r>
  <r>
    <x v="338"/>
    <s v="21303 LOC 350"/>
    <s v="22302 LOC 350"/>
    <s v="KM - 5 - PK - 43 UNI MIL-KM-5"/>
    <n v="76"/>
    <n v="9"/>
    <n v="978.29"/>
    <n v="669150.36"/>
    <n v="1006"/>
    <n v="684"/>
    <x v="0"/>
    <x v="1"/>
    <x v="12"/>
    <x v="2"/>
    <x v="1"/>
    <x v="0"/>
  </r>
  <r>
    <x v="338"/>
    <s v="21305 LOC 752"/>
    <s v="21300 LOC 752"/>
    <s v="KM - 5 - LA CARO - KM - 5"/>
    <n v="58"/>
    <n v="4"/>
    <n v="978.29"/>
    <n v="226963.28"/>
    <n v="546"/>
    <n v="232"/>
    <x v="0"/>
    <x v="1"/>
    <x v="12"/>
    <x v="3"/>
    <x v="1"/>
    <x v="0"/>
  </r>
  <r>
    <x v="338"/>
    <s v="21307 AUT 1696"/>
    <s v="22300 AUT - 1696"/>
    <s v="KM - 5 - ZIPAQUIRA - KM - 5"/>
    <n v="96"/>
    <n v="3"/>
    <n v="978.29"/>
    <n v="281747.52"/>
    <n v="116"/>
    <n v="288"/>
    <x v="0"/>
    <x v="1"/>
    <x v="12"/>
    <x v="0"/>
    <x v="0"/>
    <x v="0"/>
  </r>
  <r>
    <x v="339"/>
    <s v="21301 AUT-1696"/>
    <s v="21302 AUT 1696"/>
    <s v="KM - 5 - LA CARO - KM - 5"/>
    <n v="58"/>
    <n v="4"/>
    <n v="978.29"/>
    <n v="226963.28"/>
    <n v="165"/>
    <n v="232"/>
    <x v="0"/>
    <x v="1"/>
    <x v="12"/>
    <x v="1"/>
    <x v="1"/>
    <x v="0"/>
  </r>
  <r>
    <x v="339"/>
    <s v="21303 LOC 350"/>
    <s v="22302 LOC 350"/>
    <s v="KM - 5 - PK - 43 UNI MIL-KM-5"/>
    <n v="76"/>
    <n v="9"/>
    <n v="978.29"/>
    <n v="669150.36"/>
    <n v="1377"/>
    <n v="684"/>
    <x v="0"/>
    <x v="1"/>
    <x v="12"/>
    <x v="2"/>
    <x v="1"/>
    <x v="0"/>
  </r>
  <r>
    <x v="339"/>
    <s v="21305 LOC 752"/>
    <s v="21300 LOC 752"/>
    <s v="KM - 5 - LA CARO - KM - 5"/>
    <n v="58"/>
    <n v="5"/>
    <n v="978.29"/>
    <n v="283704.09999999998"/>
    <n v="835"/>
    <n v="290"/>
    <x v="0"/>
    <x v="1"/>
    <x v="12"/>
    <x v="3"/>
    <x v="1"/>
    <x v="0"/>
  </r>
  <r>
    <x v="340"/>
    <s v="21301 AUT 1696"/>
    <s v="22300 AUT 1696"/>
    <s v="KM - 5 - PK - 43 UNI MIL-KM-5"/>
    <n v="76"/>
    <n v="3"/>
    <n v="978.29"/>
    <n v="223050.12"/>
    <n v="472"/>
    <n v="228"/>
    <x v="1"/>
    <x v="1"/>
    <x v="13"/>
    <x v="2"/>
    <x v="1"/>
    <x v="0"/>
  </r>
  <r>
    <x v="340"/>
    <s v="21303 LOC 723"/>
    <s v="22302 LOC 723"/>
    <s v="KM - 5 - ZIPAQUIRA - KM - 5"/>
    <n v="96"/>
    <n v="12"/>
    <n v="978.29"/>
    <n v="1126990.08"/>
    <n v="804"/>
    <n v="1152"/>
    <x v="1"/>
    <x v="1"/>
    <x v="13"/>
    <x v="0"/>
    <x v="0"/>
    <x v="0"/>
  </r>
  <r>
    <x v="341"/>
    <s v="21301 LOC 350"/>
    <s v="22302 LOC 350"/>
    <s v="KM - 5 - ZIPAQUIRA - KM - 5"/>
    <n v="96"/>
    <n v="14"/>
    <n v="978.29"/>
    <n v="1314821.76"/>
    <n v="1192"/>
    <n v="1344"/>
    <x v="1"/>
    <x v="1"/>
    <x v="13"/>
    <x v="0"/>
    <x v="0"/>
    <x v="0"/>
  </r>
  <r>
    <x v="342"/>
    <s v="21301 AUT-1676"/>
    <s v="21300 AUT 1676"/>
    <s v="KM - 5 - LA CARO - KM - 5"/>
    <n v="58"/>
    <n v="4"/>
    <n v="978.29"/>
    <n v="226963.28"/>
    <n v="205"/>
    <n v="232"/>
    <x v="1"/>
    <x v="1"/>
    <x v="13"/>
    <x v="1"/>
    <x v="1"/>
    <x v="0"/>
  </r>
  <r>
    <x v="342"/>
    <s v="21303 LOC 350"/>
    <s v="22300 LOC 350"/>
    <s v="KM - 5 - PK - 43 UNI MIL-KM-5"/>
    <n v="76"/>
    <n v="9"/>
    <n v="978.29"/>
    <n v="669150.36"/>
    <n v="1499"/>
    <n v="684"/>
    <x v="1"/>
    <x v="1"/>
    <x v="13"/>
    <x v="2"/>
    <x v="1"/>
    <x v="0"/>
  </r>
  <r>
    <x v="343"/>
    <s v="21301 AUT-1676"/>
    <s v="21302 AUT 1676"/>
    <s v="KM - 5 - LA CARO - KM - 5"/>
    <n v="58"/>
    <n v="4"/>
    <n v="978.29"/>
    <n v="226963.28"/>
    <n v="253"/>
    <n v="232"/>
    <x v="1"/>
    <x v="1"/>
    <x v="13"/>
    <x v="1"/>
    <x v="1"/>
    <x v="0"/>
  </r>
  <r>
    <x v="343"/>
    <s v="21303 LOC 752"/>
    <s v="22302 LOC 752"/>
    <s v="KM - 5 - PK - 43 UNI MIL-KM-5"/>
    <n v="76"/>
    <n v="9"/>
    <n v="978.29"/>
    <n v="669150.36"/>
    <n v="1204"/>
    <n v="684"/>
    <x v="1"/>
    <x v="1"/>
    <x v="13"/>
    <x v="2"/>
    <x v="1"/>
    <x v="0"/>
  </r>
  <r>
    <x v="343"/>
    <s v="21305 AUT - 1696"/>
    <s v="21300 AUT - 1696"/>
    <s v="KM - 5 - LA CARO - KM - 5"/>
    <n v="58"/>
    <n v="4"/>
    <n v="978.29"/>
    <n v="226963.28"/>
    <n v="512"/>
    <n v="232"/>
    <x v="1"/>
    <x v="1"/>
    <x v="13"/>
    <x v="3"/>
    <x v="1"/>
    <x v="0"/>
  </r>
  <r>
    <x v="344"/>
    <s v="21301 AUT-1676"/>
    <s v="21302 AUT 1676"/>
    <s v="KM - 5 - LA CARO - KM - 5"/>
    <n v="58"/>
    <n v="4"/>
    <n v="978.29"/>
    <n v="226963.28"/>
    <n v="214"/>
    <n v="232"/>
    <x v="1"/>
    <x v="1"/>
    <x v="13"/>
    <x v="1"/>
    <x v="1"/>
    <x v="0"/>
  </r>
  <r>
    <x v="344"/>
    <s v="21303 LOC 752"/>
    <s v="22302 LOC 752"/>
    <s v="KM - 5 - PK - 43 UNI MIL-KM-5"/>
    <n v="76"/>
    <n v="9"/>
    <n v="978.29"/>
    <n v="669150.36"/>
    <n v="1106"/>
    <n v="684"/>
    <x v="1"/>
    <x v="1"/>
    <x v="13"/>
    <x v="2"/>
    <x v="1"/>
    <x v="0"/>
  </r>
  <r>
    <x v="344"/>
    <s v="21305 LOC 350"/>
    <s v="21300 LOC 350"/>
    <s v="KM - 5 - LA CARO - KM - 5"/>
    <n v="58"/>
    <n v="6"/>
    <n v="978.29"/>
    <n v="340444.92"/>
    <n v="959"/>
    <n v="348"/>
    <x v="1"/>
    <x v="1"/>
    <x v="13"/>
    <x v="3"/>
    <x v="1"/>
    <x v="0"/>
  </r>
  <r>
    <x v="345"/>
    <s v="21301 AUT-1696"/>
    <s v="21302 AUT 1696"/>
    <s v="KM - 5 - LA CARO - KM - 5"/>
    <n v="58"/>
    <n v="4"/>
    <n v="978.29"/>
    <n v="226963.28"/>
    <n v="271"/>
    <n v="232"/>
    <x v="1"/>
    <x v="1"/>
    <x v="13"/>
    <x v="1"/>
    <x v="1"/>
    <x v="0"/>
  </r>
  <r>
    <x v="345"/>
    <s v="21303 LOC 752"/>
    <s v="22302 LOC 752"/>
    <s v="KM - 5 - PK - 43 UNI MIL-KM-5"/>
    <n v="76"/>
    <n v="9"/>
    <n v="978.29"/>
    <n v="669150.36"/>
    <n v="945"/>
    <n v="684"/>
    <x v="1"/>
    <x v="1"/>
    <x v="13"/>
    <x v="2"/>
    <x v="1"/>
    <x v="0"/>
  </r>
  <r>
    <x v="345"/>
    <s v="21305 LOC 350"/>
    <s v="21300 LOC 350"/>
    <s v="KM - 5 - ZIPAQUIRA - KM - 5"/>
    <n v="96"/>
    <n v="6"/>
    <n v="978.29"/>
    <n v="563495.04"/>
    <n v="221"/>
    <n v="576"/>
    <x v="1"/>
    <x v="1"/>
    <x v="13"/>
    <x v="0"/>
    <x v="0"/>
    <x v="0"/>
  </r>
  <r>
    <x v="346"/>
    <s v="21301 AUT-1696"/>
    <s v="21302 AUT 1696"/>
    <s v="KM - 5 - LA CARO - KM - 5"/>
    <n v="58"/>
    <n v="4"/>
    <n v="978.29"/>
    <n v="226963.28"/>
    <n v="165"/>
    <n v="232"/>
    <x v="1"/>
    <x v="1"/>
    <x v="13"/>
    <x v="1"/>
    <x v="1"/>
    <x v="0"/>
  </r>
  <r>
    <x v="346"/>
    <s v="21303 LOC 752"/>
    <s v="22302 LOC 752"/>
    <s v="KM - 5 - PK - 43 UNI MIL-KM-5"/>
    <n v="76"/>
    <n v="9"/>
    <n v="978.29"/>
    <n v="669150.36"/>
    <n v="1328"/>
    <n v="684"/>
    <x v="1"/>
    <x v="1"/>
    <x v="13"/>
    <x v="2"/>
    <x v="1"/>
    <x v="0"/>
  </r>
  <r>
    <x v="346"/>
    <s v="21305 LOC 711"/>
    <s v="21300 LOC 711"/>
    <s v="KM - 5 - LA CARO - KM - 5"/>
    <n v="58"/>
    <n v="6"/>
    <n v="978.29"/>
    <n v="340444.92"/>
    <n v="874"/>
    <n v="348"/>
    <x v="1"/>
    <x v="1"/>
    <x v="13"/>
    <x v="3"/>
    <x v="1"/>
    <x v="0"/>
  </r>
  <r>
    <x v="347"/>
    <s v="21301 AUT 1696"/>
    <s v="22300 AUT 1696"/>
    <s v="KM - 5 - PK - 43 UNI MIL-KM-5"/>
    <n v="76"/>
    <n v="3"/>
    <n v="978.29"/>
    <n v="223050.12"/>
    <n v="391"/>
    <n v="228"/>
    <x v="1"/>
    <x v="1"/>
    <x v="13"/>
    <x v="2"/>
    <x v="1"/>
    <x v="0"/>
  </r>
  <r>
    <x v="347"/>
    <s v="21303 LOC 723"/>
    <s v="22302 LOC 723"/>
    <s v="KM - 5 - ZIPAQUIRA - KM - 5"/>
    <n v="96"/>
    <n v="10"/>
    <n v="978.29"/>
    <n v="939158.39999999991"/>
    <n v="696"/>
    <n v="960"/>
    <x v="1"/>
    <x v="1"/>
    <x v="13"/>
    <x v="0"/>
    <x v="0"/>
    <x v="0"/>
  </r>
  <r>
    <x v="348"/>
    <s v="21301 LOC 723"/>
    <s v="22300 LOC 723"/>
    <s v="KM - 5 - ZIPAQUIRA - KM - 5"/>
    <n v="96"/>
    <n v="13"/>
    <n v="978.29"/>
    <n v="1220905.92"/>
    <n v="930"/>
    <n v="1248"/>
    <x v="1"/>
    <x v="1"/>
    <x v="13"/>
    <x v="0"/>
    <x v="0"/>
    <x v="0"/>
  </r>
  <r>
    <x v="349"/>
    <s v="21301 AUT 1676"/>
    <s v="21300 AUT 1676"/>
    <s v="KM - 5 - LA CARO - KM - 5"/>
    <n v="58"/>
    <n v="4"/>
    <n v="978.29"/>
    <n v="226963.28"/>
    <n v="185"/>
    <n v="232"/>
    <x v="1"/>
    <x v="1"/>
    <x v="13"/>
    <x v="1"/>
    <x v="1"/>
    <x v="0"/>
  </r>
  <r>
    <x v="349"/>
    <s v="21303 LOC 711"/>
    <s v="22300 LOC 711"/>
    <s v="KM - 5 - PK - 43 UNI MIL-KM-5"/>
    <n v="76"/>
    <n v="9"/>
    <n v="978.29"/>
    <n v="669150.36"/>
    <n v="1379"/>
    <n v="684"/>
    <x v="1"/>
    <x v="1"/>
    <x v="13"/>
    <x v="2"/>
    <x v="1"/>
    <x v="0"/>
  </r>
  <r>
    <x v="350"/>
    <s v="21301 aut 1676"/>
    <s v="21302 aut 1676"/>
    <s v="KM - 5 - LA CARO - KM - 5"/>
    <n v="58"/>
    <n v="4"/>
    <n v="978.29"/>
    <n v="226963.28"/>
    <n v="232"/>
    <n v="232"/>
    <x v="1"/>
    <x v="1"/>
    <x v="13"/>
    <x v="1"/>
    <x v="1"/>
    <x v="0"/>
  </r>
  <r>
    <x v="350"/>
    <s v="21303 loc 711"/>
    <s v="22300 loc 711"/>
    <s v="KM - 5 - PK - 43 UNI MIL-KM-5"/>
    <n v="76"/>
    <n v="9"/>
    <n v="978.29"/>
    <n v="669150.36"/>
    <n v="1189"/>
    <n v="684"/>
    <x v="1"/>
    <x v="1"/>
    <x v="13"/>
    <x v="2"/>
    <x v="1"/>
    <x v="0"/>
  </r>
  <r>
    <x v="350"/>
    <s v="21303 aut 1696"/>
    <s v="21300 aut 1696"/>
    <s v="KM - 5 - LA CARO - KM - 5"/>
    <n v="58"/>
    <n v="4"/>
    <n v="978.29"/>
    <n v="226963.28"/>
    <n v="532"/>
    <n v="232"/>
    <x v="1"/>
    <x v="1"/>
    <x v="13"/>
    <x v="3"/>
    <x v="1"/>
    <x v="0"/>
  </r>
  <r>
    <x v="351"/>
    <s v="21301 AUT 1676"/>
    <s v="21302 AUT 1676"/>
    <s v="KM - 5 - LA CARO - KM - 5"/>
    <n v="58"/>
    <n v="4"/>
    <n v="978.29"/>
    <n v="226963.28"/>
    <n v="212"/>
    <n v="232"/>
    <x v="1"/>
    <x v="1"/>
    <x v="13"/>
    <x v="1"/>
    <x v="1"/>
    <x v="0"/>
  </r>
  <r>
    <x v="351"/>
    <s v="21303 LOC 711"/>
    <s v="22300 LOC 711"/>
    <s v="KM - 5 - PK - 43 UNI MIL-KM-5"/>
    <n v="76"/>
    <n v="9"/>
    <n v="978.29"/>
    <n v="669150.36"/>
    <n v="1092"/>
    <n v="684"/>
    <x v="1"/>
    <x v="1"/>
    <x v="13"/>
    <x v="2"/>
    <x v="1"/>
    <x v="0"/>
  </r>
  <r>
    <x v="351"/>
    <s v="21303 LOC 752"/>
    <s v="21300 LOC 752"/>
    <s v="KM - 5 - LA CARO - KM - 5"/>
    <n v="58"/>
    <n v="7"/>
    <n v="978.29"/>
    <n v="397185.74"/>
    <n v="937"/>
    <n v="406"/>
    <x v="1"/>
    <x v="1"/>
    <x v="13"/>
    <x v="3"/>
    <x v="1"/>
    <x v="0"/>
  </r>
  <r>
    <x v="352"/>
    <s v="21301 AUT 1676"/>
    <s v="22300 AUT 1676"/>
    <s v="KM - 5 - PK - 43 UNI MIL-KM-5"/>
    <n v="76"/>
    <n v="3"/>
    <n v="978.29"/>
    <n v="223050.12"/>
    <n v="400"/>
    <n v="228"/>
    <x v="1"/>
    <x v="1"/>
    <x v="13"/>
    <x v="2"/>
    <x v="1"/>
    <x v="0"/>
  </r>
  <r>
    <x v="352"/>
    <s v="21303 LOC 711"/>
    <s v="22302 LOC 711"/>
    <s v="KM - 5 - ZIPAQUIRA - KM - 5"/>
    <n v="96"/>
    <n v="14"/>
    <n v="978.29"/>
    <n v="1314821.76"/>
    <n v="898"/>
    <n v="1344"/>
    <x v="1"/>
    <x v="1"/>
    <x v="13"/>
    <x v="0"/>
    <x v="0"/>
    <x v="0"/>
  </r>
  <r>
    <x v="353"/>
    <s v="21301 AUT 1696"/>
    <s v="21300 AUT 1696"/>
    <s v="KM - 5 - LA CARO - KM - 5"/>
    <n v="58"/>
    <n v="4"/>
    <n v="978.29"/>
    <n v="226963.28"/>
    <n v="183"/>
    <n v="232"/>
    <x v="1"/>
    <x v="1"/>
    <x v="13"/>
    <x v="1"/>
    <x v="1"/>
    <x v="0"/>
  </r>
  <r>
    <x v="353"/>
    <s v="21303 LOC 752"/>
    <s v="22300 LOC 752"/>
    <s v="KM - 5 - PK - 43 UNI MIL-KM-5"/>
    <n v="76"/>
    <n v="9"/>
    <n v="978.29"/>
    <n v="669150.36"/>
    <n v="1361"/>
    <n v="684"/>
    <x v="1"/>
    <x v="1"/>
    <x v="13"/>
    <x v="2"/>
    <x v="1"/>
    <x v="0"/>
  </r>
  <r>
    <x v="354"/>
    <s v="21301 AUT 1696"/>
    <s v="21302 AUT 1696"/>
    <s v="KM - 5 - LA CARO - KM - 5"/>
    <n v="58"/>
    <n v="4"/>
    <n v="978.29"/>
    <n v="226963.28"/>
    <n v="339"/>
    <n v="232"/>
    <x v="1"/>
    <x v="1"/>
    <x v="13"/>
    <x v="1"/>
    <x v="1"/>
    <x v="0"/>
  </r>
  <r>
    <x v="354"/>
    <s v="21303 LOC 350"/>
    <s v="22300 LOC 350"/>
    <s v="KM - 5 - PK - 43 UNI MIL-KM-5"/>
    <n v="76"/>
    <n v="9"/>
    <n v="978.29"/>
    <n v="669150.36"/>
    <n v="1182"/>
    <n v="684"/>
    <x v="1"/>
    <x v="1"/>
    <x v="13"/>
    <x v="2"/>
    <x v="1"/>
    <x v="0"/>
  </r>
  <r>
    <x v="354"/>
    <s v="21305 AUT 1676"/>
    <s v="21300 AUT 1676"/>
    <s v="KM - 5 - LA CARO - KM - 5"/>
    <n v="58"/>
    <n v="4"/>
    <n v="978.29"/>
    <n v="226963.28"/>
    <n v="510"/>
    <n v="232"/>
    <x v="1"/>
    <x v="1"/>
    <x v="13"/>
    <x v="3"/>
    <x v="1"/>
    <x v="0"/>
  </r>
  <r>
    <x v="355"/>
    <s v="21301 AUT 1696"/>
    <s v="21302 AUT 1696"/>
    <s v="KM - 5 - LA CARO - KM - 5"/>
    <n v="58"/>
    <n v="4"/>
    <n v="978.29"/>
    <n v="226963.28"/>
    <n v="235"/>
    <n v="232"/>
    <x v="1"/>
    <x v="1"/>
    <x v="13"/>
    <x v="1"/>
    <x v="1"/>
    <x v="0"/>
  </r>
  <r>
    <x v="355"/>
    <s v="21303 LOC 752"/>
    <s v="22300 LOC 752"/>
    <s v="KM - 5 - PK - 43 UNI MIL-KM-5"/>
    <n v="76"/>
    <n v="9"/>
    <n v="978.29"/>
    <n v="669150.36"/>
    <n v="1080"/>
    <n v="684"/>
    <x v="1"/>
    <x v="1"/>
    <x v="13"/>
    <x v="2"/>
    <x v="1"/>
    <x v="0"/>
  </r>
  <r>
    <x v="355"/>
    <s v="21305 LOC 350"/>
    <s v="21300 LOC 350"/>
    <s v="KM - 5 - LA CARO - KM - 5"/>
    <n v="58"/>
    <n v="7"/>
    <n v="978.29"/>
    <n v="397185.74"/>
    <n v="939"/>
    <n v="406"/>
    <x v="1"/>
    <x v="1"/>
    <x v="13"/>
    <x v="3"/>
    <x v="1"/>
    <x v="0"/>
  </r>
  <r>
    <x v="356"/>
    <s v="21301 AUT 1696"/>
    <s v="21302 AUT 1696"/>
    <s v="KM - 5 - LA CARO - KM - 5"/>
    <n v="58"/>
    <n v="4"/>
    <n v="978.29"/>
    <n v="226963.28"/>
    <n v="236"/>
    <n v="232"/>
    <x v="1"/>
    <x v="1"/>
    <x v="13"/>
    <x v="1"/>
    <x v="1"/>
    <x v="0"/>
  </r>
  <r>
    <x v="356"/>
    <s v="21303 LOC 752"/>
    <s v="22300 LOC 752"/>
    <s v="KM - 5 - PK - 43 UNI MIL-KM-5"/>
    <n v="76"/>
    <n v="9"/>
    <n v="978.29"/>
    <n v="669150.36"/>
    <n v="1077"/>
    <n v="684"/>
    <x v="1"/>
    <x v="1"/>
    <x v="13"/>
    <x v="2"/>
    <x v="1"/>
    <x v="0"/>
  </r>
  <r>
    <x v="356"/>
    <s v="21305 AUT 1676"/>
    <s v="21300 AUT 1676"/>
    <s v="KM - 5 - LA CARO - KM - 5"/>
    <n v="58"/>
    <n v="4"/>
    <n v="978.29"/>
    <n v="226963.28"/>
    <n v="493"/>
    <n v="232"/>
    <x v="1"/>
    <x v="1"/>
    <x v="13"/>
    <x v="3"/>
    <x v="1"/>
    <x v="0"/>
  </r>
  <r>
    <x v="357"/>
    <s v="21301 AUT 1676"/>
    <s v="21302 AUT 1676"/>
    <s v="KM - 5 - LA CARO - KM - 5"/>
    <n v="58"/>
    <n v="4"/>
    <n v="978.29"/>
    <n v="226963.28"/>
    <n v="202"/>
    <n v="232"/>
    <x v="1"/>
    <x v="1"/>
    <x v="13"/>
    <x v="1"/>
    <x v="1"/>
    <x v="0"/>
  </r>
  <r>
    <x v="357"/>
    <s v="21303 LOC 752"/>
    <s v="22300 LOC 752"/>
    <s v="KM - 5 - PK - 43 UNI MIL-KM-5"/>
    <n v="76"/>
    <n v="9"/>
    <n v="978.29"/>
    <n v="669150.36"/>
    <n v="1349"/>
    <n v="684"/>
    <x v="1"/>
    <x v="1"/>
    <x v="13"/>
    <x v="2"/>
    <x v="1"/>
    <x v="0"/>
  </r>
  <r>
    <x v="357"/>
    <s v="21305 LOC 350"/>
    <s v="21300 LOC 350"/>
    <s v="KM - 5 - LA CARO - KM - 5"/>
    <n v="58"/>
    <n v="7"/>
    <n v="978.29"/>
    <n v="397185.74"/>
    <n v="900"/>
    <n v="406"/>
    <x v="1"/>
    <x v="1"/>
    <x v="13"/>
    <x v="3"/>
    <x v="1"/>
    <x v="0"/>
  </r>
  <r>
    <x v="358"/>
    <s v="21301 AUT 1696"/>
    <s v="22300 AUT 1696"/>
    <s v="KM - 5 - PK - 43 UNI MIL-KM-5"/>
    <n v="76"/>
    <n v="3"/>
    <n v="978.29"/>
    <n v="223050.12"/>
    <n v="437"/>
    <n v="228"/>
    <x v="1"/>
    <x v="1"/>
    <x v="13"/>
    <x v="2"/>
    <x v="1"/>
    <x v="0"/>
  </r>
  <r>
    <x v="358"/>
    <s v="21303 LOC 723"/>
    <s v="22302 LOC 752"/>
    <s v="KM - 5 - ZIPAQUIRA - KM - 5"/>
    <n v="96"/>
    <n v="11"/>
    <n v="978.29"/>
    <n v="1033074.24"/>
    <n v="710"/>
    <n v="1056"/>
    <x v="1"/>
    <x v="1"/>
    <x v="13"/>
    <x v="0"/>
    <x v="0"/>
    <x v="0"/>
  </r>
  <r>
    <x v="359"/>
    <s v="21301 LOC 350"/>
    <s v="22300 LOC 752R350"/>
    <s v="KM - 5 - ZIPAQUIRA - KM - 5"/>
    <n v="96"/>
    <n v="12"/>
    <n v="978.29"/>
    <n v="1126990.08"/>
    <n v="784"/>
    <n v="1152"/>
    <x v="1"/>
    <x v="1"/>
    <x v="13"/>
    <x v="0"/>
    <x v="0"/>
    <x v="0"/>
  </r>
  <r>
    <x v="360"/>
    <s v="21301 AUT 1696"/>
    <s v="21300 AUT 1696"/>
    <s v="KM - 5 - LA CARO - KM - 5"/>
    <n v="58"/>
    <n v="4"/>
    <n v="978.29"/>
    <n v="226963.28"/>
    <n v="185"/>
    <n v="232"/>
    <x v="1"/>
    <x v="1"/>
    <x v="13"/>
    <x v="1"/>
    <x v="1"/>
    <x v="0"/>
  </r>
  <r>
    <x v="360"/>
    <s v="21303 LOC 752"/>
    <s v="22300 LOC 752"/>
    <s v="KM - 5 - PK - 43 UNI MIL-KM-5"/>
    <n v="76"/>
    <n v="9"/>
    <n v="978.29"/>
    <n v="669150.36"/>
    <n v="1305"/>
    <n v="684"/>
    <x v="1"/>
    <x v="1"/>
    <x v="13"/>
    <x v="2"/>
    <x v="1"/>
    <x v="0"/>
  </r>
  <r>
    <x v="361"/>
    <s v="21301 AUT 1696"/>
    <s v="21302 AUT 1696"/>
    <s v="KM - 5 - LA CARO - KM - 5"/>
    <n v="58"/>
    <n v="4"/>
    <n v="978.29"/>
    <n v="226963.28"/>
    <n v="268"/>
    <n v="232"/>
    <x v="1"/>
    <x v="1"/>
    <x v="13"/>
    <x v="1"/>
    <x v="1"/>
    <x v="0"/>
  </r>
  <r>
    <x v="361"/>
    <s v="21303 LOC 752"/>
    <s v="22300 LOC 752"/>
    <s v="KM - 5 - PK - 43 UNI MIL-KM-5"/>
    <n v="76"/>
    <n v="9"/>
    <n v="978.29"/>
    <n v="669150.36"/>
    <n v="1217"/>
    <n v="684"/>
    <x v="1"/>
    <x v="1"/>
    <x v="13"/>
    <x v="2"/>
    <x v="1"/>
    <x v="0"/>
  </r>
  <r>
    <x v="361"/>
    <s v="21305 AUT 1676"/>
    <s v="21300 AUT 1676"/>
    <s v="KM - 5 - LA CARO - KM - 5"/>
    <n v="58"/>
    <n v="4"/>
    <n v="978.29"/>
    <n v="226963.28"/>
    <n v="464"/>
    <n v="232"/>
    <x v="1"/>
    <x v="1"/>
    <x v="13"/>
    <x v="3"/>
    <x v="1"/>
    <x v="0"/>
  </r>
  <r>
    <x v="362"/>
    <s v="21301 AUT 1676"/>
    <s v="21302 AUT 1676"/>
    <s v="KM - 5 - LA CARO - KM - 5"/>
    <n v="58"/>
    <n v="4"/>
    <n v="978.29"/>
    <n v="226963.28"/>
    <n v="218"/>
    <n v="232"/>
    <x v="1"/>
    <x v="1"/>
    <x v="13"/>
    <x v="1"/>
    <x v="1"/>
    <x v="0"/>
  </r>
  <r>
    <x v="362"/>
    <s v="21303 LOC 752"/>
    <s v="22300 LOC 752"/>
    <s v="KM - 5 - PK - 43 UNI MIL-KM-5"/>
    <n v="76"/>
    <n v="10"/>
    <n v="978.29"/>
    <n v="743500.4"/>
    <n v="1045"/>
    <n v="760"/>
    <x v="1"/>
    <x v="1"/>
    <x v="13"/>
    <x v="2"/>
    <x v="1"/>
    <x v="0"/>
  </r>
  <r>
    <x v="362"/>
    <s v="21305 LOC 350"/>
    <s v="21300 LOC 350"/>
    <s v="KM - 5 - LA CARO - KM - 5"/>
    <n v="58"/>
    <n v="7"/>
    <n v="978.29"/>
    <n v="397185.74"/>
    <n v="937"/>
    <n v="406"/>
    <x v="1"/>
    <x v="1"/>
    <x v="13"/>
    <x v="3"/>
    <x v="1"/>
    <x v="0"/>
  </r>
  <r>
    <x v="363"/>
    <s v="21301 AUT 1676"/>
    <s v="21302 AUT 1676"/>
    <s v="KM - 5 - LA CARO - KM - 5"/>
    <n v="58"/>
    <n v="4"/>
    <n v="978.29"/>
    <n v="226963.28"/>
    <n v="243"/>
    <n v="232"/>
    <x v="1"/>
    <x v="1"/>
    <x v="13"/>
    <x v="1"/>
    <x v="1"/>
    <x v="0"/>
  </r>
  <r>
    <x v="363"/>
    <s v="21303 LOC 752"/>
    <s v="22300 LOC 752"/>
    <s v="KM - 5 - PK - 43 UNI MIL-KM-5"/>
    <n v="76"/>
    <n v="9"/>
    <n v="978.29"/>
    <n v="669150.36"/>
    <n v="1079"/>
    <n v="684"/>
    <x v="1"/>
    <x v="1"/>
    <x v="13"/>
    <x v="2"/>
    <x v="1"/>
    <x v="0"/>
  </r>
  <r>
    <x v="363"/>
    <s v="21305 AUT 1696"/>
    <s v="21300 AUT 1696"/>
    <s v="KM - 5 - LA CARO - KM - 5"/>
    <n v="58"/>
    <n v="4"/>
    <n v="978.29"/>
    <n v="226963.28"/>
    <n v="586"/>
    <n v="232"/>
    <x v="1"/>
    <x v="1"/>
    <x v="13"/>
    <x v="3"/>
    <x v="1"/>
    <x v="0"/>
  </r>
  <r>
    <x v="364"/>
    <s v="21301 AUT 1676"/>
    <s v="21302 AUT 1676"/>
    <s v="KM - 5 - LA CARO - KM - 5"/>
    <n v="58"/>
    <n v="3"/>
    <n v="978.29"/>
    <n v="170222.46"/>
    <n v="189"/>
    <n v="174"/>
    <x v="1"/>
    <x v="1"/>
    <x v="13"/>
    <x v="1"/>
    <x v="1"/>
    <x v="0"/>
  </r>
  <r>
    <x v="364"/>
    <s v="21303 LOC 752"/>
    <s v="22300 LOC 752"/>
    <s v="KM - 5 - PK - 43 UNI MIL-KM-5"/>
    <n v="76"/>
    <n v="9"/>
    <n v="978.29"/>
    <n v="669150.36"/>
    <n v="1294"/>
    <n v="684"/>
    <x v="1"/>
    <x v="1"/>
    <x v="13"/>
    <x v="2"/>
    <x v="1"/>
    <x v="0"/>
  </r>
  <r>
    <x v="364"/>
    <s v="21305 AUT 1696"/>
    <s v="21300 AUT 1696"/>
    <s v="KM - 5 - LA CARO - KM - 5"/>
    <n v="58"/>
    <n v="7"/>
    <n v="978.29"/>
    <n v="397185.74"/>
    <n v="597"/>
    <n v="406"/>
    <x v="1"/>
    <x v="1"/>
    <x v="13"/>
    <x v="3"/>
    <x v="1"/>
    <x v="0"/>
  </r>
  <r>
    <x v="365"/>
    <s v="21301 AUT 1696"/>
    <s v="22300 AUT 1696"/>
    <s v="KM - 5 - PK - 43 UNI MIL-KM-5"/>
    <n v="76"/>
    <n v="3"/>
    <n v="978.29"/>
    <n v="223050.12"/>
    <n v="104"/>
    <n v="228"/>
    <x v="2"/>
    <x v="1"/>
    <x v="14"/>
    <x v="2"/>
    <x v="1"/>
    <x v="0"/>
  </r>
  <r>
    <x v="365"/>
    <s v="21303 LOC 350"/>
    <s v="22302 LOC 723r350"/>
    <s v="KM - 5 - ZIPAQUIRA - KM - 5"/>
    <n v="96"/>
    <n v="12"/>
    <n v="978.29"/>
    <n v="1126990.08"/>
    <n v="854"/>
    <n v="1152"/>
    <x v="2"/>
    <x v="1"/>
    <x v="14"/>
    <x v="0"/>
    <x v="0"/>
    <x v="0"/>
  </r>
  <r>
    <x v="366"/>
    <s v="21301 LOC 350"/>
    <s v="22302 LOC 350"/>
    <s v="KM - 5 - ZIPAQUIRA - KM - 5"/>
    <n v="96"/>
    <n v="13"/>
    <n v="978.29"/>
    <n v="1220905.92"/>
    <n v="1088"/>
    <n v="1248"/>
    <x v="2"/>
    <x v="1"/>
    <x v="14"/>
    <x v="0"/>
    <x v="0"/>
    <x v="0"/>
  </r>
  <r>
    <x v="367"/>
    <s v="21301 AUT 1696"/>
    <s v="21300 AUT 1696"/>
    <s v="KM - 5 - LA CARO - KM - 5"/>
    <n v="58"/>
    <n v="4"/>
    <n v="978.29"/>
    <n v="226963.28"/>
    <n v="185"/>
    <n v="232"/>
    <x v="2"/>
    <x v="1"/>
    <x v="14"/>
    <x v="1"/>
    <x v="1"/>
    <x v="0"/>
  </r>
  <r>
    <x v="367"/>
    <s v="21303 LOC 752"/>
    <s v="22300 LOC 752"/>
    <s v="KM - 5 - PK - 43 UNI MIL-KM-5"/>
    <n v="76"/>
    <n v="9"/>
    <n v="978.29"/>
    <n v="669150.36"/>
    <n v="881"/>
    <n v="684"/>
    <x v="2"/>
    <x v="1"/>
    <x v="14"/>
    <x v="2"/>
    <x v="1"/>
    <x v="0"/>
  </r>
  <r>
    <x v="368"/>
    <s v="21301 AUT 1696"/>
    <s v="21302 AUT 1696"/>
    <s v="KM - 5 - LA CARO - KM - 5"/>
    <n v="58"/>
    <n v="4"/>
    <n v="978.29"/>
    <n v="226963.28"/>
    <n v="244"/>
    <n v="232"/>
    <x v="2"/>
    <x v="1"/>
    <x v="14"/>
    <x v="1"/>
    <x v="1"/>
    <x v="0"/>
  </r>
  <r>
    <x v="368"/>
    <s v="21303 LOC 752"/>
    <s v="22300 LOC 752"/>
    <s v="KM - 5 - PK - 43 UNI MIL-KM-5"/>
    <n v="76"/>
    <n v="9"/>
    <n v="978.29"/>
    <n v="669150.36"/>
    <n v="1125"/>
    <n v="684"/>
    <x v="2"/>
    <x v="1"/>
    <x v="14"/>
    <x v="2"/>
    <x v="1"/>
    <x v="0"/>
  </r>
  <r>
    <x v="368"/>
    <s v="21305 AUT 1676"/>
    <s v="21300 AUT 1676"/>
    <s v="KM - 5 - LA CARO - KM - 5"/>
    <n v="58"/>
    <n v="4"/>
    <n v="978.29"/>
    <n v="226963.28"/>
    <n v="513"/>
    <n v="232"/>
    <x v="2"/>
    <x v="1"/>
    <x v="14"/>
    <x v="3"/>
    <x v="1"/>
    <x v="0"/>
  </r>
  <r>
    <x v="369"/>
    <s v="21301 AUT 1676"/>
    <s v="21302 AUT 1676"/>
    <s v="KM - 5 - LA CARO - KM - 5"/>
    <n v="58"/>
    <n v="4"/>
    <n v="978.29"/>
    <n v="226963.28"/>
    <n v="212"/>
    <n v="232"/>
    <x v="2"/>
    <x v="1"/>
    <x v="14"/>
    <x v="1"/>
    <x v="1"/>
    <x v="0"/>
  </r>
  <r>
    <x v="369"/>
    <s v="21303 LOC 752"/>
    <s v="22300 LOC 752"/>
    <s v="KM - 5 - PK - 43 UNI MIL-KM-5"/>
    <n v="76"/>
    <n v="9"/>
    <n v="978.29"/>
    <n v="669150.36"/>
    <n v="1029"/>
    <n v="684"/>
    <x v="2"/>
    <x v="1"/>
    <x v="14"/>
    <x v="2"/>
    <x v="1"/>
    <x v="0"/>
  </r>
  <r>
    <x v="369"/>
    <s v="21305 LOC 711"/>
    <s v="21300 LOC 711"/>
    <s v="KM - 5 - LA CARO - KM - 5"/>
    <n v="58"/>
    <n v="7"/>
    <n v="978.29"/>
    <n v="397185.74"/>
    <n v="899"/>
    <n v="406"/>
    <x v="2"/>
    <x v="1"/>
    <x v="14"/>
    <x v="3"/>
    <x v="1"/>
    <x v="0"/>
  </r>
  <r>
    <x v="370"/>
    <s v="21301 AUT 1676"/>
    <s v="21302 AUT 1676"/>
    <s v="KM - 5 - LA CARO - KM - 5"/>
    <n v="58"/>
    <n v="4"/>
    <n v="978.29"/>
    <n v="226963.28"/>
    <n v="237"/>
    <n v="232"/>
    <x v="2"/>
    <x v="1"/>
    <x v="14"/>
    <x v="1"/>
    <x v="1"/>
    <x v="0"/>
  </r>
  <r>
    <x v="370"/>
    <s v="21303 LOC 752"/>
    <s v="22300 LOC 752"/>
    <s v="KM - 5 - PK - 43 UNI MIL-KM-5"/>
    <n v="76"/>
    <n v="9"/>
    <n v="978.29"/>
    <n v="669150.36"/>
    <n v="1100"/>
    <n v="684"/>
    <x v="2"/>
    <x v="1"/>
    <x v="14"/>
    <x v="2"/>
    <x v="1"/>
    <x v="0"/>
  </r>
  <r>
    <x v="370"/>
    <s v="21305 LOC 711"/>
    <s v="21300 LOC 711"/>
    <s v="KM - 5 - LA CARO - KM - 5"/>
    <n v="58"/>
    <n v="4"/>
    <n v="978.29"/>
    <n v="226963.28"/>
    <n v="623"/>
    <n v="232"/>
    <x v="2"/>
    <x v="1"/>
    <x v="14"/>
    <x v="3"/>
    <x v="1"/>
    <x v="0"/>
  </r>
  <r>
    <x v="371"/>
    <s v="21301 AUT 1696"/>
    <s v="21302 AUT 1696"/>
    <s v="KM - 5 - LA CARO - KM - 5"/>
    <n v="58"/>
    <n v="4"/>
    <n v="978.29"/>
    <n v="226963.28"/>
    <n v="165"/>
    <n v="232"/>
    <x v="2"/>
    <x v="1"/>
    <x v="14"/>
    <x v="1"/>
    <x v="1"/>
    <x v="0"/>
  </r>
  <r>
    <x v="371"/>
    <s v="21303 LOC 752"/>
    <s v="22300 LOC 752"/>
    <s v="KM - 5 - PK - 43 UNI MIL-KM-5"/>
    <n v="76"/>
    <n v="9"/>
    <n v="978.29"/>
    <n v="669150.36"/>
    <n v="1353"/>
    <n v="684"/>
    <x v="2"/>
    <x v="1"/>
    <x v="14"/>
    <x v="2"/>
    <x v="1"/>
    <x v="0"/>
  </r>
  <r>
    <x v="371"/>
    <s v="21305 LOC 711"/>
    <s v="21300 LOC 711"/>
    <s v="KM - 5 - LA CARO - KM - 5"/>
    <n v="58"/>
    <n v="7"/>
    <n v="978.29"/>
    <n v="397185.74"/>
    <n v="755"/>
    <n v="406"/>
    <x v="2"/>
    <x v="1"/>
    <x v="14"/>
    <x v="3"/>
    <x v="1"/>
    <x v="0"/>
  </r>
  <r>
    <x v="372"/>
    <s v="21301 AUT 1696"/>
    <s v="22300 AUT 1696"/>
    <s v="KM - 5 - PK - 43 UNI MIL-KM-5"/>
    <n v="76"/>
    <n v="3"/>
    <n v="978.29"/>
    <n v="223050.12"/>
    <n v="446"/>
    <n v="228"/>
    <x v="2"/>
    <x v="1"/>
    <x v="14"/>
    <x v="2"/>
    <x v="1"/>
    <x v="0"/>
  </r>
  <r>
    <x v="372"/>
    <s v="21303 LOC 711"/>
    <s v="22300 LOC 711"/>
    <s v="KM - 5 - ZIPAQUIRA - KM - 5"/>
    <n v="96"/>
    <n v="10"/>
    <n v="978.29"/>
    <n v="939158.39999999991"/>
    <n v="618"/>
    <n v="960"/>
    <x v="2"/>
    <x v="1"/>
    <x v="14"/>
    <x v="0"/>
    <x v="0"/>
    <x v="0"/>
  </r>
  <r>
    <x v="373"/>
    <s v="21301 LOC 711"/>
    <s v="22300 LOC 711"/>
    <s v="KM - 5 - ZIPAQUIRA - KM - 5"/>
    <n v="96"/>
    <n v="12"/>
    <n v="978.29"/>
    <n v="1126990.08"/>
    <n v="948"/>
    <n v="1152"/>
    <x v="2"/>
    <x v="1"/>
    <x v="14"/>
    <x v="0"/>
    <x v="0"/>
    <x v="0"/>
  </r>
  <r>
    <x v="374"/>
    <s v="21301 AUT 1676"/>
    <s v="21302 AUT 1676"/>
    <s v="KM - 5 - LA CARO - KM - 5"/>
    <n v="58"/>
    <n v="4"/>
    <n v="978.29"/>
    <n v="226963.28"/>
    <n v="189"/>
    <n v="232"/>
    <x v="2"/>
    <x v="1"/>
    <x v="14"/>
    <x v="1"/>
    <x v="1"/>
    <x v="0"/>
  </r>
  <r>
    <x v="374"/>
    <s v="21303 LOC 752"/>
    <s v="22300 LOC 752"/>
    <s v="KM - 5 - PK - 43 UNI MIL-KM-5"/>
    <n v="76"/>
    <n v="9"/>
    <n v="978.29"/>
    <n v="669150.36"/>
    <n v="1242"/>
    <n v="684"/>
    <x v="2"/>
    <x v="1"/>
    <x v="14"/>
    <x v="2"/>
    <x v="1"/>
    <x v="0"/>
  </r>
  <r>
    <x v="375"/>
    <s v="21301 AUT 1676"/>
    <s v="21302 AUT 1676"/>
    <s v="KM - 5 - LA CARO - KM - 5"/>
    <n v="58"/>
    <n v="4"/>
    <n v="978.29"/>
    <n v="226963.28"/>
    <n v="232"/>
    <n v="232"/>
    <x v="2"/>
    <x v="1"/>
    <x v="14"/>
    <x v="1"/>
    <x v="1"/>
    <x v="0"/>
  </r>
  <r>
    <x v="375"/>
    <s v="21303 LOC 752"/>
    <s v="22300 LOC 752"/>
    <s v="KM - 5 - PK - 43 UNI MIL-KM-5"/>
    <n v="76"/>
    <n v="9"/>
    <n v="978.29"/>
    <n v="669150.36"/>
    <n v="1151"/>
    <n v="684"/>
    <x v="2"/>
    <x v="1"/>
    <x v="14"/>
    <x v="2"/>
    <x v="1"/>
    <x v="0"/>
  </r>
  <r>
    <x v="375"/>
    <s v="21305 AUT 1696"/>
    <s v="21300 AUT 1696"/>
    <s v="KM - 5 - LA CARO - KM - 5"/>
    <n v="58"/>
    <n v="4"/>
    <n v="978.29"/>
    <n v="226963.28"/>
    <n v="469"/>
    <n v="232"/>
    <x v="2"/>
    <x v="1"/>
    <x v="14"/>
    <x v="3"/>
    <x v="1"/>
    <x v="0"/>
  </r>
  <r>
    <x v="376"/>
    <s v="21301 AUT 1696"/>
    <s v="21302 AUT 1696"/>
    <s v="KM - 5 - LA CARO - KM - 5"/>
    <n v="58"/>
    <n v="4"/>
    <n v="978.29"/>
    <n v="226963.28"/>
    <n v="226"/>
    <n v="232"/>
    <x v="2"/>
    <x v="1"/>
    <x v="14"/>
    <x v="1"/>
    <x v="1"/>
    <x v="0"/>
  </r>
  <r>
    <x v="376"/>
    <s v="21303 LOC 752"/>
    <s v="22300 LOC 752"/>
    <s v="KM - 5 - PK - 43 UNI MIL-KM-5"/>
    <n v="76"/>
    <n v="9"/>
    <n v="978.29"/>
    <n v="669150.36"/>
    <n v="1102"/>
    <n v="684"/>
    <x v="2"/>
    <x v="1"/>
    <x v="14"/>
    <x v="2"/>
    <x v="1"/>
    <x v="0"/>
  </r>
  <r>
    <x v="376"/>
    <s v="21305 LOC 711"/>
    <s v="21300 LOC 711"/>
    <s v="KM - 5 - LA CARO - KM - 5"/>
    <n v="58"/>
    <n v="7"/>
    <n v="978.29"/>
    <n v="397185.74"/>
    <n v="812"/>
    <n v="406"/>
    <x v="2"/>
    <x v="1"/>
    <x v="14"/>
    <x v="3"/>
    <x v="1"/>
    <x v="0"/>
  </r>
  <r>
    <x v="377"/>
    <s v="21301 AUT 1696"/>
    <s v="21302 AUT 1696"/>
    <s v="KM - 5 - LA CARO - KM - 5"/>
    <n v="58"/>
    <n v="4"/>
    <n v="978.29"/>
    <n v="226963.28"/>
    <n v="240"/>
    <n v="232"/>
    <x v="2"/>
    <x v="1"/>
    <x v="14"/>
    <x v="1"/>
    <x v="1"/>
    <x v="0"/>
  </r>
  <r>
    <x v="377"/>
    <s v="21303 LOC 752"/>
    <s v="22300 LOC 752"/>
    <s v="KM - 5 - PK - 43 UNI MIL-KM-5"/>
    <n v="76"/>
    <n v="9"/>
    <n v="978.29"/>
    <n v="669150.36"/>
    <n v="981"/>
    <n v="684"/>
    <x v="2"/>
    <x v="1"/>
    <x v="14"/>
    <x v="2"/>
    <x v="1"/>
    <x v="0"/>
  </r>
  <r>
    <x v="377"/>
    <s v="21305 LOC 711"/>
    <s v="21300 LOC 711"/>
    <s v="KM - 5 - LA CARO - KM - 5"/>
    <n v="58"/>
    <n v="4"/>
    <n v="978.29"/>
    <n v="226963.28"/>
    <n v="580"/>
    <n v="232"/>
    <x v="2"/>
    <x v="1"/>
    <x v="14"/>
    <x v="3"/>
    <x v="1"/>
    <x v="0"/>
  </r>
  <r>
    <x v="378"/>
    <s v="21301 AUT 1676"/>
    <s v="21302 AUT 1676"/>
    <s v="KM - 5 - LA CARO - KM - 5"/>
    <n v="58"/>
    <n v="4"/>
    <n v="978.29"/>
    <n v="226963.28"/>
    <n v="178"/>
    <n v="232"/>
    <x v="2"/>
    <x v="1"/>
    <x v="14"/>
    <x v="1"/>
    <x v="1"/>
    <x v="0"/>
  </r>
  <r>
    <x v="378"/>
    <s v="21303 LOC 752"/>
    <s v="22300 LOC 752"/>
    <s v="KM - 5 - PK - 43 UNI MIL-KM-5"/>
    <n v="76"/>
    <n v="9"/>
    <n v="978.29"/>
    <n v="669150.36"/>
    <n v="1405"/>
    <n v="684"/>
    <x v="2"/>
    <x v="1"/>
    <x v="14"/>
    <x v="2"/>
    <x v="1"/>
    <x v="0"/>
  </r>
  <r>
    <x v="378"/>
    <s v="21305 LOC 711"/>
    <s v="21300 LOC 711"/>
    <s v="KM - 5 - LA CARO - KM - 5"/>
    <n v="58"/>
    <n v="7"/>
    <n v="978.29"/>
    <n v="397185.74"/>
    <n v="808"/>
    <n v="406"/>
    <x v="2"/>
    <x v="1"/>
    <x v="14"/>
    <x v="3"/>
    <x v="1"/>
    <x v="0"/>
  </r>
  <r>
    <x v="379"/>
    <s v="21301 AUT 1696"/>
    <s v="22300 AUT 1696"/>
    <s v="KM - 5 - PK - 43 UNI MIL-KM-5"/>
    <n v="76"/>
    <n v="3"/>
    <n v="978.29"/>
    <n v="223050.12"/>
    <n v="331"/>
    <n v="228"/>
    <x v="2"/>
    <x v="1"/>
    <x v="14"/>
    <x v="2"/>
    <x v="1"/>
    <x v="0"/>
  </r>
  <r>
    <x v="379"/>
    <s v="21303 LOC 711"/>
    <s v="22302 LOC 711"/>
    <s v="KM - 5 - ZIPAQUIRA - KM - 5"/>
    <n v="96"/>
    <n v="12"/>
    <n v="978.29"/>
    <n v="1126990.08"/>
    <n v="710"/>
    <n v="1152"/>
    <x v="2"/>
    <x v="1"/>
    <x v="14"/>
    <x v="0"/>
    <x v="0"/>
    <x v="0"/>
  </r>
  <r>
    <x v="380"/>
    <s v="21301 loc 752"/>
    <s v="22300 LOC 752"/>
    <s v="KM - 5 - ZIPAQUIRA - KM - 5"/>
    <n v="96"/>
    <n v="15"/>
    <n v="978.29"/>
    <n v="1408737.5999999999"/>
    <n v="1182"/>
    <n v="1440"/>
    <x v="2"/>
    <x v="1"/>
    <x v="14"/>
    <x v="0"/>
    <x v="0"/>
    <x v="0"/>
  </r>
  <r>
    <x v="381"/>
    <s v="21301 AUT 1676"/>
    <s v="21300 AUT 1676"/>
    <s v="KM - 5 - LA CARO - KM - 5"/>
    <n v="58"/>
    <n v="4"/>
    <n v="978.29"/>
    <n v="226963.28"/>
    <n v="191"/>
    <n v="232"/>
    <x v="2"/>
    <x v="1"/>
    <x v="14"/>
    <x v="1"/>
    <x v="1"/>
    <x v="0"/>
  </r>
  <r>
    <x v="381"/>
    <s v="21303 LOC 711"/>
    <s v="22300 LOC 711"/>
    <s v="KM - 5 - PK - 43 UNI MIL-KM-5"/>
    <n v="76"/>
    <n v="9"/>
    <n v="978.29"/>
    <n v="669150.36"/>
    <n v="1328"/>
    <n v="684"/>
    <x v="2"/>
    <x v="1"/>
    <x v="14"/>
    <x v="2"/>
    <x v="1"/>
    <x v="0"/>
  </r>
  <r>
    <x v="382"/>
    <s v="21301 AUT 1676"/>
    <s v="21302 AUT 1676"/>
    <s v="KM - 5 - LA CARO - KM - 5"/>
    <n v="58"/>
    <n v="4"/>
    <n v="978.29"/>
    <n v="226963.28"/>
    <n v="248"/>
    <n v="232"/>
    <x v="2"/>
    <x v="1"/>
    <x v="14"/>
    <x v="1"/>
    <x v="1"/>
    <x v="0"/>
  </r>
  <r>
    <x v="382"/>
    <s v="21303 AUT 1696"/>
    <s v="21300 AUT 1696"/>
    <s v="KM - 5 - LA CARO - KM - 5"/>
    <n v="58"/>
    <n v="4"/>
    <n v="978.29"/>
    <n v="226963.28"/>
    <n v="506"/>
    <n v="232"/>
    <x v="2"/>
    <x v="1"/>
    <x v="14"/>
    <x v="3"/>
    <x v="1"/>
    <x v="0"/>
  </r>
  <r>
    <x v="383"/>
    <s v="21301 AUT 1676"/>
    <s v="21302 AUT 1676"/>
    <s v="KM - 5 - LA CARO - KM - 5"/>
    <n v="58"/>
    <n v="4"/>
    <n v="978.29"/>
    <n v="226963.28"/>
    <n v="226"/>
    <n v="232"/>
    <x v="2"/>
    <x v="1"/>
    <x v="14"/>
    <x v="1"/>
    <x v="1"/>
    <x v="0"/>
  </r>
  <r>
    <x v="383"/>
    <s v="21303 LOC 711"/>
    <s v="22300 LOC 711"/>
    <s v="KM - 5 - PK - 43 UNI MIL-KM-5"/>
    <n v="76"/>
    <n v="9"/>
    <n v="978.29"/>
    <n v="669150.36"/>
    <n v="1211"/>
    <n v="684"/>
    <x v="2"/>
    <x v="1"/>
    <x v="14"/>
    <x v="2"/>
    <x v="1"/>
    <x v="0"/>
  </r>
  <r>
    <x v="383"/>
    <s v="21305 LOC 723"/>
    <s v="21300 LOC 723"/>
    <s v="KM - 5 - LA CARO - KM - 5"/>
    <n v="58"/>
    <n v="7"/>
    <n v="978.29"/>
    <n v="397185.74"/>
    <n v="858"/>
    <n v="406"/>
    <x v="2"/>
    <x v="1"/>
    <x v="14"/>
    <x v="3"/>
    <x v="1"/>
    <x v="0"/>
  </r>
  <r>
    <x v="384"/>
    <s v="21301 AUT 1676"/>
    <s v="21302 AUT 1676"/>
    <s v="KM - 5 - LA CARO - KM - 5"/>
    <n v="58"/>
    <n v="4"/>
    <n v="978.29"/>
    <n v="226963.28"/>
    <n v="233"/>
    <n v="232"/>
    <x v="2"/>
    <x v="1"/>
    <x v="14"/>
    <x v="1"/>
    <x v="1"/>
    <x v="0"/>
  </r>
  <r>
    <x v="384"/>
    <s v="21303 LOC 711"/>
    <s v="22300 LOC 711"/>
    <s v="KM - 5 - PK - 43 UNI MIL-KM-5"/>
    <n v="76"/>
    <n v="9"/>
    <n v="978.29"/>
    <n v="669150.36"/>
    <n v="1053"/>
    <n v="684"/>
    <x v="2"/>
    <x v="1"/>
    <x v="14"/>
    <x v="2"/>
    <x v="1"/>
    <x v="0"/>
  </r>
  <r>
    <x v="384"/>
    <s v="21305 AUT 1696"/>
    <s v="21300 AUT 1696"/>
    <s v="KM - 5 - LA CARO - KM - 5"/>
    <n v="58"/>
    <n v="4"/>
    <n v="978.29"/>
    <n v="226963.28"/>
    <n v="547"/>
    <n v="232"/>
    <x v="2"/>
    <x v="1"/>
    <x v="14"/>
    <x v="3"/>
    <x v="1"/>
    <x v="0"/>
  </r>
  <r>
    <x v="385"/>
    <s v="21301 AUT 1696"/>
    <s v="21302 AUT 1696"/>
    <s v="KM - 5 - LA CARO - KM - 5"/>
    <n v="58"/>
    <n v="4"/>
    <n v="978.29"/>
    <n v="226963.28"/>
    <n v="179"/>
    <n v="232"/>
    <x v="2"/>
    <x v="1"/>
    <x v="14"/>
    <x v="1"/>
    <x v="1"/>
    <x v="0"/>
  </r>
  <r>
    <x v="385"/>
    <s v="21303 LOC 711"/>
    <s v="22300 LOC 711"/>
    <s v="KM - 5 - PK - 43 UNI MIL-KM-5"/>
    <n v="76"/>
    <n v="9"/>
    <n v="978.29"/>
    <n v="669150.36"/>
    <n v="1275"/>
    <n v="684"/>
    <x v="2"/>
    <x v="1"/>
    <x v="14"/>
    <x v="2"/>
    <x v="1"/>
    <x v="0"/>
  </r>
  <r>
    <x v="385"/>
    <s v="21305 LOC 711"/>
    <s v="21300 LOC 711"/>
    <s v="KM - 5 - LA CARO - KM - 5"/>
    <n v="58"/>
    <n v="7"/>
    <n v="978.29"/>
    <n v="397185.74"/>
    <n v="819"/>
    <n v="406"/>
    <x v="2"/>
    <x v="1"/>
    <x v="14"/>
    <x v="3"/>
    <x v="1"/>
    <x v="0"/>
  </r>
  <r>
    <x v="386"/>
    <s v="21301 AUT 1676"/>
    <s v="22300 ATU 1676"/>
    <s v="KM - 5 - PK - 43 UNI MIL-KM-5"/>
    <n v="78"/>
    <n v="3"/>
    <n v="978.29"/>
    <n v="228919.86"/>
    <n v="410"/>
    <n v="234"/>
    <x v="2"/>
    <x v="1"/>
    <x v="14"/>
    <x v="2"/>
    <x v="1"/>
    <x v="0"/>
  </r>
  <r>
    <x v="386"/>
    <s v="21303 LOC 350"/>
    <s v="22302 LOC 350"/>
    <s v="KM - 5 - ZIPAQUIRA - KM - 5"/>
    <n v="96"/>
    <n v="15"/>
    <n v="978.29"/>
    <n v="1408737.5999999999"/>
    <n v="990"/>
    <n v="1440"/>
    <x v="2"/>
    <x v="1"/>
    <x v="14"/>
    <x v="0"/>
    <x v="0"/>
    <x v="0"/>
  </r>
  <r>
    <x v="387"/>
    <s v="21301 LOC 350"/>
    <s v="22300 LOC 350"/>
    <s v="KM - 5 - ZIPAQUIRA - KM - 5"/>
    <n v="96"/>
    <n v="18"/>
    <n v="978.29"/>
    <n v="1690485.1199999999"/>
    <n v="1600"/>
    <n v="1728"/>
    <x v="2"/>
    <x v="1"/>
    <x v="14"/>
    <x v="0"/>
    <x v="0"/>
    <x v="0"/>
  </r>
  <r>
    <x v="388"/>
    <s v="21301 LOC 350"/>
    <s v="22300 LOC 350"/>
    <s v="KM - 5 - ZIPAQUIRA - KM - 5"/>
    <n v="96"/>
    <n v="12"/>
    <n v="978.29"/>
    <n v="1126990.08"/>
    <n v="874"/>
    <n v="1152"/>
    <x v="2"/>
    <x v="1"/>
    <x v="14"/>
    <x v="0"/>
    <x v="0"/>
    <x v="0"/>
  </r>
  <r>
    <x v="389"/>
    <s v="21301 AUT - 1676"/>
    <s v="21302 AUT - 1676"/>
    <s v="KM - 5 - LA CARO - KM - 5"/>
    <n v="58"/>
    <n v="4"/>
    <n v="978.29"/>
    <n v="226963.28"/>
    <n v="285"/>
    <n v="232"/>
    <x v="2"/>
    <x v="1"/>
    <x v="14"/>
    <x v="1"/>
    <x v="1"/>
    <x v="0"/>
  </r>
  <r>
    <x v="389"/>
    <s v="21303 LOC 711"/>
    <s v="22300 LOC 711"/>
    <s v="KM - 5 - PK - 43 UNI MIL-KM-5"/>
    <n v="78"/>
    <n v="9"/>
    <n v="978.29"/>
    <n v="686759.58"/>
    <n v="1183"/>
    <n v="702"/>
    <x v="2"/>
    <x v="1"/>
    <x v="14"/>
    <x v="2"/>
    <x v="1"/>
    <x v="0"/>
  </r>
  <r>
    <x v="389"/>
    <s v="21305 LOC 350"/>
    <s v="21300 LOC 350"/>
    <s v="KM - 5 - LA CARO - KM - 5"/>
    <n v="58"/>
    <n v="4"/>
    <n v="978.29"/>
    <n v="226963.28"/>
    <n v="395"/>
    <n v="232"/>
    <x v="2"/>
    <x v="1"/>
    <x v="14"/>
    <x v="3"/>
    <x v="1"/>
    <x v="0"/>
  </r>
  <r>
    <x v="390"/>
    <s v="21301 AUT - 1676"/>
    <s v="21302 AUT - 1676"/>
    <s v="KM - 5 - LA CARO - KM - 5"/>
    <n v="58"/>
    <n v="4"/>
    <n v="978.29"/>
    <n v="226963.28"/>
    <n v="231"/>
    <n v="232"/>
    <x v="2"/>
    <x v="1"/>
    <x v="14"/>
    <x v="1"/>
    <x v="1"/>
    <x v="0"/>
  </r>
  <r>
    <x v="390"/>
    <s v="21303 LOC 711"/>
    <s v="22300 LOC 711"/>
    <s v="KM - 5 - PK - 43 UNI MIL-KM-5"/>
    <n v="78"/>
    <n v="9"/>
    <n v="978.29"/>
    <n v="686759.58"/>
    <n v="1081"/>
    <n v="702"/>
    <x v="2"/>
    <x v="1"/>
    <x v="14"/>
    <x v="2"/>
    <x v="1"/>
    <x v="0"/>
  </r>
  <r>
    <x v="390"/>
    <s v="21305 LOC 350"/>
    <s v="21300 LOC 350"/>
    <s v="KM - 5 - LA CARO - KM - 5"/>
    <n v="58"/>
    <n v="7"/>
    <n v="978.29"/>
    <n v="397185.74"/>
    <n v="869"/>
    <n v="406"/>
    <x v="2"/>
    <x v="1"/>
    <x v="14"/>
    <x v="3"/>
    <x v="1"/>
    <x v="0"/>
  </r>
  <r>
    <x v="391"/>
    <s v="21301 AUT - 1676"/>
    <s v="21302 AUT - 1676"/>
    <s v="KM - 5 - LA CARO - KM - 5"/>
    <n v="58"/>
    <n v="4"/>
    <n v="978.29"/>
    <n v="226963.28"/>
    <n v="278"/>
    <n v="232"/>
    <x v="2"/>
    <x v="1"/>
    <x v="14"/>
    <x v="1"/>
    <x v="1"/>
    <x v="0"/>
  </r>
  <r>
    <x v="391"/>
    <s v="21303 LOC 711"/>
    <s v="22300 LOC 711"/>
    <s v="KM - 5 - PK - 43 UNI MIL-KM-5"/>
    <n v="78"/>
    <n v="9"/>
    <n v="978.29"/>
    <n v="686759.58"/>
    <n v="1060"/>
    <n v="702"/>
    <x v="2"/>
    <x v="1"/>
    <x v="14"/>
    <x v="2"/>
    <x v="1"/>
    <x v="0"/>
  </r>
  <r>
    <x v="391"/>
    <s v="21305 AUT 1696"/>
    <s v="21300 AUT 1696"/>
    <s v="KM - 5 - LA CARO - KM - 5"/>
    <n v="58"/>
    <n v="4"/>
    <n v="978.29"/>
    <n v="226963.28"/>
    <n v="626"/>
    <n v="232"/>
    <x v="2"/>
    <x v="1"/>
    <x v="14"/>
    <x v="3"/>
    <x v="1"/>
    <x v="0"/>
  </r>
  <r>
    <x v="392"/>
    <s v="21301 AUT - 1696"/>
    <s v="21302 AUT - 1696"/>
    <s v="KM - 5 - LA CARO - KM - 5"/>
    <n v="58"/>
    <n v="4"/>
    <n v="978.29"/>
    <n v="226963.28"/>
    <n v="187"/>
    <n v="232"/>
    <x v="2"/>
    <x v="1"/>
    <x v="14"/>
    <x v="1"/>
    <x v="1"/>
    <x v="0"/>
  </r>
  <r>
    <x v="392"/>
    <s v="21303 LOC 711"/>
    <s v="22300 LOC 711"/>
    <s v="KM - 5 - PK - 43 UNI MIL-KM-5"/>
    <n v="78"/>
    <n v="9"/>
    <n v="978.29"/>
    <n v="686759.58"/>
    <n v="1326"/>
    <n v="702"/>
    <x v="2"/>
    <x v="1"/>
    <x v="14"/>
    <x v="2"/>
    <x v="1"/>
    <x v="0"/>
  </r>
  <r>
    <x v="392"/>
    <s v="21305 LOC 350"/>
    <s v="21300 LOC 752"/>
    <s v="KM - 5 - LA CARO - KM - 5"/>
    <n v="58"/>
    <n v="7"/>
    <n v="978.29"/>
    <n v="397185.74"/>
    <n v="560"/>
    <n v="406"/>
    <x v="2"/>
    <x v="1"/>
    <x v="14"/>
    <x v="3"/>
    <x v="1"/>
    <x v="0"/>
  </r>
  <r>
    <x v="393"/>
    <s v="21301 AUT 1696"/>
    <s v="22300 LOC 752R1696"/>
    <s v="KM - 5 - PK - 43 UNI MIL-KM-5"/>
    <n v="78"/>
    <n v="3"/>
    <n v="978.29"/>
    <n v="228919.86"/>
    <n v="519"/>
    <n v="234"/>
    <x v="2"/>
    <x v="1"/>
    <x v="14"/>
    <x v="2"/>
    <x v="1"/>
    <x v="0"/>
  </r>
  <r>
    <x v="393"/>
    <s v="21303 LOC 711"/>
    <s v="22302 LOC 711"/>
    <s v="KM - 5 - ZIPAQUIRA - KM - 5"/>
    <n v="96"/>
    <n v="12"/>
    <n v="978.29"/>
    <n v="1126990.08"/>
    <n v="710"/>
    <n v="1152"/>
    <x v="2"/>
    <x v="1"/>
    <x v="14"/>
    <x v="0"/>
    <x v="0"/>
    <x v="0"/>
  </r>
  <r>
    <x v="394"/>
    <s v="21301 LOC 711"/>
    <s v="22300 LOC 711"/>
    <s v="KM - 5 - ZIPAQUIRA - KM - 5"/>
    <n v="96"/>
    <n v="13"/>
    <n v="978.29"/>
    <n v="1220905.92"/>
    <n v="958"/>
    <n v="1248"/>
    <x v="2"/>
    <x v="1"/>
    <x v="14"/>
    <x v="0"/>
    <x v="0"/>
    <x v="0"/>
  </r>
  <r>
    <x v="395"/>
    <s v="21301 LOC 350"/>
    <s v="21300 LOC 350"/>
    <s v="KM - 5 - LA CARO - KM - 5"/>
    <n v="58"/>
    <n v="5"/>
    <n v="978.29"/>
    <n v="283704.09999999998"/>
    <n v="187"/>
    <n v="290"/>
    <x v="2"/>
    <x v="1"/>
    <x v="14"/>
    <x v="1"/>
    <x v="1"/>
    <x v="0"/>
  </r>
  <r>
    <x v="395"/>
    <s v="21303 LOC 752"/>
    <s v="22300 LOC 752"/>
    <s v="KM - 5 - PK - 43 UNI MIL-KM-5"/>
    <n v="78"/>
    <n v="9"/>
    <n v="978.29"/>
    <n v="686759.58"/>
    <n v="1335"/>
    <n v="702"/>
    <x v="2"/>
    <x v="1"/>
    <x v="14"/>
    <x v="2"/>
    <x v="1"/>
    <x v="0"/>
  </r>
  <r>
    <x v="396"/>
    <s v="21301 LOC 752"/>
    <s v="22300 LOC 752"/>
    <s v="KM - 5 - PK - 43 UNI MIL-KM-5"/>
    <n v="76"/>
    <n v="9"/>
    <n v="978.29"/>
    <n v="669150.36"/>
    <n v="555"/>
    <n v="684"/>
    <x v="3"/>
    <x v="1"/>
    <x v="15"/>
    <x v="2"/>
    <x v="1"/>
    <x v="0"/>
  </r>
  <r>
    <x v="397"/>
    <s v="21301 AUT 1696"/>
    <s v="21302 AUT 1696"/>
    <s v="KM - 5 - LA CARO - KM - 5"/>
    <n v="58"/>
    <n v="4"/>
    <n v="978.29"/>
    <n v="226963.28"/>
    <n v="194"/>
    <n v="232"/>
    <x v="3"/>
    <x v="1"/>
    <x v="15"/>
    <x v="1"/>
    <x v="1"/>
    <x v="0"/>
  </r>
  <r>
    <x v="397"/>
    <s v="21303 LOC 752"/>
    <s v="22300 LOC 752"/>
    <s v="KM - 5 - PK - 43 UNI MIL-KM-5"/>
    <n v="76"/>
    <n v="9"/>
    <n v="978.29"/>
    <n v="669150.36"/>
    <n v="1052"/>
    <n v="684"/>
    <x v="3"/>
    <x v="1"/>
    <x v="15"/>
    <x v="2"/>
    <x v="1"/>
    <x v="0"/>
  </r>
  <r>
    <x v="397"/>
    <s v="21305 LOC 350"/>
    <s v="21300 LOC 350"/>
    <s v="KM - 5 - LA CARO - KM - 5"/>
    <n v="58"/>
    <n v="7"/>
    <n v="978.29"/>
    <n v="397185.74"/>
    <n v="902"/>
    <n v="406"/>
    <x v="3"/>
    <x v="1"/>
    <x v="15"/>
    <x v="3"/>
    <x v="1"/>
    <x v="0"/>
  </r>
  <r>
    <x v="398"/>
    <s v="21301 AUT 1696"/>
    <s v="21302 AUT 1696"/>
    <s v="KM - 5 - LA CARO - KM - 5"/>
    <n v="58"/>
    <n v="4"/>
    <n v="978.29"/>
    <n v="226963.28"/>
    <n v="195"/>
    <n v="232"/>
    <x v="3"/>
    <x v="1"/>
    <x v="15"/>
    <x v="1"/>
    <x v="1"/>
    <x v="0"/>
  </r>
  <r>
    <x v="398"/>
    <s v="21303 LOC 752"/>
    <s v="22300 LOC 752"/>
    <s v="KM - 5 - PK - 43 UNI MIL-KM-5"/>
    <n v="76"/>
    <n v="9"/>
    <n v="978.29"/>
    <n v="669150.36"/>
    <n v="982"/>
    <n v="684"/>
    <x v="3"/>
    <x v="1"/>
    <x v="15"/>
    <x v="2"/>
    <x v="1"/>
    <x v="0"/>
  </r>
  <r>
    <x v="398"/>
    <s v="21305 LOC 350"/>
    <s v="21300 LOC 350"/>
    <s v="KM - 5 - LA CARO - KM - 5"/>
    <n v="58"/>
    <n v="4"/>
    <n v="978.29"/>
    <n v="226963.28"/>
    <n v="572"/>
    <n v="232"/>
    <x v="3"/>
    <x v="1"/>
    <x v="15"/>
    <x v="3"/>
    <x v="1"/>
    <x v="0"/>
  </r>
  <r>
    <x v="399"/>
    <s v="21301 AUT 1696"/>
    <s v="21302 AUT 1696"/>
    <s v="KM - 5 - LA CARO - KM - 5"/>
    <n v="58"/>
    <n v="4"/>
    <n v="978.29"/>
    <n v="226963.28"/>
    <n v="172"/>
    <n v="232"/>
    <x v="3"/>
    <x v="1"/>
    <x v="15"/>
    <x v="1"/>
    <x v="1"/>
    <x v="0"/>
  </r>
  <r>
    <x v="399"/>
    <s v="21303 LOC 752"/>
    <s v="22300 LOC 752"/>
    <s v="KM - 5 - PK - 43 UNI MIL-KM-5"/>
    <n v="76"/>
    <n v="9"/>
    <n v="978.29"/>
    <n v="669150.36"/>
    <n v="1368"/>
    <n v="684"/>
    <x v="3"/>
    <x v="1"/>
    <x v="15"/>
    <x v="2"/>
    <x v="1"/>
    <x v="0"/>
  </r>
  <r>
    <x v="399"/>
    <s v="21305 LOC 350"/>
    <s v="21300 LOC 350"/>
    <s v="KM - 5 - LA CARO - KM - 5"/>
    <n v="58"/>
    <n v="7"/>
    <n v="978.29"/>
    <n v="397185.74"/>
    <n v="770"/>
    <n v="406"/>
    <x v="3"/>
    <x v="1"/>
    <x v="15"/>
    <x v="3"/>
    <x v="1"/>
    <x v="0"/>
  </r>
  <r>
    <x v="400"/>
    <s v="21301 AUT 1696"/>
    <s v="22300 AUT 1696"/>
    <s v="KM - 5 - PK - 43 UNI MIL-KM-5"/>
    <n v="76"/>
    <n v="4"/>
    <n v="978.29"/>
    <n v="297400.15999999997"/>
    <n v="423"/>
    <n v="304"/>
    <x v="3"/>
    <x v="1"/>
    <x v="15"/>
    <x v="2"/>
    <x v="1"/>
    <x v="0"/>
  </r>
  <r>
    <x v="400"/>
    <s v="21303 LOC 711"/>
    <s v="22302 LOC 711"/>
    <s v="KM - 5 - ZIPAQUIRA - KM - 5"/>
    <n v="96"/>
    <n v="13"/>
    <n v="978.29"/>
    <n v="1220905.92"/>
    <n v="928"/>
    <n v="1248"/>
    <x v="3"/>
    <x v="1"/>
    <x v="15"/>
    <x v="0"/>
    <x v="0"/>
    <x v="0"/>
  </r>
  <r>
    <x v="401"/>
    <s v="21301 LOC 752"/>
    <s v="22300 LOC 752"/>
    <s v="KM - 5 - ZIPAQUIRA - KM - 5"/>
    <n v="96"/>
    <n v="10"/>
    <n v="978.29"/>
    <n v="939158.39999999991"/>
    <n v="776"/>
    <n v="960"/>
    <x v="3"/>
    <x v="1"/>
    <x v="15"/>
    <x v="0"/>
    <x v="0"/>
    <x v="0"/>
  </r>
  <r>
    <x v="402"/>
    <s v="21301 LOC 350"/>
    <s v="21300 LOC 350"/>
    <s v="KM - 5 - LA CARO - KM - 5"/>
    <n v="58"/>
    <n v="4"/>
    <n v="978.29"/>
    <n v="226963.28"/>
    <n v="185"/>
    <n v="232"/>
    <x v="3"/>
    <x v="1"/>
    <x v="15"/>
    <x v="1"/>
    <x v="1"/>
    <x v="0"/>
  </r>
  <r>
    <x v="402"/>
    <s v="21303 LOC 752"/>
    <s v="22300 LOC 752"/>
    <s v="KM - 5 - PK - 43 UNI MIL-KM-5"/>
    <n v="76"/>
    <n v="9"/>
    <n v="978.29"/>
    <n v="669150.36"/>
    <n v="1394"/>
    <n v="684"/>
    <x v="3"/>
    <x v="1"/>
    <x v="15"/>
    <x v="2"/>
    <x v="1"/>
    <x v="0"/>
  </r>
  <r>
    <x v="403"/>
    <s v="21301 LOC 350"/>
    <s v="21302 LOC 350"/>
    <s v="KM - 5 - LA CARO - KM - 5"/>
    <n v="58"/>
    <n v="4"/>
    <n v="978.29"/>
    <n v="226963.28"/>
    <n v="218"/>
    <n v="232"/>
    <x v="3"/>
    <x v="1"/>
    <x v="15"/>
    <x v="1"/>
    <x v="1"/>
    <x v="0"/>
  </r>
  <r>
    <x v="403"/>
    <s v="21303 LOC 752"/>
    <s v="22300 LOC 752"/>
    <s v="KM - 5 - PK - 43 UNI MIL-KM-5"/>
    <n v="76"/>
    <n v="9"/>
    <n v="978.29"/>
    <n v="669150.36"/>
    <n v="1075"/>
    <n v="684"/>
    <x v="3"/>
    <x v="1"/>
    <x v="15"/>
    <x v="2"/>
    <x v="1"/>
    <x v="0"/>
  </r>
  <r>
    <x v="403"/>
    <s v="21305 AUT 1696"/>
    <s v="21300 AUT 1696"/>
    <s v="KM - 5 - LA CARO - KM - 5"/>
    <n v="58"/>
    <n v="4"/>
    <n v="978.29"/>
    <n v="226963.28"/>
    <n v="527"/>
    <n v="232"/>
    <x v="3"/>
    <x v="1"/>
    <x v="15"/>
    <x v="3"/>
    <x v="1"/>
    <x v="0"/>
  </r>
  <r>
    <x v="404"/>
    <s v="21301 AUT 1696"/>
    <s v="21302 AUT 1696"/>
    <s v="KM - 5 - LA CARO - KM - 5"/>
    <n v="58"/>
    <n v="4"/>
    <n v="978.29"/>
    <n v="226963.28"/>
    <n v="187"/>
    <n v="232"/>
    <x v="3"/>
    <x v="1"/>
    <x v="15"/>
    <x v="1"/>
    <x v="1"/>
    <x v="0"/>
  </r>
  <r>
    <x v="404"/>
    <s v="21303 LOC 752"/>
    <s v="22300 LOC 752"/>
    <s v="KM - 5 - PK - 43 UNI MIL-KM-5"/>
    <n v="76"/>
    <n v="9"/>
    <n v="978.29"/>
    <n v="669150.36"/>
    <n v="1037"/>
    <n v="684"/>
    <x v="3"/>
    <x v="1"/>
    <x v="15"/>
    <x v="2"/>
    <x v="1"/>
    <x v="0"/>
  </r>
  <r>
    <x v="404"/>
    <s v="21305 LOC 723"/>
    <s v="21300 LOC 723"/>
    <s v="KM - 5 - LA CARO - KM - 5"/>
    <n v="58"/>
    <n v="7"/>
    <n v="978.29"/>
    <n v="397185.74"/>
    <n v="801"/>
    <n v="406"/>
    <x v="3"/>
    <x v="1"/>
    <x v="15"/>
    <x v="3"/>
    <x v="1"/>
    <x v="0"/>
  </r>
  <r>
    <x v="405"/>
    <s v="21301 LOC 350"/>
    <s v="21302 LOC 350"/>
    <s v="KM - 5 - LA CARO - KM - 5"/>
    <n v="58"/>
    <n v="4"/>
    <n v="978.29"/>
    <n v="226963.28"/>
    <n v="199"/>
    <n v="232"/>
    <x v="3"/>
    <x v="1"/>
    <x v="15"/>
    <x v="1"/>
    <x v="1"/>
    <x v="0"/>
  </r>
  <r>
    <x v="405"/>
    <s v="21303 LOC 752"/>
    <s v="22300 LOC 752"/>
    <s v="KM - 5 - PK - 43 UNI MIL-KM-5"/>
    <n v="76"/>
    <n v="9"/>
    <n v="978.29"/>
    <n v="669150.36"/>
    <n v="836"/>
    <n v="684"/>
    <x v="3"/>
    <x v="1"/>
    <x v="15"/>
    <x v="2"/>
    <x v="1"/>
    <x v="0"/>
  </r>
  <r>
    <x v="405"/>
    <s v="21305 LOC 723"/>
    <s v="21300 LOC 723"/>
    <s v="KM - 5 - LA CARO - KM - 5"/>
    <n v="58"/>
    <n v="4"/>
    <n v="978.29"/>
    <n v="226963.28"/>
    <n v="587"/>
    <n v="232"/>
    <x v="3"/>
    <x v="1"/>
    <x v="15"/>
    <x v="3"/>
    <x v="1"/>
    <x v="0"/>
  </r>
  <r>
    <x v="406"/>
    <s v="21301 AUT 1696"/>
    <s v="21302 AUT 1696"/>
    <s v="KM - 5 - LA CARO - KM - 5"/>
    <n v="58"/>
    <n v="4"/>
    <n v="978.29"/>
    <n v="226963.28"/>
    <n v="147"/>
    <n v="232"/>
    <x v="3"/>
    <x v="1"/>
    <x v="15"/>
    <x v="1"/>
    <x v="1"/>
    <x v="0"/>
  </r>
  <r>
    <x v="406"/>
    <s v="21303 LOC 752"/>
    <s v="22302 LOC 752"/>
    <s v="KM - 5 - PK - 43 UNI MIL-KM-5"/>
    <n v="76"/>
    <n v="9"/>
    <n v="978.29"/>
    <n v="669150.36"/>
    <n v="1302"/>
    <n v="684"/>
    <x v="3"/>
    <x v="1"/>
    <x v="15"/>
    <x v="2"/>
    <x v="1"/>
    <x v="0"/>
  </r>
  <r>
    <x v="406"/>
    <s v="21305 LOC 723"/>
    <s v="21300 LOC 350"/>
    <s v="KM - 5 - LA CARO - KM - 5"/>
    <n v="58"/>
    <n v="7"/>
    <n v="978.29"/>
    <n v="397185.74"/>
    <n v="760"/>
    <n v="406"/>
    <x v="3"/>
    <x v="1"/>
    <x v="15"/>
    <x v="3"/>
    <x v="1"/>
    <x v="0"/>
  </r>
  <r>
    <x v="406"/>
    <s v="21307 LOC 350"/>
    <s v="22300 LOC 723"/>
    <s v="KM - 5 - ZIPAQUIRA - KM - 5"/>
    <n v="96"/>
    <n v="4"/>
    <n v="978.29"/>
    <n v="375663.35999999999"/>
    <n v="312"/>
    <n v="384"/>
    <x v="3"/>
    <x v="1"/>
    <x v="15"/>
    <x v="0"/>
    <x v="0"/>
    <x v="0"/>
  </r>
  <r>
    <x v="407"/>
    <s v="21301 AUT 1696"/>
    <s v="22300 AUT 1696"/>
    <s v="KM - 5 - PK - 43 UNI MIL-KM-5"/>
    <n v="76"/>
    <n v="3"/>
    <n v="978.29"/>
    <n v="223050.12"/>
    <n v="345"/>
    <n v="228"/>
    <x v="3"/>
    <x v="1"/>
    <x v="15"/>
    <x v="2"/>
    <x v="1"/>
    <x v="0"/>
  </r>
  <r>
    <x v="407"/>
    <s v="21303 LOC 752"/>
    <s v="22302 LOC 752"/>
    <s v="KM - 5 - ZIPAQUIRA - KM - 5"/>
    <n v="96"/>
    <n v="17"/>
    <n v="978.29"/>
    <n v="1596569.28"/>
    <n v="1242"/>
    <n v="1632"/>
    <x v="3"/>
    <x v="1"/>
    <x v="15"/>
    <x v="0"/>
    <x v="0"/>
    <x v="0"/>
  </r>
  <r>
    <x v="408"/>
    <s v="21301 LOC 723"/>
    <s v="22300 LOC 723"/>
    <s v="KM - 5 - ZIPAQUIRA - KM - 5"/>
    <n v="96"/>
    <n v="18"/>
    <n v="978.29"/>
    <n v="1690485.1199999999"/>
    <n v="1432"/>
    <n v="1728"/>
    <x v="3"/>
    <x v="1"/>
    <x v="15"/>
    <x v="0"/>
    <x v="0"/>
    <x v="0"/>
  </r>
  <r>
    <x v="409"/>
    <s v="21301 LOC 752"/>
    <s v="22300 LOC 752"/>
    <s v="KM - 5 - ZIPAQUIRA - KM - 5"/>
    <n v="96"/>
    <n v="18"/>
    <n v="978.29"/>
    <n v="1690485.1199999999"/>
    <n v="1624"/>
    <n v="1728"/>
    <x v="3"/>
    <x v="1"/>
    <x v="15"/>
    <x v="0"/>
    <x v="0"/>
    <x v="0"/>
  </r>
  <r>
    <x v="410"/>
    <s v="21301 LOC 752"/>
    <s v="22300 LOC 752"/>
    <s v="KM - 5 - ZIPAQUIRA - KM - 5"/>
    <n v="96"/>
    <n v="18"/>
    <n v="978.29"/>
    <n v="1690485.1199999999"/>
    <n v="1588"/>
    <n v="1728"/>
    <x v="3"/>
    <x v="1"/>
    <x v="15"/>
    <x v="0"/>
    <x v="0"/>
    <x v="0"/>
  </r>
  <r>
    <x v="411"/>
    <s v="21301 LOC 752"/>
    <s v="22300 LOC 752"/>
    <s v="KM - 5 - ZIPAQUIRA - KM - 5"/>
    <n v="96"/>
    <n v="18"/>
    <n v="978.29"/>
    <n v="1690485.1199999999"/>
    <n v="1586"/>
    <n v="1728"/>
    <x v="3"/>
    <x v="1"/>
    <x v="15"/>
    <x v="0"/>
    <x v="0"/>
    <x v="0"/>
  </r>
  <r>
    <x v="412"/>
    <s v="21301 LOC 752"/>
    <s v="22300 LOC 752"/>
    <s v="KM - 5 - ZIPAQUIRA - KM - 5"/>
    <n v="96"/>
    <n v="14"/>
    <n v="978.29"/>
    <n v="1314821.76"/>
    <n v="924"/>
    <n v="1344"/>
    <x v="3"/>
    <x v="1"/>
    <x v="15"/>
    <x v="0"/>
    <x v="0"/>
    <x v="0"/>
  </r>
  <r>
    <x v="413"/>
    <s v="21301 AUT 1696"/>
    <s v="21300 AUT 1696"/>
    <s v="KM - 5 - LA CARO - KM - 5"/>
    <n v="58"/>
    <n v="4"/>
    <n v="978.29"/>
    <n v="226963.28"/>
    <n v="175"/>
    <n v="232"/>
    <x v="3"/>
    <x v="1"/>
    <x v="15"/>
    <x v="1"/>
    <x v="1"/>
    <x v="0"/>
  </r>
  <r>
    <x v="413"/>
    <s v="21303 LOC 752"/>
    <s v="22300 LOC 752"/>
    <s v="KM - 5 - PK - 43 UNI MIL-KM-5"/>
    <n v="74"/>
    <n v="9"/>
    <n v="978.29"/>
    <n v="651541.14"/>
    <n v="1197"/>
    <n v="666"/>
    <x v="3"/>
    <x v="1"/>
    <x v="15"/>
    <x v="2"/>
    <x v="1"/>
    <x v="0"/>
  </r>
  <r>
    <x v="414"/>
    <s v="21301 AUT 1696"/>
    <s v="21302AUT 1696"/>
    <s v="KM - 5 - LA CARO - KM - 5"/>
    <n v="58"/>
    <n v="4"/>
    <n v="978.29"/>
    <n v="226963.28"/>
    <n v="197"/>
    <n v="232"/>
    <x v="3"/>
    <x v="1"/>
    <x v="15"/>
    <x v="1"/>
    <x v="1"/>
    <x v="0"/>
  </r>
  <r>
    <x v="414"/>
    <s v="21303 LOC 752"/>
    <s v="22300 LOC 752"/>
    <s v="KM - 5 - PK - 43 UNI MIL-KM-5"/>
    <n v="74"/>
    <n v="9"/>
    <n v="978.29"/>
    <n v="651541.14"/>
    <n v="1121"/>
    <n v="666"/>
    <x v="3"/>
    <x v="1"/>
    <x v="15"/>
    <x v="2"/>
    <x v="1"/>
    <x v="0"/>
  </r>
  <r>
    <x v="414"/>
    <s v="21305 LOC 350"/>
    <s v="21300 LOC 350"/>
    <s v="KM - 5 - LA CARO - KM - 5"/>
    <n v="58"/>
    <n v="4"/>
    <n v="978.29"/>
    <n v="226963.28"/>
    <n v="433"/>
    <n v="232"/>
    <x v="3"/>
    <x v="1"/>
    <x v="15"/>
    <x v="3"/>
    <x v="1"/>
    <x v="0"/>
  </r>
  <r>
    <x v="415"/>
    <s v="21301 AUT 1696"/>
    <s v="21302AUT 1696"/>
    <s v="KM - 5 - LA CARO - KM - 5"/>
    <n v="58"/>
    <n v="4"/>
    <n v="978.29"/>
    <n v="226963.28"/>
    <n v="209"/>
    <n v="232"/>
    <x v="3"/>
    <x v="1"/>
    <x v="15"/>
    <x v="1"/>
    <x v="1"/>
    <x v="0"/>
  </r>
  <r>
    <x v="415"/>
    <s v="21303 LOC 752"/>
    <s v="22300 LOC 752"/>
    <s v="KM - 5 - PK - 43 UNI MIL-KM-5"/>
    <n v="74"/>
    <n v="9"/>
    <n v="978.29"/>
    <n v="651541.14"/>
    <n v="1114"/>
    <n v="666"/>
    <x v="3"/>
    <x v="1"/>
    <x v="15"/>
    <x v="2"/>
    <x v="1"/>
    <x v="0"/>
  </r>
  <r>
    <x v="415"/>
    <s v="21305 LOC 350"/>
    <s v="21300 LOC 350"/>
    <s v="KM - 5 - LA CARO - KM - 5"/>
    <n v="58"/>
    <n v="7"/>
    <n v="978.29"/>
    <n v="397185.74"/>
    <n v="865"/>
    <n v="406"/>
    <x v="3"/>
    <x v="1"/>
    <x v="15"/>
    <x v="3"/>
    <x v="1"/>
    <x v="0"/>
  </r>
  <r>
    <x v="416"/>
    <s v="21301 AUT 1696"/>
    <s v="21302AUT 1696"/>
    <s v="KM - 5 - LA CARO - KM - 5"/>
    <n v="58"/>
    <n v="4"/>
    <n v="978.29"/>
    <n v="226963.28"/>
    <n v="222"/>
    <n v="232"/>
    <x v="3"/>
    <x v="1"/>
    <x v="15"/>
    <x v="1"/>
    <x v="1"/>
    <x v="0"/>
  </r>
  <r>
    <x v="416"/>
    <s v="21303 LOC 752"/>
    <s v="22300 LOC 752"/>
    <s v="KM - 5 - PK - 43 UNI MIL-KM-5"/>
    <n v="74"/>
    <n v="9"/>
    <n v="978.29"/>
    <n v="651541.14"/>
    <n v="937"/>
    <n v="666"/>
    <x v="3"/>
    <x v="1"/>
    <x v="15"/>
    <x v="2"/>
    <x v="1"/>
    <x v="0"/>
  </r>
  <r>
    <x v="416"/>
    <s v="21305 LOC 350"/>
    <s v="21300 LOC 350"/>
    <s v="KM - 5 - LA CARO - KM - 5"/>
    <n v="58"/>
    <n v="4"/>
    <n v="978.29"/>
    <n v="226963.28"/>
    <n v="589"/>
    <n v="232"/>
    <x v="3"/>
    <x v="1"/>
    <x v="15"/>
    <x v="3"/>
    <x v="1"/>
    <x v="0"/>
  </r>
  <r>
    <x v="417"/>
    <s v="21301 AUT 1696"/>
    <s v="21302AUT 1696"/>
    <s v="KM - 5 - LA CARO - KM - 5"/>
    <n v="58"/>
    <n v="4"/>
    <n v="978.29"/>
    <n v="226963.28"/>
    <n v="183"/>
    <n v="232"/>
    <x v="3"/>
    <x v="1"/>
    <x v="15"/>
    <x v="1"/>
    <x v="1"/>
    <x v="0"/>
  </r>
  <r>
    <x v="417"/>
    <s v="21303 LOC 752"/>
    <s v="22300 LOC 752"/>
    <s v="KM - 5 - PK - 43 UNI MIL-KM-5"/>
    <n v="76"/>
    <n v="11"/>
    <n v="978.29"/>
    <n v="817850.44"/>
    <n v="1372"/>
    <n v="836"/>
    <x v="3"/>
    <x v="1"/>
    <x v="15"/>
    <x v="2"/>
    <x v="1"/>
    <x v="0"/>
  </r>
  <r>
    <x v="417"/>
    <s v="21305 LOC 350"/>
    <s v="21300 LOC 350"/>
    <s v="KM - 5 - LA CARO - KM - 5"/>
    <n v="58"/>
    <n v="7"/>
    <n v="978.29"/>
    <n v="397185.74"/>
    <n v="851"/>
    <n v="406"/>
    <x v="3"/>
    <x v="1"/>
    <x v="15"/>
    <x v="3"/>
    <x v="1"/>
    <x v="0"/>
  </r>
  <r>
    <x v="418"/>
    <s v="21301 LOC 723"/>
    <s v="22300 LOC 723"/>
    <s v="KM - 5 - PK - 43 UNI MIL-KM-5"/>
    <n v="76"/>
    <n v="7"/>
    <n v="978.29"/>
    <n v="520450.27999999997"/>
    <n v="657"/>
    <n v="532"/>
    <x v="3"/>
    <x v="1"/>
    <x v="15"/>
    <x v="2"/>
    <x v="1"/>
    <x v="0"/>
  </r>
  <r>
    <x v="418"/>
    <s v="21303 LOC 752"/>
    <s v="22302 LOC 752"/>
    <s v="KM - 5 - ZIPAQUIRA - KM - 5"/>
    <n v="96"/>
    <n v="9"/>
    <n v="978.29"/>
    <n v="845242.55999999994"/>
    <n v="616"/>
    <n v="864"/>
    <x v="3"/>
    <x v="1"/>
    <x v="15"/>
    <x v="0"/>
    <x v="0"/>
    <x v="0"/>
  </r>
  <r>
    <x v="418"/>
    <s v="21305 LOC 350"/>
    <s v="21300 LOC 350"/>
    <s v="KM - 5 - PK - 28 MUL - USAQ"/>
    <n v="36"/>
    <n v="7"/>
    <n v="978.29"/>
    <n v="246529.08"/>
    <n v="264"/>
    <n v="252"/>
    <x v="3"/>
    <x v="1"/>
    <x v="15"/>
    <x v="0"/>
    <x v="0"/>
    <x v="0"/>
  </r>
  <r>
    <x v="418"/>
    <s v="21307 LOC 350"/>
    <s v="21302 LOC 350"/>
    <s v="USAQUEN - LA CARO - KM - 5"/>
    <n v="48"/>
    <n v="7"/>
    <n v="978.29"/>
    <n v="328705.44"/>
    <n v="412"/>
    <n v="336"/>
    <x v="3"/>
    <x v="1"/>
    <x v="15"/>
    <x v="0"/>
    <x v="0"/>
    <x v="0"/>
  </r>
  <r>
    <x v="419"/>
    <s v="21301 LOC 752"/>
    <s v="22300 LOC 752"/>
    <s v="KM - 5 - ZIPAQUIRA - KM - 5"/>
    <n v="96"/>
    <n v="12"/>
    <n v="978.29"/>
    <n v="1126990.08"/>
    <n v="956"/>
    <n v="1152"/>
    <x v="3"/>
    <x v="1"/>
    <x v="15"/>
    <x v="0"/>
    <x v="0"/>
    <x v="0"/>
  </r>
  <r>
    <x v="420"/>
    <s v="21301 AUT 1696"/>
    <s v="21302AUT 1696"/>
    <s v="KM - 5 - LA CARO - KM - 5"/>
    <n v="58"/>
    <n v="4"/>
    <n v="978.29"/>
    <n v="226963.28"/>
    <n v="168"/>
    <n v="232"/>
    <x v="3"/>
    <x v="1"/>
    <x v="15"/>
    <x v="1"/>
    <x v="1"/>
    <x v="0"/>
  </r>
  <r>
    <x v="420"/>
    <s v="21303 LOC 752"/>
    <s v="22300 LOC 752"/>
    <s v="KM - 5 - PK - 43 UNI MIL-KM-5"/>
    <n v="74"/>
    <n v="9"/>
    <n v="978.29"/>
    <n v="651541.14"/>
    <n v="1284"/>
    <n v="666"/>
    <x v="3"/>
    <x v="1"/>
    <x v="15"/>
    <x v="2"/>
    <x v="1"/>
    <x v="0"/>
  </r>
  <r>
    <x v="421"/>
    <s v="21301 AUT 1696"/>
    <s v="21302AUT 1696"/>
    <s v="KM - 5 - LA CARO - KM - 5"/>
    <n v="58"/>
    <n v="4"/>
    <n v="978.29"/>
    <n v="226963.28"/>
    <n v="225"/>
    <n v="232"/>
    <x v="3"/>
    <x v="1"/>
    <x v="15"/>
    <x v="1"/>
    <x v="1"/>
    <x v="0"/>
  </r>
  <r>
    <x v="421"/>
    <s v="21303 LOC 752"/>
    <s v="22300 LOC 752"/>
    <s v="KM - 5 - PK - 43 UNI MIL-KM-5"/>
    <n v="74"/>
    <n v="9"/>
    <n v="978.29"/>
    <n v="651541.14"/>
    <n v="1201"/>
    <n v="666"/>
    <x v="3"/>
    <x v="1"/>
    <x v="15"/>
    <x v="2"/>
    <x v="1"/>
    <x v="0"/>
  </r>
  <r>
    <x v="421"/>
    <s v="21305 LOC 350"/>
    <s v="21300 LOC 350"/>
    <s v="KM - 5 - LA CARO - KM - 5"/>
    <n v="58"/>
    <n v="4"/>
    <n v="978.29"/>
    <n v="226963.28"/>
    <n v="496"/>
    <n v="232"/>
    <x v="3"/>
    <x v="1"/>
    <x v="15"/>
    <x v="3"/>
    <x v="1"/>
    <x v="0"/>
  </r>
  <r>
    <x v="422"/>
    <s v="21301 AUT 1696"/>
    <s v="21302AUT 1696"/>
    <s v="KM - 5 - LA CARO - KM - 5"/>
    <n v="58"/>
    <n v="4"/>
    <n v="978.29"/>
    <n v="226963.28"/>
    <n v="198"/>
    <n v="232"/>
    <x v="3"/>
    <x v="1"/>
    <x v="15"/>
    <x v="1"/>
    <x v="1"/>
    <x v="0"/>
  </r>
  <r>
    <x v="422"/>
    <s v="21303 LOC 752"/>
    <s v="22300 LOC 752"/>
    <s v="KM - 5 - PK - 43 UNI MIL-KM-5"/>
    <n v="74"/>
    <n v="9"/>
    <n v="978.29"/>
    <n v="651541.14"/>
    <n v="1080"/>
    <n v="666"/>
    <x v="3"/>
    <x v="1"/>
    <x v="15"/>
    <x v="2"/>
    <x v="1"/>
    <x v="0"/>
  </r>
  <r>
    <x v="422"/>
    <s v="21305 LOC 350"/>
    <s v="21300 LOC 350"/>
    <s v="KM - 5 - LA CARO - KM - 5"/>
    <n v="58"/>
    <n v="7"/>
    <n v="978.29"/>
    <n v="397185.74"/>
    <n v="942"/>
    <n v="406"/>
    <x v="3"/>
    <x v="1"/>
    <x v="15"/>
    <x v="3"/>
    <x v="1"/>
    <x v="0"/>
  </r>
  <r>
    <x v="423"/>
    <s v="21301 LOC 711"/>
    <s v="22300 LOC 711"/>
    <s v="KM - 5 - ZIPAQUIRA - KM - 5"/>
    <n v="96"/>
    <n v="11"/>
    <n v="978.29"/>
    <n v="1033074.24"/>
    <n v="678"/>
    <n v="1056"/>
    <x v="4"/>
    <x v="1"/>
    <x v="16"/>
    <x v="0"/>
    <x v="0"/>
    <x v="0"/>
  </r>
  <r>
    <x v="424"/>
    <s v="21301 AUT 1696"/>
    <s v="21302 AUT 1696"/>
    <s v="KM - 5 - LA CARO - KM - 5"/>
    <n v="58"/>
    <n v="4"/>
    <n v="978.29"/>
    <n v="226963.28"/>
    <n v="141"/>
    <n v="232"/>
    <x v="4"/>
    <x v="1"/>
    <x v="16"/>
    <x v="1"/>
    <x v="1"/>
    <x v="0"/>
  </r>
  <r>
    <x v="424"/>
    <s v="21303 LOC 752"/>
    <s v="22300 LOC 752"/>
    <s v="KM - 5 - PK - 43 UNI MIL-KM-5"/>
    <n v="76"/>
    <n v="9"/>
    <n v="978.29"/>
    <n v="669150.36"/>
    <n v="1161"/>
    <n v="684"/>
    <x v="4"/>
    <x v="1"/>
    <x v="16"/>
    <x v="2"/>
    <x v="1"/>
    <x v="0"/>
  </r>
  <r>
    <x v="424"/>
    <s v="21305 LOC 711"/>
    <s v="21300 LOC 711"/>
    <s v="KM - 5 - LA CARO - KM - 5"/>
    <n v="58"/>
    <n v="7"/>
    <n v="978.29"/>
    <n v="397185.74"/>
    <n v="519"/>
    <n v="406"/>
    <x v="4"/>
    <x v="1"/>
    <x v="16"/>
    <x v="3"/>
    <x v="1"/>
    <x v="0"/>
  </r>
  <r>
    <x v="425"/>
    <s v="21301 AUT 1696"/>
    <s v="22300 AUT 1696"/>
    <s v="KM - 5 - PK - 43 UNI MIL-KM-5"/>
    <n v="76"/>
    <n v="3"/>
    <n v="978.29"/>
    <n v="223050.12"/>
    <n v="544"/>
    <n v="228"/>
    <x v="4"/>
    <x v="1"/>
    <x v="16"/>
    <x v="2"/>
    <x v="1"/>
    <x v="0"/>
  </r>
  <r>
    <x v="425"/>
    <s v="21303 LOC 752"/>
    <s v="22302 LOC 752"/>
    <s v="KM - 5 - ZIPAQUIRA - KM - 5"/>
    <n v="96"/>
    <n v="13"/>
    <n v="978.29"/>
    <n v="1220905.92"/>
    <n v="890"/>
    <n v="1248"/>
    <x v="4"/>
    <x v="1"/>
    <x v="16"/>
    <x v="0"/>
    <x v="0"/>
    <x v="0"/>
  </r>
  <r>
    <x v="426"/>
    <s v="21301 LOC 752"/>
    <s v="22300 LOC 752"/>
    <s v="KM - 5 - ZIPAQUIRA - KM - 5"/>
    <n v="96"/>
    <n v="12"/>
    <n v="978.29"/>
    <n v="1126990.08"/>
    <n v="838"/>
    <n v="1152"/>
    <x v="4"/>
    <x v="1"/>
    <x v="16"/>
    <x v="0"/>
    <x v="0"/>
    <x v="0"/>
  </r>
  <r>
    <x v="427"/>
    <s v="21301 AUT 1676"/>
    <s v="21300 AUT 1676"/>
    <s v="KM - 5 - LA CARO - KM - 5"/>
    <n v="58"/>
    <n v="4"/>
    <n v="978.29"/>
    <n v="226963.28"/>
    <n v="177"/>
    <n v="232"/>
    <x v="4"/>
    <x v="1"/>
    <x v="16"/>
    <x v="1"/>
    <x v="1"/>
    <x v="0"/>
  </r>
  <r>
    <x v="427"/>
    <s v="21303 LOC 711"/>
    <s v="22300 LOC 711"/>
    <s v="KM - 5 - PK - 43 UNI MIL-KM-5"/>
    <n v="76"/>
    <n v="9"/>
    <n v="978.29"/>
    <n v="669150.36"/>
    <n v="1276"/>
    <n v="684"/>
    <x v="4"/>
    <x v="1"/>
    <x v="16"/>
    <x v="2"/>
    <x v="1"/>
    <x v="0"/>
  </r>
  <r>
    <x v="428"/>
    <s v="21301 AUT 1676"/>
    <s v="21302 AUT 1676"/>
    <s v="KM - 5 - LA CARO - KM - 5"/>
    <n v="58"/>
    <n v="4"/>
    <n v="978.29"/>
    <n v="226963.28"/>
    <n v="221"/>
    <n v="232"/>
    <x v="4"/>
    <x v="1"/>
    <x v="16"/>
    <x v="1"/>
    <x v="1"/>
    <x v="0"/>
  </r>
  <r>
    <x v="428"/>
    <s v="21303 LOC 711"/>
    <s v="22300 LOC 711"/>
    <s v="KM - 5 - PK - 43 UNI MIL-KM-5"/>
    <n v="76"/>
    <n v="9"/>
    <n v="978.29"/>
    <n v="669150.36"/>
    <n v="1169"/>
    <n v="684"/>
    <x v="4"/>
    <x v="1"/>
    <x v="16"/>
    <x v="2"/>
    <x v="1"/>
    <x v="0"/>
  </r>
  <r>
    <x v="428"/>
    <s v="21305 AUT 1696"/>
    <s v="21300 AUT 1696"/>
    <s v="KM - 5 - LA CARO - KM - 5"/>
    <n v="58"/>
    <n v="4"/>
    <n v="978.29"/>
    <n v="226963.28"/>
    <n v="428"/>
    <n v="232"/>
    <x v="4"/>
    <x v="1"/>
    <x v="16"/>
    <x v="3"/>
    <x v="1"/>
    <x v="0"/>
  </r>
  <r>
    <x v="429"/>
    <s v="21301 AUT 1676"/>
    <s v="21302 AUT 1676"/>
    <s v="KM - 5 - LA CARO - KM - 5"/>
    <n v="58"/>
    <n v="4"/>
    <n v="978.29"/>
    <n v="226963.28"/>
    <n v="206"/>
    <n v="232"/>
    <x v="4"/>
    <x v="1"/>
    <x v="16"/>
    <x v="1"/>
    <x v="1"/>
    <x v="0"/>
  </r>
  <r>
    <x v="429"/>
    <s v="21303 LOC 711"/>
    <s v="22300 LOC 711"/>
    <s v="KM - 5 - PK - 43 UNI MIL-KM-5"/>
    <n v="76"/>
    <n v="9"/>
    <n v="978.29"/>
    <n v="669150.36"/>
    <n v="1110"/>
    <n v="684"/>
    <x v="4"/>
    <x v="1"/>
    <x v="16"/>
    <x v="2"/>
    <x v="1"/>
    <x v="0"/>
  </r>
  <r>
    <x v="429"/>
    <s v="21305 LOC 723"/>
    <s v="21300 LOC 723"/>
    <s v="KM - 5 - LA CARO - KM - 5"/>
    <n v="58"/>
    <n v="7"/>
    <n v="978.29"/>
    <n v="397185.74"/>
    <n v="760"/>
    <n v="406"/>
    <x v="4"/>
    <x v="1"/>
    <x v="16"/>
    <x v="3"/>
    <x v="1"/>
    <x v="0"/>
  </r>
  <r>
    <x v="430"/>
    <s v="21301 AUT 1676"/>
    <s v="21302 AUT 1676"/>
    <s v="KM - 5 - LA CARO - KM - 5"/>
    <n v="58"/>
    <n v="4"/>
    <n v="978.29"/>
    <n v="226963.28"/>
    <n v="214"/>
    <n v="232"/>
    <x v="4"/>
    <x v="1"/>
    <x v="16"/>
    <x v="1"/>
    <x v="1"/>
    <x v="0"/>
  </r>
  <r>
    <x v="430"/>
    <s v="21303 LOC 752"/>
    <s v="22300 LOC 752"/>
    <s v="KM - 5 - PK - 43 UNI MIL-KM-5"/>
    <n v="76"/>
    <n v="14"/>
    <n v="978.29"/>
    <n v="1040900.5599999999"/>
    <n v="1938"/>
    <n v="1064"/>
    <x v="4"/>
    <x v="1"/>
    <x v="16"/>
    <x v="2"/>
    <x v="1"/>
    <x v="0"/>
  </r>
  <r>
    <x v="430"/>
    <s v="21305 AUT 1696"/>
    <s v="21300 AUT 1696"/>
    <s v="KM - 5 - LA CARO - KM - 5"/>
    <n v="58"/>
    <n v="4"/>
    <n v="978.29"/>
    <n v="226963.28"/>
    <n v="582"/>
    <n v="232"/>
    <x v="4"/>
    <x v="1"/>
    <x v="16"/>
    <x v="3"/>
    <x v="1"/>
    <x v="0"/>
  </r>
  <r>
    <x v="431"/>
    <s v="21301 AUT 1696"/>
    <s v="21302 AUT 1676"/>
    <s v="KM - 5 - LA CARO - KM - 5"/>
    <n v="58"/>
    <n v="4"/>
    <n v="978.29"/>
    <n v="226963.28"/>
    <n v="161"/>
    <n v="232"/>
    <x v="4"/>
    <x v="1"/>
    <x v="16"/>
    <x v="1"/>
    <x v="1"/>
    <x v="0"/>
  </r>
  <r>
    <x v="431"/>
    <s v="21303 LOC 752"/>
    <s v="22302 LOC 752"/>
    <s v="KM - 5 - PK - 43 UNI MIL-KM-5"/>
    <n v="76"/>
    <n v="14"/>
    <n v="978.29"/>
    <n v="1040900.5599999999"/>
    <n v="1843"/>
    <n v="1064"/>
    <x v="4"/>
    <x v="1"/>
    <x v="16"/>
    <x v="2"/>
    <x v="1"/>
    <x v="0"/>
  </r>
  <r>
    <x v="431"/>
    <s v="21305 LOC 723"/>
    <s v="21300 LOC 723"/>
    <s v="KM - 5 - LA CARO - KM - 5"/>
    <n v="58"/>
    <n v="7"/>
    <n v="978.29"/>
    <n v="397185.74"/>
    <n v="625"/>
    <n v="406"/>
    <x v="4"/>
    <x v="1"/>
    <x v="16"/>
    <x v="3"/>
    <x v="1"/>
    <x v="0"/>
  </r>
  <r>
    <x v="431"/>
    <s v="21301 LOC 711"/>
    <s v="22300 LOC 711"/>
    <s v="KM - 5 - ZIPAQUIRA - KM - 5"/>
    <n v="96"/>
    <n v="4"/>
    <n v="978.29"/>
    <n v="375663.35999999999"/>
    <n v="180"/>
    <n v="384"/>
    <x v="4"/>
    <x v="1"/>
    <x v="16"/>
    <x v="0"/>
    <x v="0"/>
    <x v="0"/>
  </r>
  <r>
    <x v="432"/>
    <s v="21301 AUT 1676"/>
    <s v="22300 AUT 1676"/>
    <s v="KM - 5 - PK - 43 UNI MIL-KM-5"/>
    <n v="76"/>
    <n v="3"/>
    <n v="978.29"/>
    <n v="223050.12"/>
    <n v="367"/>
    <n v="228"/>
    <x v="4"/>
    <x v="1"/>
    <x v="16"/>
    <x v="2"/>
    <x v="1"/>
    <x v="0"/>
  </r>
  <r>
    <x v="432"/>
    <s v="21303 AUT 1696"/>
    <s v="21300 AUT 1696"/>
    <s v="KM - 5 - LA CARO - KM - 5"/>
    <n v="58"/>
    <n v="4"/>
    <n v="978.29"/>
    <n v="226963.28"/>
    <n v="229"/>
    <n v="232"/>
    <x v="4"/>
    <x v="1"/>
    <x v="16"/>
    <x v="1"/>
    <x v="1"/>
    <x v="0"/>
  </r>
  <r>
    <x v="432"/>
    <s v="21305 LOC 350"/>
    <s v="22302 LOC 350"/>
    <s v="KM - 5 - ZIPAQUIRA - KM - 5"/>
    <n v="96"/>
    <n v="13"/>
    <n v="978.29"/>
    <n v="1220905.92"/>
    <n v="830"/>
    <n v="1248"/>
    <x v="4"/>
    <x v="1"/>
    <x v="16"/>
    <x v="0"/>
    <x v="0"/>
    <x v="0"/>
  </r>
  <r>
    <x v="433"/>
    <s v="21301 LOC 350"/>
    <s v="22300 LOC 350"/>
    <s v="KM - 5 - ZIPAQUIRA - KM - 5"/>
    <n v="96"/>
    <n v="17"/>
    <n v="978.29"/>
    <n v="1596569.28"/>
    <n v="1076"/>
    <n v="1632"/>
    <x v="4"/>
    <x v="1"/>
    <x v="16"/>
    <x v="0"/>
    <x v="0"/>
    <x v="0"/>
  </r>
  <r>
    <x v="434"/>
    <s v="21301 AUT 1676"/>
    <s v="21300 AUT 1676"/>
    <s v="KM - 5 - LA CARO - KM - 5"/>
    <n v="58"/>
    <n v="4"/>
    <n v="978.29"/>
    <n v="226963.28"/>
    <n v="189"/>
    <n v="232"/>
    <x v="4"/>
    <x v="1"/>
    <x v="16"/>
    <x v="1"/>
    <x v="1"/>
    <x v="0"/>
  </r>
  <r>
    <x v="434"/>
    <s v="21303 LOC 711"/>
    <s v="22300 LOC 711"/>
    <s v="KM - 5 - PK - 43 UNI MIL-KM-5"/>
    <n v="76"/>
    <n v="9"/>
    <n v="978.29"/>
    <n v="669150.36"/>
    <n v="1223"/>
    <n v="684"/>
    <x v="4"/>
    <x v="1"/>
    <x v="16"/>
    <x v="2"/>
    <x v="1"/>
    <x v="0"/>
  </r>
  <r>
    <x v="435"/>
    <s v="21301 AUT 1696"/>
    <s v="21302 AUT 1696"/>
    <s v="KM - 5 - LA CARO - KM - 5"/>
    <n v="58"/>
    <n v="4"/>
    <n v="978.29"/>
    <n v="226963.28"/>
    <n v="223"/>
    <n v="232"/>
    <x v="4"/>
    <x v="1"/>
    <x v="16"/>
    <x v="1"/>
    <x v="1"/>
    <x v="0"/>
  </r>
  <r>
    <x v="435"/>
    <s v="21303 LOC 711"/>
    <s v="22300 LOC 711"/>
    <s v="KM - 5 - PK - 43 UNI MIL-KM-5"/>
    <n v="76"/>
    <n v="9"/>
    <n v="978.29"/>
    <n v="669150.36"/>
    <n v="1081"/>
    <n v="684"/>
    <x v="4"/>
    <x v="1"/>
    <x v="16"/>
    <x v="2"/>
    <x v="1"/>
    <x v="0"/>
  </r>
  <r>
    <x v="435"/>
    <s v="21305 LOC 752"/>
    <s v="21300 LOC 752"/>
    <s v="KM - 5 - LA CARO - KM - 5"/>
    <n v="58"/>
    <n v="4"/>
    <n v="978.29"/>
    <n v="226963.28"/>
    <n v="436"/>
    <n v="232"/>
    <x v="4"/>
    <x v="1"/>
    <x v="16"/>
    <x v="3"/>
    <x v="1"/>
    <x v="0"/>
  </r>
  <r>
    <x v="436"/>
    <s v="21301 AUT 1696"/>
    <s v="21304 AUT 1696"/>
    <s v="KM - 5 - LA CARO - KM - 5"/>
    <n v="58"/>
    <n v="4"/>
    <n v="978.29"/>
    <n v="226963.28"/>
    <n v="197"/>
    <n v="232"/>
    <x v="4"/>
    <x v="1"/>
    <x v="16"/>
    <x v="1"/>
    <x v="1"/>
    <x v="0"/>
  </r>
  <r>
    <x v="436"/>
    <s v="21303 LOC 711"/>
    <s v="22300 LOC 711"/>
    <s v="KM - 5 - PK - 43 UNI MIL-KM-5"/>
    <n v="76"/>
    <n v="9"/>
    <n v="978.29"/>
    <n v="669150.36"/>
    <n v="1083"/>
    <n v="684"/>
    <x v="4"/>
    <x v="1"/>
    <x v="16"/>
    <x v="2"/>
    <x v="1"/>
    <x v="0"/>
  </r>
  <r>
    <x v="436"/>
    <s v="21305 LOC 752"/>
    <s v="21302 LOC 752"/>
    <s v="KM - 5 - LA CARO - KM - 5"/>
    <n v="58"/>
    <n v="7"/>
    <n v="978.29"/>
    <n v="397185.74"/>
    <n v="741"/>
    <n v="406"/>
    <x v="4"/>
    <x v="1"/>
    <x v="16"/>
    <x v="3"/>
    <x v="1"/>
    <x v="0"/>
  </r>
  <r>
    <x v="436"/>
    <s v="21307 LOC 350"/>
    <s v="21300 LOC 350"/>
    <s v="KM - 5 - MULT PK-28 - KM-5"/>
    <n v="46"/>
    <n v="4"/>
    <n v="978.29"/>
    <n v="180005.36"/>
    <n v="270"/>
    <n v="184"/>
    <x v="4"/>
    <x v="1"/>
    <x v="16"/>
    <x v="0"/>
    <x v="0"/>
    <x v="0"/>
  </r>
  <r>
    <x v="437"/>
    <s v="21301 AUT 1696"/>
    <s v="21302 AUT 1696"/>
    <s v="KM - 5 - LA CARO - KM - 5"/>
    <n v="58"/>
    <n v="4"/>
    <n v="978.29"/>
    <n v="226963.28"/>
    <n v="199"/>
    <n v="232"/>
    <x v="4"/>
    <x v="1"/>
    <x v="16"/>
    <x v="1"/>
    <x v="1"/>
    <x v="0"/>
  </r>
  <r>
    <x v="437"/>
    <s v="21303 LOC 711"/>
    <s v="22300 LOC 711"/>
    <s v="KM - 5 - PK - 43 UNI MIL-KM-5"/>
    <n v="76"/>
    <n v="9"/>
    <n v="978.29"/>
    <n v="669150.36"/>
    <n v="923"/>
    <n v="684"/>
    <x v="4"/>
    <x v="1"/>
    <x v="16"/>
    <x v="2"/>
    <x v="1"/>
    <x v="0"/>
  </r>
  <r>
    <x v="437"/>
    <s v="21305 AUT 1676"/>
    <s v="21300 AUT 1676"/>
    <s v="KM - 5 - LA CARO - KM - 5"/>
    <n v="58"/>
    <n v="4"/>
    <n v="978.29"/>
    <n v="226963.28"/>
    <n v="472"/>
    <n v="232"/>
    <x v="4"/>
    <x v="1"/>
    <x v="16"/>
    <x v="3"/>
    <x v="1"/>
    <x v="0"/>
  </r>
  <r>
    <x v="438"/>
    <s v="21301 AUT 1676"/>
    <s v="21302 AUT 1676"/>
    <s v="KM - 5 - LA CARO - KM - 5"/>
    <n v="58"/>
    <n v="4"/>
    <n v="978.29"/>
    <n v="226963.28"/>
    <n v="181"/>
    <n v="232"/>
    <x v="4"/>
    <x v="1"/>
    <x v="16"/>
    <x v="1"/>
    <x v="1"/>
    <x v="0"/>
  </r>
  <r>
    <x v="438"/>
    <s v="21303 LOC 752"/>
    <s v="22300 LOC 752"/>
    <s v="KM - 5 - PK - 43 UNI MIL-KM-5"/>
    <n v="76"/>
    <n v="9"/>
    <n v="978.29"/>
    <n v="669150.36"/>
    <n v="1116"/>
    <n v="684"/>
    <x v="4"/>
    <x v="1"/>
    <x v="16"/>
    <x v="2"/>
    <x v="1"/>
    <x v="0"/>
  </r>
  <r>
    <x v="438"/>
    <s v="21305 LOC 350"/>
    <s v="21300 LOC 350"/>
    <s v="KM - 5 - LA CARO - KM - 5"/>
    <n v="58"/>
    <n v="4"/>
    <n v="978.29"/>
    <n v="226963.28"/>
    <n v="585"/>
    <n v="232"/>
    <x v="4"/>
    <x v="1"/>
    <x v="16"/>
    <x v="3"/>
    <x v="1"/>
    <x v="0"/>
  </r>
  <r>
    <x v="439"/>
    <s v="21301 AUT 1696"/>
    <s v="22300 AUT 1696"/>
    <s v="KM - 5 - PK - 43 UNI MIL-KM-5"/>
    <n v="76"/>
    <n v="3"/>
    <n v="978.29"/>
    <n v="223050.12"/>
    <n v="426"/>
    <n v="228"/>
    <x v="4"/>
    <x v="1"/>
    <x v="16"/>
    <x v="2"/>
    <x v="1"/>
    <x v="0"/>
  </r>
  <r>
    <x v="439"/>
    <s v="21303 LOC 711"/>
    <s v="22302 LOC 711"/>
    <s v="KM - 5 - ZIPAQUIRA - KM - 5"/>
    <n v="96"/>
    <n v="11"/>
    <n v="978.29"/>
    <n v="1033074.24"/>
    <n v="724"/>
    <n v="1056"/>
    <x v="4"/>
    <x v="1"/>
    <x v="16"/>
    <x v="0"/>
    <x v="0"/>
    <x v="0"/>
  </r>
  <r>
    <x v="440"/>
    <s v="21301 LOC 711"/>
    <s v="22300 LOC 752"/>
    <s v="KM - 5 - ZIPAQUIRA - KM - 5"/>
    <n v="96"/>
    <n v="14"/>
    <n v="978.29"/>
    <n v="1314821.76"/>
    <n v="1034"/>
    <n v="1344"/>
    <x v="4"/>
    <x v="1"/>
    <x v="16"/>
    <x v="0"/>
    <x v="0"/>
    <x v="0"/>
  </r>
  <r>
    <x v="441"/>
    <s v="21301 AUT 1696"/>
    <s v="21304 AUT 1696"/>
    <s v="KM - 5 - LA CARO - KM - 5"/>
    <n v="58"/>
    <n v="4"/>
    <n v="978.29"/>
    <n v="226963.28"/>
    <n v="139"/>
    <n v="232"/>
    <x v="4"/>
    <x v="1"/>
    <x v="16"/>
    <x v="1"/>
    <x v="1"/>
    <x v="0"/>
  </r>
  <r>
    <x v="441"/>
    <s v="21303 LOC 723"/>
    <s v="22300 LOC 723"/>
    <s v="KM - 5 - PK - 43 UNI MIL-KM-5"/>
    <n v="76"/>
    <n v="8"/>
    <n v="978.29"/>
    <n v="594800.31999999995"/>
    <n v="1032"/>
    <n v="608"/>
    <x v="4"/>
    <x v="1"/>
    <x v="16"/>
    <x v="2"/>
    <x v="1"/>
    <x v="0"/>
  </r>
  <r>
    <x v="442"/>
    <s v="21301 AUT 1696"/>
    <s v="21302 AUT 1696"/>
    <s v="KM - 5 - LA CARO - KM - 5"/>
    <n v="58"/>
    <n v="4"/>
    <n v="978.29"/>
    <n v="226963.28"/>
    <n v="157"/>
    <n v="232"/>
    <x v="4"/>
    <x v="1"/>
    <x v="16"/>
    <x v="1"/>
    <x v="1"/>
    <x v="0"/>
  </r>
  <r>
    <x v="442"/>
    <s v="21303 LOC 723"/>
    <s v="22300 LOC 723"/>
    <s v="KM - 5 - PK - 43 UNI MIL-KM-5"/>
    <n v="76"/>
    <n v="8"/>
    <n v="978.29"/>
    <n v="594800.31999999995"/>
    <n v="926"/>
    <n v="608"/>
    <x v="4"/>
    <x v="1"/>
    <x v="16"/>
    <x v="2"/>
    <x v="1"/>
    <x v="0"/>
  </r>
  <r>
    <x v="442"/>
    <s v="21305 AUT 1676"/>
    <s v="21300 AUT 1676"/>
    <s v="KM - 5 - LA CARO - KM - 5"/>
    <n v="58"/>
    <n v="4"/>
    <n v="978.29"/>
    <n v="226963.28"/>
    <n v="182"/>
    <n v="232"/>
    <x v="4"/>
    <x v="1"/>
    <x v="16"/>
    <x v="3"/>
    <x v="1"/>
    <x v="0"/>
  </r>
  <r>
    <x v="443"/>
    <s v="21301 AUT 1696"/>
    <s v="21302 AUT 1696"/>
    <s v="KM - 5 - LA CARO - KM - 5"/>
    <n v="58"/>
    <n v="4"/>
    <n v="978.29"/>
    <n v="226963.28"/>
    <n v="159"/>
    <n v="232"/>
    <x v="4"/>
    <x v="1"/>
    <x v="16"/>
    <x v="1"/>
    <x v="1"/>
    <x v="0"/>
  </r>
  <r>
    <x v="443"/>
    <s v="21303 LOC 723"/>
    <s v="22300 LOC 723"/>
    <s v="KM - 5 - PK - 43 UNI MIL-KM-5"/>
    <n v="76"/>
    <n v="8"/>
    <n v="978.29"/>
    <n v="594800.31999999995"/>
    <n v="877"/>
    <n v="608"/>
    <x v="4"/>
    <x v="1"/>
    <x v="16"/>
    <x v="2"/>
    <x v="1"/>
    <x v="0"/>
  </r>
  <r>
    <x v="443"/>
    <s v="21305 AUT 1676"/>
    <s v="21300 AUT 1676"/>
    <s v="KM - 5 - LA CARO - KM - 5"/>
    <n v="58"/>
    <n v="4"/>
    <n v="978.29"/>
    <n v="226963.28"/>
    <n v="614"/>
    <n v="232"/>
    <x v="4"/>
    <x v="1"/>
    <x v="16"/>
    <x v="3"/>
    <x v="1"/>
    <x v="0"/>
  </r>
  <r>
    <x v="444"/>
    <s v="21301 AUT 1696"/>
    <s v="21302 AUT 1696"/>
    <s v="KM - 5 - LA CARO - KM - 5"/>
    <n v="58"/>
    <n v="4"/>
    <n v="978.29"/>
    <n v="226963.28"/>
    <n v="181"/>
    <n v="232"/>
    <x v="4"/>
    <x v="1"/>
    <x v="16"/>
    <x v="1"/>
    <x v="1"/>
    <x v="0"/>
  </r>
  <r>
    <x v="444"/>
    <s v="21303 LOC 723"/>
    <s v="22300 LOC 723"/>
    <s v="KM - 5 - PK - 43 UNI MIL-KM-5"/>
    <n v="76"/>
    <n v="8"/>
    <n v="978.29"/>
    <n v="594800.31999999995"/>
    <n v="742"/>
    <n v="608"/>
    <x v="4"/>
    <x v="1"/>
    <x v="16"/>
    <x v="2"/>
    <x v="1"/>
    <x v="0"/>
  </r>
  <r>
    <x v="444"/>
    <s v="21305 AUT 1676"/>
    <s v="21300 AUT 1676"/>
    <s v="KM - 5 - LA CARO - KM - 5"/>
    <n v="58"/>
    <n v="4"/>
    <n v="978.29"/>
    <n v="226963.28"/>
    <n v="156"/>
    <n v="232"/>
    <x v="4"/>
    <x v="1"/>
    <x v="16"/>
    <x v="3"/>
    <x v="1"/>
    <x v="0"/>
  </r>
  <r>
    <x v="445"/>
    <s v="21301 AUT 1696"/>
    <s v="21302 AUT 1696"/>
    <s v="KM - 5 - LA CARO - KM - 5"/>
    <n v="58"/>
    <n v="4"/>
    <n v="978.29"/>
    <n v="226963.28"/>
    <n v="132"/>
    <n v="232"/>
    <x v="4"/>
    <x v="1"/>
    <x v="16"/>
    <x v="1"/>
    <x v="1"/>
    <x v="0"/>
  </r>
  <r>
    <x v="445"/>
    <s v="21303 LOC 723"/>
    <s v="22300 LOC 723"/>
    <s v="KM - 5 - PK - 43 UNI MIL-KM-5"/>
    <n v="76"/>
    <n v="8"/>
    <n v="978.29"/>
    <n v="594800.31999999995"/>
    <n v="1067"/>
    <n v="608"/>
    <x v="4"/>
    <x v="1"/>
    <x v="16"/>
    <x v="2"/>
    <x v="1"/>
    <x v="0"/>
  </r>
  <r>
    <x v="445"/>
    <s v="21305 LOC 350"/>
    <s v="21300 LOC 350"/>
    <s v="KM - 5 - LA CARO - KM - 5"/>
    <n v="58"/>
    <n v="4"/>
    <n v="978.29"/>
    <n v="226963.28"/>
    <n v="566"/>
    <n v="232"/>
    <x v="4"/>
    <x v="1"/>
    <x v="16"/>
    <x v="3"/>
    <x v="1"/>
    <x v="0"/>
  </r>
  <r>
    <x v="446"/>
    <s v="21301 AUT 1676"/>
    <s v="22300 AUT 1676"/>
    <s v="KM - 5 - PK - 43 UNI MIL-KM-5"/>
    <n v="76"/>
    <n v="3"/>
    <n v="978.29"/>
    <n v="223050.12"/>
    <n v="245"/>
    <n v="228"/>
    <x v="4"/>
    <x v="1"/>
    <x v="16"/>
    <x v="2"/>
    <x v="1"/>
    <x v="0"/>
  </r>
  <r>
    <x v="446"/>
    <s v="21303 LOC 752"/>
    <s v="22302 LOC 752"/>
    <s v="KM - 5 - ZIPAQUIRA - KM - 5"/>
    <n v="96"/>
    <n v="17"/>
    <n v="978.29"/>
    <n v="1596569.28"/>
    <n v="1542"/>
    <n v="1632"/>
    <x v="4"/>
    <x v="1"/>
    <x v="16"/>
    <x v="0"/>
    <x v="0"/>
    <x v="0"/>
  </r>
  <r>
    <x v="447"/>
    <s v="21301 LOC 723"/>
    <s v="22300 LOC 723"/>
    <s v="KM - 5 - ZIPAQUIRA - KM - 5"/>
    <n v="96"/>
    <n v="12"/>
    <n v="978.29"/>
    <n v="1126990.08"/>
    <n v="930"/>
    <n v="1152"/>
    <x v="4"/>
    <x v="1"/>
    <x v="16"/>
    <x v="0"/>
    <x v="0"/>
    <x v="0"/>
  </r>
  <r>
    <x v="448"/>
    <s v="21301 loc 723"/>
    <s v="22300 loc 723"/>
    <s v="KM - 5 - PK - 43 UNI MIL-KM-5"/>
    <n v="76"/>
    <n v="7"/>
    <n v="978.29"/>
    <n v="520450.27999999997"/>
    <n v="693"/>
    <n v="532"/>
    <x v="4"/>
    <x v="1"/>
    <x v="16"/>
    <x v="2"/>
    <x v="1"/>
    <x v="0"/>
  </r>
  <r>
    <x v="449"/>
    <s v="21301 loc 723"/>
    <s v="22300 loc 723"/>
    <s v="KM - 5 - PK - 43 UNI MIL-KM-5"/>
    <n v="76"/>
    <n v="7"/>
    <n v="978.29"/>
    <n v="520450.27999999997"/>
    <n v="507"/>
    <n v="532"/>
    <x v="4"/>
    <x v="1"/>
    <x v="16"/>
    <x v="2"/>
    <x v="1"/>
    <x v="0"/>
  </r>
  <r>
    <x v="450"/>
    <s v="21301 loc 723"/>
    <s v="22300 loc 723"/>
    <s v="KM - 5 - PK - 43 UNI MIL-KM-5"/>
    <n v="76"/>
    <n v="6"/>
    <n v="978.29"/>
    <n v="446100.24"/>
    <n v="480"/>
    <n v="456"/>
    <x v="4"/>
    <x v="1"/>
    <x v="16"/>
    <x v="2"/>
    <x v="1"/>
    <x v="0"/>
  </r>
  <r>
    <x v="451"/>
    <s v="21301 loc 723"/>
    <s v="22300 loc 723"/>
    <s v="KM - 5 - PK - 43 UNI MIL-KM-5"/>
    <n v="76"/>
    <n v="6"/>
    <n v="978.29"/>
    <n v="446100.24"/>
    <n v="332"/>
    <n v="456"/>
    <x v="4"/>
    <x v="1"/>
    <x v="16"/>
    <x v="2"/>
    <x v="1"/>
    <x v="0"/>
  </r>
  <r>
    <x v="452"/>
    <s v="21301 loc 723"/>
    <s v="22300 loc 723"/>
    <s v="KM - 5 - PK - 43 UNI MIL-KM-5"/>
    <n v="76"/>
    <n v="6"/>
    <n v="978.29"/>
    <n v="446100.24"/>
    <n v="411"/>
    <n v="456"/>
    <x v="4"/>
    <x v="1"/>
    <x v="16"/>
    <x v="2"/>
    <x v="1"/>
    <x v="0"/>
  </r>
  <r>
    <x v="453"/>
    <s v="21301 AUT 1676"/>
    <s v="22300 AUT 1676"/>
    <s v="KM - 5 - PK - 43 UNI MIL-KM-5"/>
    <n v="76"/>
    <n v="3"/>
    <n v="978.29"/>
    <n v="223050.12"/>
    <n v="46"/>
    <n v="228"/>
    <x v="4"/>
    <x v="1"/>
    <x v="16"/>
    <x v="2"/>
    <x v="1"/>
    <x v="0"/>
  </r>
  <r>
    <x v="453"/>
    <s v="21303 LOC 350"/>
    <s v="223023 LOC 350"/>
    <s v="KM - 5 - ZIPAQUIRA - KM - 5"/>
    <n v="96"/>
    <n v="12"/>
    <n v="978.29"/>
    <n v="1126990.08"/>
    <n v="790"/>
    <n v="1152"/>
    <x v="4"/>
    <x v="1"/>
    <x v="16"/>
    <x v="0"/>
    <x v="0"/>
    <x v="0"/>
  </r>
  <r>
    <x v="454"/>
    <s v="21301 LOC 350"/>
    <s v="22300 LOC 350"/>
    <s v="KM - 5 - ZIPAQUIRA - KM - 5"/>
    <n v="96"/>
    <n v="15"/>
    <n v="978.29"/>
    <n v="1408737.5999999999"/>
    <n v="1302"/>
    <n v="1440"/>
    <x v="5"/>
    <x v="1"/>
    <x v="17"/>
    <x v="0"/>
    <x v="0"/>
    <x v="0"/>
  </r>
  <r>
    <x v="455"/>
    <s v="21301 LOC 723"/>
    <s v="22300 LOC 723"/>
    <s v="KM - 5 - ZIPAQUIRA - KM - 5"/>
    <n v="96"/>
    <n v="9"/>
    <n v="978.29"/>
    <n v="845242.55999999994"/>
    <n v="522"/>
    <n v="864"/>
    <x v="5"/>
    <x v="1"/>
    <x v="17"/>
    <x v="0"/>
    <x v="0"/>
    <x v="0"/>
  </r>
  <r>
    <x v="456"/>
    <s v="21301 AUT 1676"/>
    <s v="22300 AUT 1676"/>
    <s v="KM - 5 - PK - 43 UNI MIL-KM-5"/>
    <n v="76"/>
    <n v="3"/>
    <n v="978.29"/>
    <n v="223050.12"/>
    <n v="147"/>
    <n v="228"/>
    <x v="5"/>
    <x v="1"/>
    <x v="17"/>
    <x v="2"/>
    <x v="1"/>
    <x v="0"/>
  </r>
  <r>
    <x v="457"/>
    <s v="21301 AUT 1676"/>
    <s v="22300 AUT 1676"/>
    <s v="KM - 5 - PK - 43 UNI MIL-KM-5"/>
    <n v="76"/>
    <n v="3"/>
    <n v="978.29"/>
    <n v="223050.12"/>
    <n v="133"/>
    <n v="228"/>
    <x v="5"/>
    <x v="1"/>
    <x v="17"/>
    <x v="2"/>
    <x v="1"/>
    <x v="0"/>
  </r>
  <r>
    <x v="458"/>
    <s v="21301 AUT 1676"/>
    <s v="22300 AUT 1676"/>
    <s v="KM - 5 - PK - 43 UNI MIL-KM-5"/>
    <n v="76"/>
    <n v="3"/>
    <n v="978.29"/>
    <n v="223050.12"/>
    <n v="139"/>
    <n v="228"/>
    <x v="5"/>
    <x v="1"/>
    <x v="17"/>
    <x v="2"/>
    <x v="1"/>
    <x v="0"/>
  </r>
  <r>
    <x v="459"/>
    <s v="21301 LOC 723"/>
    <s v="22300 LOC 723"/>
    <s v="KM - 5 - ZIPAQUIRA - KM - 5"/>
    <n v="96"/>
    <n v="12"/>
    <n v="978.29"/>
    <n v="1126990.08"/>
    <n v="740"/>
    <n v="1152"/>
    <x v="5"/>
    <x v="1"/>
    <x v="17"/>
    <x v="0"/>
    <x v="0"/>
    <x v="0"/>
  </r>
  <r>
    <x v="460"/>
    <s v="21301 LOC 723"/>
    <s v="22300 LOC 723"/>
    <s v="KM - 5 - ZIPAQUIRA - KM - 5"/>
    <n v="96"/>
    <n v="13"/>
    <n v="978.29"/>
    <n v="1220905.92"/>
    <n v="754"/>
    <n v="1248"/>
    <x v="5"/>
    <x v="1"/>
    <x v="17"/>
    <x v="0"/>
    <x v="0"/>
    <x v="0"/>
  </r>
  <r>
    <x v="461"/>
    <s v="21301 LOC 711"/>
    <s v="22300 LOC 7113"/>
    <s v="KM - 5 - ZIPAQUIRA - KM - 5"/>
    <n v="96"/>
    <n v="13"/>
    <n v="978.29"/>
    <n v="1220905.92"/>
    <n v="874"/>
    <n v="1248"/>
    <x v="5"/>
    <x v="1"/>
    <x v="17"/>
    <x v="0"/>
    <x v="0"/>
    <x v="0"/>
  </r>
  <r>
    <x v="462"/>
    <s v="21301 LOC 711"/>
    <s v="22300 LOC 711"/>
    <s v="KM - 5 - ZIPAQUIRA - KM - 5"/>
    <n v="96"/>
    <n v="16"/>
    <n v="978.29"/>
    <n v="1502653.4399999999"/>
    <n v="1082"/>
    <n v="1536"/>
    <x v="5"/>
    <x v="1"/>
    <x v="17"/>
    <x v="0"/>
    <x v="0"/>
    <x v="0"/>
  </r>
  <r>
    <x v="463"/>
    <s v="21301 LOC 711"/>
    <s v="22300 LOC 723R711"/>
    <s v="KM - 5 - ZIPAQUIRA - KM - 5"/>
    <n v="96"/>
    <n v="5"/>
    <n v="978.29"/>
    <n v="469579.19999999995"/>
    <n v="478"/>
    <n v="480"/>
    <x v="5"/>
    <x v="1"/>
    <x v="17"/>
    <x v="0"/>
    <x v="0"/>
    <x v="0"/>
  </r>
  <r>
    <x v="464"/>
    <s v="21301 LOC 711"/>
    <s v="22300 LOC 711"/>
    <s v="KM - 5 - ZIPAQUIRA - KM - 5"/>
    <n v="96"/>
    <n v="17"/>
    <n v="978.29"/>
    <n v="1596569.28"/>
    <n v="1258"/>
    <n v="1632"/>
    <x v="5"/>
    <x v="1"/>
    <x v="17"/>
    <x v="0"/>
    <x v="0"/>
    <x v="0"/>
  </r>
  <r>
    <x v="465"/>
    <s v="21301 LOC 711"/>
    <s v="22300 LOC 711"/>
    <s v="KM - 5 - ZIPAQUIRA - KM - 5"/>
    <n v="96"/>
    <n v="18"/>
    <n v="978.29"/>
    <n v="1690485.1199999999"/>
    <n v="1306"/>
    <n v="1728"/>
    <x v="5"/>
    <x v="1"/>
    <x v="17"/>
    <x v="0"/>
    <x v="0"/>
    <x v="0"/>
  </r>
  <r>
    <x v="466"/>
    <s v="21301 LOC 711"/>
    <s v="22300 LOC 711"/>
    <s v="KM - 5 - ZIPAQUIRA - KM - 5"/>
    <n v="96"/>
    <n v="16"/>
    <n v="978.29"/>
    <n v="1502653.4399999999"/>
    <n v="1288"/>
    <n v="1536"/>
    <x v="5"/>
    <x v="1"/>
    <x v="17"/>
    <x v="0"/>
    <x v="0"/>
    <x v="0"/>
  </r>
  <r>
    <x v="467"/>
    <s v="21301 LOC 711"/>
    <s v="22300 LOC 711"/>
    <s v="KM - 5 - ZIPAQUIRA - KM - 5"/>
    <n v="96"/>
    <n v="18"/>
    <n v="978.29"/>
    <n v="1690485.1199999999"/>
    <n v="1432"/>
    <n v="1728"/>
    <x v="5"/>
    <x v="1"/>
    <x v="17"/>
    <x v="0"/>
    <x v="0"/>
    <x v="0"/>
  </r>
  <r>
    <x v="468"/>
    <s v="21301 LOC 711"/>
    <s v="22300 LOC 711"/>
    <s v="KM - 5 - ZIPAQUIRA - KM - 5"/>
    <n v="96"/>
    <n v="18"/>
    <n v="978.29"/>
    <n v="1690485.1199999999"/>
    <n v="1500"/>
    <n v="1728"/>
    <x v="5"/>
    <x v="1"/>
    <x v="17"/>
    <x v="0"/>
    <x v="0"/>
    <x v="0"/>
  </r>
  <r>
    <x v="469"/>
    <s v="21301 LOC 711"/>
    <s v="22300 LOC 711"/>
    <s v="KM - 5 - ZIPAQUIRA - KM - 5"/>
    <n v="96"/>
    <n v="18"/>
    <n v="978.29"/>
    <n v="1690485.1199999999"/>
    <n v="1476"/>
    <n v="1728"/>
    <x v="5"/>
    <x v="1"/>
    <x v="17"/>
    <x v="0"/>
    <x v="0"/>
    <x v="0"/>
  </r>
  <r>
    <x v="470"/>
    <s v="21301 LOC 711"/>
    <s v="22300 LOC 711"/>
    <s v="KM - 5 - ZIPAQUIRA - KM - 5"/>
    <n v="96"/>
    <n v="17"/>
    <n v="978.29"/>
    <n v="1596569.28"/>
    <n v="1384"/>
    <n v="1632"/>
    <x v="6"/>
    <x v="1"/>
    <x v="18"/>
    <x v="0"/>
    <x v="0"/>
    <x v="0"/>
  </r>
  <r>
    <x v="471"/>
    <s v="21301 LOC 711"/>
    <s v="22300 LOC 711"/>
    <s v="KM - 5 - ZIPAQUIRA - KM - 5"/>
    <n v="96"/>
    <n v="18"/>
    <n v="978.29"/>
    <n v="1690485.1199999999"/>
    <n v="1498"/>
    <n v="1728"/>
    <x v="6"/>
    <x v="1"/>
    <x v="18"/>
    <x v="0"/>
    <x v="0"/>
    <x v="0"/>
  </r>
  <r>
    <x v="472"/>
    <s v="21301 LOC 711"/>
    <s v="22300 LOC 711"/>
    <s v="KM - 5 - ZIPAQUIRA - KM - 5"/>
    <n v="96"/>
    <n v="16"/>
    <n v="978.29"/>
    <n v="1502653.4399999999"/>
    <n v="1244"/>
    <n v="1536"/>
    <x v="6"/>
    <x v="1"/>
    <x v="18"/>
    <x v="0"/>
    <x v="0"/>
    <x v="0"/>
  </r>
  <r>
    <x v="473"/>
    <s v="21301 LOC 711"/>
    <s v="22300 LOC 711"/>
    <s v="KM - 5 - ZIPAQUIRA - KM - 5"/>
    <n v="96"/>
    <n v="18"/>
    <n v="978.29"/>
    <n v="1690485.1199999999"/>
    <n v="1462"/>
    <n v="1728"/>
    <x v="6"/>
    <x v="1"/>
    <x v="18"/>
    <x v="0"/>
    <x v="0"/>
    <x v="0"/>
  </r>
  <r>
    <x v="474"/>
    <s v="21301 AUT 1696"/>
    <s v="21300 AUT 1696"/>
    <s v="KM - 5 - LA CARO - KM - 5"/>
    <n v="58"/>
    <n v="4"/>
    <n v="978.29"/>
    <n v="226963.28"/>
    <n v="123"/>
    <n v="232"/>
    <x v="6"/>
    <x v="1"/>
    <x v="18"/>
    <x v="1"/>
    <x v="1"/>
    <x v="0"/>
  </r>
  <r>
    <x v="475"/>
    <s v="21301 LOC 723"/>
    <s v="22300 LOC 723"/>
    <s v="KM - 5 - ZIPAQUIRA - KM - 5"/>
    <n v="96"/>
    <n v="17"/>
    <n v="978.29"/>
    <n v="1596569.28"/>
    <n v="1452"/>
    <n v="1632"/>
    <x v="6"/>
    <x v="1"/>
    <x v="18"/>
    <x v="0"/>
    <x v="0"/>
    <x v="0"/>
  </r>
  <r>
    <x v="476"/>
    <s v="21301 LOC 723"/>
    <s v="22300 LOC 723"/>
    <s v="KM - 5 - ZIPAQUIRA - KM - 5"/>
    <n v="96"/>
    <n v="17"/>
    <n v="978.29"/>
    <n v="1596569.28"/>
    <n v="1400"/>
    <n v="1632"/>
    <x v="6"/>
    <x v="1"/>
    <x v="18"/>
    <x v="0"/>
    <x v="0"/>
    <x v="0"/>
  </r>
  <r>
    <x v="477"/>
    <s v="21301 AUT 1696"/>
    <s v="21300 AUT 1696"/>
    <s v="KM - 5 - LA CARO - KM - 5"/>
    <n v="58"/>
    <n v="4"/>
    <n v="978.29"/>
    <n v="226963.28"/>
    <n v="174"/>
    <n v="232"/>
    <x v="6"/>
    <x v="1"/>
    <x v="18"/>
    <x v="1"/>
    <x v="1"/>
    <x v="0"/>
  </r>
  <r>
    <x v="477"/>
    <s v="21303 LOC 711"/>
    <s v="22300 LOC 711"/>
    <s v="KM - 5-PK-43 UNI MIL-KM - 5"/>
    <n v="76"/>
    <n v="9"/>
    <n v="978.29"/>
    <n v="669150.36"/>
    <n v="1214"/>
    <n v="684"/>
    <x v="6"/>
    <x v="1"/>
    <x v="18"/>
    <x v="2"/>
    <x v="1"/>
    <x v="0"/>
  </r>
  <r>
    <x v="478"/>
    <s v="21301 AUT 1696"/>
    <s v="21302 AUT 1696"/>
    <s v="KM - 5 - LA CARO - KM - 5"/>
    <n v="58"/>
    <n v="4"/>
    <n v="978.29"/>
    <n v="226963.28"/>
    <n v="188"/>
    <n v="232"/>
    <x v="6"/>
    <x v="1"/>
    <x v="18"/>
    <x v="1"/>
    <x v="1"/>
    <x v="0"/>
  </r>
  <r>
    <x v="478"/>
    <s v="21303 LOC 711"/>
    <s v="22300 LOC 711"/>
    <s v="KM - 5-PK-43 UNI MIL-KM - 5"/>
    <n v="76"/>
    <n v="9"/>
    <n v="978.29"/>
    <n v="669150.36"/>
    <n v="1298"/>
    <n v="684"/>
    <x v="6"/>
    <x v="1"/>
    <x v="18"/>
    <x v="2"/>
    <x v="1"/>
    <x v="0"/>
  </r>
  <r>
    <x v="478"/>
    <s v="21305 LOC 723"/>
    <s v="21300 LOC 723 "/>
    <s v="KM - 5 - LA CARO - KM - 5"/>
    <n v="58"/>
    <n v="4"/>
    <n v="978.29"/>
    <n v="226963.28"/>
    <n v="432"/>
    <n v="232"/>
    <x v="6"/>
    <x v="1"/>
    <x v="18"/>
    <x v="3"/>
    <x v="1"/>
    <x v="0"/>
  </r>
  <r>
    <x v="479"/>
    <s v="21301 AUT 1696"/>
    <s v="21302 AUT 1696"/>
    <s v="KM - 5 - LA CARO - KM - 5"/>
    <n v="58"/>
    <n v="4"/>
    <n v="978.29"/>
    <n v="226963.28"/>
    <n v="196"/>
    <n v="232"/>
    <x v="6"/>
    <x v="1"/>
    <x v="18"/>
    <x v="1"/>
    <x v="1"/>
    <x v="0"/>
  </r>
  <r>
    <x v="479"/>
    <s v="21303 LOC 711"/>
    <s v="22300 LOC 711"/>
    <s v="KM - 5-PK-43 UNI MIL-KM - 5"/>
    <n v="76"/>
    <n v="9"/>
    <n v="978.29"/>
    <n v="669150.36"/>
    <n v="1147"/>
    <n v="684"/>
    <x v="6"/>
    <x v="1"/>
    <x v="18"/>
    <x v="2"/>
    <x v="1"/>
    <x v="0"/>
  </r>
  <r>
    <x v="479"/>
    <s v="21305 LOC 723"/>
    <s v="21300 LOC 723 "/>
    <s v="KM - 5 - LA CARO - KM - 5"/>
    <n v="58"/>
    <n v="5"/>
    <n v="978.29"/>
    <n v="283704.09999999998"/>
    <n v="525"/>
    <n v="290"/>
    <x v="6"/>
    <x v="1"/>
    <x v="18"/>
    <x v="3"/>
    <x v="1"/>
    <x v="0"/>
  </r>
  <r>
    <x v="480"/>
    <s v="21301 AUT 1696"/>
    <s v="21302 AUT 1696"/>
    <s v="KM - 5 - LA CARO - KM - 5"/>
    <n v="58"/>
    <n v="4"/>
    <n v="978.29"/>
    <n v="226963.28"/>
    <n v="172"/>
    <n v="232"/>
    <x v="6"/>
    <x v="1"/>
    <x v="18"/>
    <x v="1"/>
    <x v="1"/>
    <x v="0"/>
  </r>
  <r>
    <x v="480"/>
    <s v="21303 LOC 711"/>
    <s v="22300 LOC 711"/>
    <s v="KM - 5-PK-43 UNI MIL-KM - 5"/>
    <n v="76"/>
    <n v="9"/>
    <n v="978.29"/>
    <n v="669150.36"/>
    <n v="1030"/>
    <n v="684"/>
    <x v="6"/>
    <x v="1"/>
    <x v="18"/>
    <x v="2"/>
    <x v="1"/>
    <x v="0"/>
  </r>
  <r>
    <x v="480"/>
    <s v="21305 LOC 723"/>
    <s v="21300 LOC 723 "/>
    <s v="KM - 5 - LA CARO - KM - 5"/>
    <n v="58"/>
    <n v="4"/>
    <n v="978.29"/>
    <n v="226963.28"/>
    <n v="559"/>
    <n v="232"/>
    <x v="6"/>
    <x v="1"/>
    <x v="18"/>
    <x v="3"/>
    <x v="1"/>
    <x v="0"/>
  </r>
  <r>
    <x v="481"/>
    <s v="21301 AUT 1696"/>
    <s v="21302 AUT 1696"/>
    <s v="KM - 5 - LA CARO - KM - 5"/>
    <n v="58"/>
    <n v="4"/>
    <n v="978.29"/>
    <n v="226963.28"/>
    <n v="154"/>
    <n v="232"/>
    <x v="6"/>
    <x v="1"/>
    <x v="18"/>
    <x v="1"/>
    <x v="1"/>
    <x v="0"/>
  </r>
  <r>
    <x v="481"/>
    <s v="21303 LOC 711"/>
    <s v="22300 LOC 711"/>
    <s v="KM - 5-PK-43 UNI MIL-KM - 5"/>
    <n v="76"/>
    <n v="9"/>
    <n v="978.29"/>
    <n v="669150.36"/>
    <n v="1314"/>
    <n v="684"/>
    <x v="6"/>
    <x v="1"/>
    <x v="18"/>
    <x v="2"/>
    <x v="1"/>
    <x v="0"/>
  </r>
  <r>
    <x v="481"/>
    <s v="21305 LOC 723"/>
    <s v="21300 LOC 723 "/>
    <s v="KM - 5 - LA CARO - KM - 5"/>
    <n v="58"/>
    <n v="5"/>
    <n v="978.29"/>
    <n v="283704.09999999998"/>
    <n v="587"/>
    <n v="290"/>
    <x v="6"/>
    <x v="1"/>
    <x v="18"/>
    <x v="3"/>
    <x v="1"/>
    <x v="0"/>
  </r>
  <r>
    <x v="482"/>
    <s v="21301 AUT 1696"/>
    <s v="22300 AUT 1696"/>
    <s v="KM - 5-PK-43 UNI MIL-KM - 5"/>
    <n v="76"/>
    <n v="3"/>
    <n v="978.29"/>
    <n v="223050.12"/>
    <n v="371"/>
    <n v="228"/>
    <x v="6"/>
    <x v="1"/>
    <x v="18"/>
    <x v="2"/>
    <x v="1"/>
    <x v="0"/>
  </r>
  <r>
    <x v="482"/>
    <s v="21303 LOC 711"/>
    <s v="22302 LOC 711"/>
    <s v="KM - 5 - ZIPAQUIRA - KM - 5"/>
    <n v="96"/>
    <n v="17"/>
    <n v="978.29"/>
    <n v="1596569.28"/>
    <n v="1270"/>
    <n v="1632"/>
    <x v="6"/>
    <x v="1"/>
    <x v="18"/>
    <x v="0"/>
    <x v="0"/>
    <x v="0"/>
  </r>
  <r>
    <x v="483"/>
    <s v="21301 LOC 723"/>
    <s v="22300 LOC 723"/>
    <s v="KM - 5 - ZIPAQUIRA - KM - 5"/>
    <n v="96"/>
    <n v="16"/>
    <n v="978.29"/>
    <n v="1502653.4399999999"/>
    <n v="1200"/>
    <n v="1536"/>
    <x v="6"/>
    <x v="1"/>
    <x v="18"/>
    <x v="0"/>
    <x v="0"/>
    <x v="0"/>
  </r>
  <r>
    <x v="484"/>
    <s v="21301 AUT 1696"/>
    <s v="21302 AUT 1696"/>
    <s v="KM - 5 - LA CARO - KM - 5"/>
    <n v="58"/>
    <n v="4"/>
    <n v="978.29"/>
    <n v="226963.28"/>
    <n v="181"/>
    <n v="232"/>
    <x v="6"/>
    <x v="1"/>
    <x v="18"/>
    <x v="1"/>
    <x v="1"/>
    <x v="0"/>
  </r>
  <r>
    <x v="484"/>
    <s v="21303 LOC 711"/>
    <s v="22300 LOC 711"/>
    <s v="KM - 5-PK-43 UNI MIL-KM - 5"/>
    <n v="76"/>
    <n v="9"/>
    <n v="978.29"/>
    <n v="669150.36"/>
    <n v="1345"/>
    <n v="684"/>
    <x v="6"/>
    <x v="1"/>
    <x v="18"/>
    <x v="2"/>
    <x v="1"/>
    <x v="0"/>
  </r>
  <r>
    <x v="485"/>
    <s v="21301 AUT 1696"/>
    <s v="21302 AUT 1696"/>
    <s v="KM - 5 - LA CARO - KM - 5"/>
    <n v="58"/>
    <n v="4"/>
    <n v="978.29"/>
    <n v="226963.28"/>
    <n v="186"/>
    <n v="232"/>
    <x v="6"/>
    <x v="1"/>
    <x v="18"/>
    <x v="1"/>
    <x v="1"/>
    <x v="0"/>
  </r>
  <r>
    <x v="485"/>
    <s v="21303 LOC 711"/>
    <s v="22300 LOC 711"/>
    <s v="KM - 5-PK-43 UNI MIL-KM - 5"/>
    <n v="76"/>
    <n v="9"/>
    <n v="978.29"/>
    <n v="669150.36"/>
    <n v="1331"/>
    <n v="684"/>
    <x v="6"/>
    <x v="1"/>
    <x v="18"/>
    <x v="2"/>
    <x v="1"/>
    <x v="0"/>
  </r>
  <r>
    <x v="485"/>
    <s v="21305 LOC 723"/>
    <s v="21300 LOC 723 "/>
    <s v="KM - 5 - LA CARO - KM - 5"/>
    <n v="58"/>
    <n v="4"/>
    <n v="978.29"/>
    <n v="226963.28"/>
    <n v="542"/>
    <n v="232"/>
    <x v="6"/>
    <x v="1"/>
    <x v="18"/>
    <x v="3"/>
    <x v="1"/>
    <x v="0"/>
  </r>
  <r>
    <x v="486"/>
    <s v="21301 AUT 1696"/>
    <s v="21302 AUT 1696"/>
    <s v="KM - 5 - LA CARO - KM - 5"/>
    <n v="58"/>
    <n v="4"/>
    <n v="978.29"/>
    <n v="226963.28"/>
    <n v="204"/>
    <n v="232"/>
    <x v="6"/>
    <x v="1"/>
    <x v="18"/>
    <x v="1"/>
    <x v="1"/>
    <x v="0"/>
  </r>
  <r>
    <x v="486"/>
    <s v="21303 LOC 711"/>
    <s v="22300 LOC 711"/>
    <s v="KM - 5-PK-43 UNI MIL-KM - 5"/>
    <n v="76"/>
    <n v="9"/>
    <n v="978.29"/>
    <n v="669150.36"/>
    <n v="1121"/>
    <n v="684"/>
    <x v="6"/>
    <x v="1"/>
    <x v="18"/>
    <x v="2"/>
    <x v="1"/>
    <x v="0"/>
  </r>
  <r>
    <x v="486"/>
    <s v="21305 LOC 723"/>
    <s v="21300 LOC 723 "/>
    <s v="KM - 5 - LA CARO - KM - 5"/>
    <n v="58"/>
    <n v="5"/>
    <n v="978.29"/>
    <n v="283704.09999999998"/>
    <n v="637"/>
    <n v="290"/>
    <x v="6"/>
    <x v="1"/>
    <x v="18"/>
    <x v="3"/>
    <x v="1"/>
    <x v="0"/>
  </r>
  <r>
    <x v="487"/>
    <s v="21301 AUT 1696"/>
    <s v="21302 AUT 1696"/>
    <s v="KM - 5 - LA CARO - KM - 5"/>
    <n v="58"/>
    <n v="4"/>
    <n v="978.29"/>
    <n v="226963.28"/>
    <n v="170"/>
    <n v="232"/>
    <x v="6"/>
    <x v="1"/>
    <x v="18"/>
    <x v="1"/>
    <x v="1"/>
    <x v="0"/>
  </r>
  <r>
    <x v="487"/>
    <s v="21303 LOC 711"/>
    <s v="22300 LOC 711"/>
    <s v="KM - 5-PK-43 UNI MIL-KM - 5"/>
    <n v="76"/>
    <n v="9"/>
    <n v="978.29"/>
    <n v="669150.36"/>
    <n v="1048"/>
    <n v="684"/>
    <x v="6"/>
    <x v="1"/>
    <x v="18"/>
    <x v="2"/>
    <x v="1"/>
    <x v="0"/>
  </r>
  <r>
    <x v="487"/>
    <s v="21305 LOC 723"/>
    <s v="21300 LOC 723 "/>
    <s v="KM - 5 - LA CARO - KM - 5"/>
    <n v="58"/>
    <n v="4"/>
    <n v="978.29"/>
    <n v="226963.28"/>
    <n v="502"/>
    <n v="232"/>
    <x v="6"/>
    <x v="1"/>
    <x v="18"/>
    <x v="3"/>
    <x v="1"/>
    <x v="0"/>
  </r>
  <r>
    <x v="488"/>
    <s v="31300 LOC 61"/>
    <s v="31301 LOC 61"/>
    <s v="CHICAMOCHA-SOGAM-CHIC"/>
    <n v="12"/>
    <n v="4"/>
    <n v="978.29"/>
    <n v="46957.919999999998"/>
    <n v="25"/>
    <n v="48"/>
    <x v="6"/>
    <x v="1"/>
    <x v="19"/>
    <x v="0"/>
    <x v="2"/>
    <x v="1"/>
  </r>
  <r>
    <x v="489"/>
    <s v="31300 LOC 61"/>
    <m/>
    <s v="CHICAMOCHA - SOGAMOSO"/>
    <n v="6"/>
    <n v="3"/>
    <n v="978.29"/>
    <n v="17609.22"/>
    <n v="0"/>
    <n v="18"/>
    <x v="6"/>
    <x v="1"/>
    <x v="19"/>
    <x v="0"/>
    <x v="2"/>
    <x v="1"/>
  </r>
  <r>
    <x v="489"/>
    <s v="31302 LOC 61"/>
    <m/>
    <s v="CHICAMOCHA - SOGAMOSO"/>
    <n v="6"/>
    <n v="1"/>
    <n v="978.29"/>
    <n v="5869.74"/>
    <n v="0"/>
    <n v="6"/>
    <x v="6"/>
    <x v="1"/>
    <x v="19"/>
    <x v="0"/>
    <x v="2"/>
    <x v="1"/>
  </r>
  <r>
    <x v="489"/>
    <s v="31303 LOC 61"/>
    <m/>
    <s v="SOGAMOSO - CHICAMOCHA"/>
    <n v="6"/>
    <n v="4"/>
    <n v="978.29"/>
    <n v="23478.959999999999"/>
    <n v="92"/>
    <n v="24"/>
    <x v="6"/>
    <x v="1"/>
    <x v="19"/>
    <x v="0"/>
    <x v="2"/>
    <x v="1"/>
  </r>
  <r>
    <x v="475"/>
    <s v="31300 LOC 61"/>
    <s v="31301 LOC 61"/>
    <s v="CHICAM- DUITAMA- SOGAMOSO"/>
    <n v="40"/>
    <n v="4"/>
    <n v="978.29"/>
    <n v="156526.39999999999"/>
    <n v="69"/>
    <n v="160"/>
    <x v="6"/>
    <x v="1"/>
    <x v="19"/>
    <x v="0"/>
    <x v="2"/>
    <x v="1"/>
  </r>
  <r>
    <x v="475"/>
    <s v="31302 LOC 61"/>
    <s v="31301 LOC 61"/>
    <s v="SOGAMOSO - DUITAMA- CHICAM"/>
    <n v="40"/>
    <n v="4"/>
    <n v="978.29"/>
    <n v="156526.39999999999"/>
    <n v="38"/>
    <n v="160"/>
    <x v="6"/>
    <x v="1"/>
    <x v="19"/>
    <x v="0"/>
    <x v="2"/>
    <x v="1"/>
  </r>
  <r>
    <x v="490"/>
    <s v="21301 AUT 1696"/>
    <s v="21302 AUT 1696"/>
    <s v="KM - 5 - LA CARO - KM - 5"/>
    <n v="58"/>
    <n v="4"/>
    <n v="978.29"/>
    <n v="226963.28"/>
    <n v="158"/>
    <n v="232"/>
    <x v="7"/>
    <x v="1"/>
    <x v="20"/>
    <x v="1"/>
    <x v="1"/>
    <x v="0"/>
  </r>
  <r>
    <x v="490"/>
    <s v="21301 LOC 711"/>
    <s v="22300 LOC 711"/>
    <s v="KM - 5-PK-43 UNI MIL-KM - 5"/>
    <n v="76"/>
    <n v="9"/>
    <n v="978.29"/>
    <n v="669150.36"/>
    <n v="1355"/>
    <n v="684"/>
    <x v="7"/>
    <x v="1"/>
    <x v="20"/>
    <x v="2"/>
    <x v="1"/>
    <x v="0"/>
  </r>
  <r>
    <x v="490"/>
    <s v="21303 LOC 723"/>
    <s v="21300 LOC 723"/>
    <s v="KM - 5 - LA CARO - KM - 5"/>
    <n v="58"/>
    <n v="5"/>
    <n v="978.29"/>
    <n v="283704.09999999998"/>
    <n v="631"/>
    <n v="290"/>
    <x v="7"/>
    <x v="1"/>
    <x v="20"/>
    <x v="3"/>
    <x v="1"/>
    <x v="0"/>
  </r>
  <r>
    <x v="491"/>
    <s v="21301 AUT 1696"/>
    <s v="22300 AUT 1696"/>
    <s v="KM - 5-PK-43 UNI MIL-KM - 5"/>
    <n v="76"/>
    <n v="4"/>
    <n v="978.29"/>
    <n v="297400.15999999997"/>
    <n v="529"/>
    <n v="304"/>
    <x v="7"/>
    <x v="1"/>
    <x v="20"/>
    <x v="2"/>
    <x v="1"/>
    <x v="0"/>
  </r>
  <r>
    <x v="491"/>
    <s v="21303 LOC 711"/>
    <s v="22302 AUT 1696"/>
    <s v="KM - 5 - ZIPAQUIRA - KM - 5"/>
    <n v="96"/>
    <n v="15"/>
    <n v="978.29"/>
    <n v="1408737.5999999999"/>
    <n v="1122"/>
    <n v="1440"/>
    <x v="7"/>
    <x v="1"/>
    <x v="20"/>
    <x v="0"/>
    <x v="0"/>
    <x v="0"/>
  </r>
  <r>
    <x v="492"/>
    <s v="21301 LOC 711"/>
    <s v="22300 LOC 711"/>
    <s v="KM - 5 - ZIPAQUIRA - KM - 5"/>
    <n v="96"/>
    <n v="16"/>
    <n v="978.29"/>
    <n v="1502653.4399999999"/>
    <n v="1336"/>
    <n v="1536"/>
    <x v="7"/>
    <x v="1"/>
    <x v="20"/>
    <x v="0"/>
    <x v="0"/>
    <x v="0"/>
  </r>
  <r>
    <x v="493"/>
    <s v="21301 AUT 1696"/>
    <s v="21300 AUT 1696"/>
    <s v="KM - 5 - LA CARO - KM - 5"/>
    <n v="58"/>
    <n v="4"/>
    <n v="978.29"/>
    <n v="226963.28"/>
    <n v="192"/>
    <n v="232"/>
    <x v="7"/>
    <x v="1"/>
    <x v="20"/>
    <x v="1"/>
    <x v="1"/>
    <x v="0"/>
  </r>
  <r>
    <x v="493"/>
    <s v="21303 LOC 723"/>
    <s v="22300 LOC 723"/>
    <s v="KM - 5-PK-43 UNI MIL-KM - 5"/>
    <n v="76"/>
    <n v="9"/>
    <n v="978.29"/>
    <n v="669150.36"/>
    <n v="1322"/>
    <n v="684"/>
    <x v="7"/>
    <x v="1"/>
    <x v="20"/>
    <x v="2"/>
    <x v="1"/>
    <x v="0"/>
  </r>
  <r>
    <x v="494"/>
    <s v="21301 AUT 1696"/>
    <s v="21302 AUT 1696"/>
    <s v="KM - 5 - LA CARO - KM - 5"/>
    <n v="58"/>
    <n v="4"/>
    <n v="978.29"/>
    <n v="226963.28"/>
    <n v="190"/>
    <n v="232"/>
    <x v="7"/>
    <x v="1"/>
    <x v="20"/>
    <x v="1"/>
    <x v="1"/>
    <x v="0"/>
  </r>
  <r>
    <x v="494"/>
    <s v="21303 LOC 350"/>
    <s v="22300 LOC 350"/>
    <s v="KM - 5-PK-43 UNI MIL-KM - 5"/>
    <n v="76"/>
    <n v="9"/>
    <n v="978.29"/>
    <n v="669150.36"/>
    <n v="1333"/>
    <n v="684"/>
    <x v="7"/>
    <x v="1"/>
    <x v="20"/>
    <x v="2"/>
    <x v="1"/>
    <x v="0"/>
  </r>
  <r>
    <x v="494"/>
    <s v="21301 LOC 723"/>
    <s v="21300 LOC 723"/>
    <s v="KM - 5 - LA CARO - KM - 5"/>
    <n v="58"/>
    <n v="4"/>
    <n v="978.29"/>
    <n v="226963.28"/>
    <n v="607"/>
    <n v="232"/>
    <x v="7"/>
    <x v="1"/>
    <x v="20"/>
    <x v="3"/>
    <x v="1"/>
    <x v="0"/>
  </r>
  <r>
    <x v="495"/>
    <s v="21301 AUT 1696"/>
    <s v="21302 AUT 1696"/>
    <s v="KM - 5 - LA CARO - KM - 5"/>
    <n v="58"/>
    <n v="4"/>
    <n v="978.29"/>
    <n v="226963.28"/>
    <n v="203"/>
    <n v="232"/>
    <x v="7"/>
    <x v="1"/>
    <x v="20"/>
    <x v="1"/>
    <x v="1"/>
    <x v="0"/>
  </r>
  <r>
    <x v="495"/>
    <s v="21303 LOC 350"/>
    <s v="22300 LOC 350"/>
    <s v="KM - 5-PK-43 UNI MIL-KM - 5"/>
    <n v="76"/>
    <n v="9"/>
    <n v="978.29"/>
    <n v="669150.36"/>
    <n v="1106"/>
    <n v="684"/>
    <x v="7"/>
    <x v="1"/>
    <x v="20"/>
    <x v="2"/>
    <x v="1"/>
    <x v="0"/>
  </r>
  <r>
    <x v="495"/>
    <s v="21301 LOC 723"/>
    <s v="21300 LOC 723"/>
    <s v="KM - 5 - LA CARO - KM - 5"/>
    <n v="58"/>
    <n v="5"/>
    <n v="978.29"/>
    <n v="283704.09999999998"/>
    <n v="569"/>
    <n v="290"/>
    <x v="7"/>
    <x v="1"/>
    <x v="20"/>
    <x v="3"/>
    <x v="1"/>
    <x v="0"/>
  </r>
  <r>
    <x v="496"/>
    <s v="21301 LOC 711"/>
    <s v="22300 LOC 711"/>
    <s v="KM - 5 - ZIPAQUIRA - KM - 5"/>
    <n v="96"/>
    <n v="15"/>
    <n v="978.29"/>
    <n v="1408737.5999999999"/>
    <n v="1134"/>
    <n v="1440"/>
    <x v="7"/>
    <x v="1"/>
    <x v="20"/>
    <x v="0"/>
    <x v="0"/>
    <x v="0"/>
  </r>
  <r>
    <x v="497"/>
    <s v="21301 AUT 1696"/>
    <s v="21302 AUT 1696"/>
    <s v="KM - 5 - LA CARO - KM - 5"/>
    <n v="58"/>
    <n v="4"/>
    <n v="978.29"/>
    <n v="226963.28"/>
    <n v="167"/>
    <n v="232"/>
    <x v="7"/>
    <x v="1"/>
    <x v="20"/>
    <x v="1"/>
    <x v="1"/>
    <x v="0"/>
  </r>
  <r>
    <x v="497"/>
    <s v="21303 LOC 723"/>
    <s v="21300 LOC 723"/>
    <s v="KM - 5 - LA CARO - KM - 5"/>
    <n v="58"/>
    <n v="5"/>
    <n v="978.29"/>
    <n v="283704.09999999998"/>
    <n v="526"/>
    <n v="290"/>
    <x v="7"/>
    <x v="1"/>
    <x v="20"/>
    <x v="3"/>
    <x v="1"/>
    <x v="0"/>
  </r>
  <r>
    <x v="498"/>
    <s v="21301 AUT 1696"/>
    <s v="22300 AUT 1696"/>
    <s v="KM - 5-PK-43 UNI MIL-KM - 5"/>
    <n v="76"/>
    <n v="3"/>
    <n v="978.29"/>
    <n v="223050.12"/>
    <n v="333"/>
    <n v="228"/>
    <x v="7"/>
    <x v="1"/>
    <x v="20"/>
    <x v="2"/>
    <x v="1"/>
    <x v="0"/>
  </r>
  <r>
    <x v="498"/>
    <s v="21303 LOC 350"/>
    <s v="22304 LOC 350"/>
    <s v="KM - 5 - ZIPAQUIRA - KM - 5"/>
    <n v="96"/>
    <n v="11"/>
    <n v="978.29"/>
    <n v="1033074.24"/>
    <n v="1000"/>
    <n v="1056"/>
    <x v="7"/>
    <x v="1"/>
    <x v="20"/>
    <x v="0"/>
    <x v="0"/>
    <x v="0"/>
  </r>
  <r>
    <x v="498"/>
    <s v="21305 LOC 711"/>
    <s v="22302 LOC 711"/>
    <s v="KM - 5 - ZIPAQUIRA - KM - 5"/>
    <n v="96"/>
    <n v="6"/>
    <n v="978.29"/>
    <n v="563495.04"/>
    <n v="490"/>
    <n v="576"/>
    <x v="7"/>
    <x v="1"/>
    <x v="20"/>
    <x v="0"/>
    <x v="0"/>
    <x v="0"/>
  </r>
  <r>
    <x v="499"/>
    <s v="21301 LOC 350"/>
    <s v="22300 LOC 350"/>
    <s v="KM - 5 - ZIPAQUIRA - KM - 5"/>
    <n v="96"/>
    <n v="17"/>
    <n v="978.29"/>
    <n v="1596569.28"/>
    <n v="1428"/>
    <n v="1632"/>
    <x v="7"/>
    <x v="1"/>
    <x v="20"/>
    <x v="0"/>
    <x v="0"/>
    <x v="0"/>
  </r>
  <r>
    <x v="500"/>
    <s v="21301 AUT 1696"/>
    <s v="21300 AUT 1696"/>
    <s v="KM - 5 - LA CARO - KM - 5"/>
    <n v="58"/>
    <n v="4"/>
    <n v="978.29"/>
    <n v="226963.28"/>
    <n v="190"/>
    <n v="232"/>
    <x v="7"/>
    <x v="1"/>
    <x v="20"/>
    <x v="1"/>
    <x v="1"/>
    <x v="0"/>
  </r>
  <r>
    <x v="500"/>
    <s v="21303 LOC 723"/>
    <s v="22300 LOC 723"/>
    <s v="KM - 5-PK-43 UNI MIL-KM - 5"/>
    <n v="76"/>
    <n v="9"/>
    <n v="978.29"/>
    <n v="669150.36"/>
    <n v="1356"/>
    <n v="684"/>
    <x v="7"/>
    <x v="1"/>
    <x v="20"/>
    <x v="2"/>
    <x v="1"/>
    <x v="0"/>
  </r>
  <r>
    <x v="501"/>
    <s v="21301 AUT 1696"/>
    <s v="21302 AUT 1696"/>
    <s v="KM - 5 - LA CARO - KM - 5"/>
    <n v="58"/>
    <n v="4"/>
    <n v="978.29"/>
    <n v="226963.28"/>
    <n v="210"/>
    <n v="232"/>
    <x v="7"/>
    <x v="1"/>
    <x v="20"/>
    <x v="1"/>
    <x v="1"/>
    <x v="0"/>
  </r>
  <r>
    <x v="501"/>
    <s v="21303 LOC 711"/>
    <s v="22300 LOC 711"/>
    <s v="KM - 5-PK-43 UNI MIL-KM - 5"/>
    <n v="76"/>
    <n v="11"/>
    <n v="978.29"/>
    <n v="817850.44"/>
    <n v="1493"/>
    <n v="836"/>
    <x v="7"/>
    <x v="1"/>
    <x v="20"/>
    <x v="2"/>
    <x v="1"/>
    <x v="0"/>
  </r>
  <r>
    <x v="501"/>
    <s v="21305 LOC 350"/>
    <s v="21300 LOC 350"/>
    <s v="KM - 5 - LA CARO - KM - 5"/>
    <n v="58"/>
    <n v="4"/>
    <n v="978.29"/>
    <n v="226963.28"/>
    <n v="524"/>
    <n v="232"/>
    <x v="7"/>
    <x v="1"/>
    <x v="20"/>
    <x v="3"/>
    <x v="1"/>
    <x v="0"/>
  </r>
  <r>
    <x v="502"/>
    <s v="21301 AUT 1696"/>
    <s v="21302 AUT 1696"/>
    <s v="KM - 5 - LA CARO - KM - 5"/>
    <n v="58"/>
    <n v="4"/>
    <n v="978.29"/>
    <n v="226963.28"/>
    <n v="211"/>
    <n v="232"/>
    <x v="7"/>
    <x v="1"/>
    <x v="20"/>
    <x v="1"/>
    <x v="1"/>
    <x v="0"/>
  </r>
  <r>
    <x v="502"/>
    <s v="21303 LOC 711"/>
    <s v="22300 LOC 711"/>
    <s v="KM - 5-PK-43 UNI MIL-KM - 5"/>
    <n v="76"/>
    <n v="9"/>
    <n v="978.29"/>
    <n v="669150.36"/>
    <n v="1193"/>
    <n v="684"/>
    <x v="7"/>
    <x v="1"/>
    <x v="20"/>
    <x v="2"/>
    <x v="1"/>
    <x v="0"/>
  </r>
  <r>
    <x v="502"/>
    <s v="21305 LOC 350"/>
    <s v="21300 LOC 350"/>
    <s v="KM - 5 - LA CARO - KM - 5"/>
    <n v="58"/>
    <n v="5"/>
    <n v="978.29"/>
    <n v="283704.09999999998"/>
    <n v="547"/>
    <n v="290"/>
    <x v="7"/>
    <x v="1"/>
    <x v="20"/>
    <x v="3"/>
    <x v="1"/>
    <x v="0"/>
  </r>
  <r>
    <x v="503"/>
    <s v="21301 AUT 1696"/>
    <s v="21302 AUT 1696"/>
    <s v="KM - 5 - LA CARO - KM - 5"/>
    <n v="58"/>
    <n v="4"/>
    <n v="978.29"/>
    <n v="226963.28"/>
    <n v="204"/>
    <n v="232"/>
    <x v="7"/>
    <x v="1"/>
    <x v="20"/>
    <x v="1"/>
    <x v="1"/>
    <x v="0"/>
  </r>
  <r>
    <x v="503"/>
    <s v="21303 LOC 350"/>
    <s v="22300 LOC 350"/>
    <s v="KM - 5-PK-43 UNI MIL-KM - 5"/>
    <n v="76"/>
    <n v="9"/>
    <n v="978.29"/>
    <n v="669150.36"/>
    <n v="1047"/>
    <n v="684"/>
    <x v="7"/>
    <x v="1"/>
    <x v="20"/>
    <x v="2"/>
    <x v="1"/>
    <x v="0"/>
  </r>
  <r>
    <x v="503"/>
    <s v="21305 LOC 711"/>
    <s v="21300 LOC 711"/>
    <s v="KM - 5 - LA CARO - KM - 5"/>
    <n v="58"/>
    <n v="4"/>
    <n v="978.29"/>
    <n v="226963.28"/>
    <n v="506"/>
    <n v="232"/>
    <x v="7"/>
    <x v="1"/>
    <x v="20"/>
    <x v="3"/>
    <x v="1"/>
    <x v="0"/>
  </r>
  <r>
    <x v="504"/>
    <s v="21301 AUT 1696"/>
    <s v="21302 AUT 1696"/>
    <s v="KM - 5 - LA CARO - KM - 5"/>
    <n v="58"/>
    <n v="4"/>
    <n v="978.29"/>
    <n v="226963.28"/>
    <n v="179"/>
    <n v="232"/>
    <x v="7"/>
    <x v="1"/>
    <x v="20"/>
    <x v="1"/>
    <x v="1"/>
    <x v="0"/>
  </r>
  <r>
    <x v="504"/>
    <s v="21303 LOC 711"/>
    <s v="22300 LOC 711"/>
    <s v="KM - 5-PK-43 UNI MIL-KM - 5"/>
    <n v="76"/>
    <n v="9"/>
    <n v="978.29"/>
    <n v="669150.36"/>
    <n v="1296"/>
    <n v="684"/>
    <x v="7"/>
    <x v="1"/>
    <x v="20"/>
    <x v="2"/>
    <x v="1"/>
    <x v="0"/>
  </r>
  <r>
    <x v="504"/>
    <s v="21305 LOC 350"/>
    <s v="21300 LOC 350"/>
    <s v="KM - 5 - LA CARO - KM - 5"/>
    <n v="58"/>
    <n v="5"/>
    <n v="978.29"/>
    <n v="283704.09999999998"/>
    <n v="534"/>
    <n v="290"/>
    <x v="7"/>
    <x v="1"/>
    <x v="20"/>
    <x v="3"/>
    <x v="1"/>
    <x v="0"/>
  </r>
  <r>
    <x v="505"/>
    <s v="21301 AUT 1696"/>
    <s v="22300 AUT 1696"/>
    <s v="KM - 5-PK-43 UNI MIL-KM - 5"/>
    <n v="76"/>
    <n v="3"/>
    <n v="978.29"/>
    <n v="223050.12"/>
    <n v="387"/>
    <n v="228"/>
    <x v="7"/>
    <x v="1"/>
    <x v="20"/>
    <x v="2"/>
    <x v="1"/>
    <x v="0"/>
  </r>
  <r>
    <x v="505"/>
    <s v="21303 LOC 723"/>
    <s v="22302 LOC 723"/>
    <s v="KM - 5 - ZIPAQUIRA - KM - 5"/>
    <n v="96"/>
    <n v="17"/>
    <n v="978.29"/>
    <n v="1596569.28"/>
    <n v="1352"/>
    <n v="1632"/>
    <x v="7"/>
    <x v="1"/>
    <x v="20"/>
    <x v="0"/>
    <x v="0"/>
    <x v="0"/>
  </r>
  <r>
    <x v="506"/>
    <s v="21301 LOC 723"/>
    <s v="22300 LOC 723"/>
    <s v="KM - 5 - ZIPAQUIRA - KM - 5"/>
    <n v="96"/>
    <n v="17"/>
    <n v="978.29"/>
    <n v="1596569.28"/>
    <n v="1502"/>
    <n v="1632"/>
    <x v="7"/>
    <x v="1"/>
    <x v="20"/>
    <x v="0"/>
    <x v="0"/>
    <x v="0"/>
  </r>
  <r>
    <x v="507"/>
    <s v="21301 LOC 350"/>
    <s v="22300 LOC 350"/>
    <s v="KM - 5 - ZIPAQUIRA - KM - 5"/>
    <n v="96"/>
    <n v="16"/>
    <n v="978.29"/>
    <n v="1502653.4399999999"/>
    <n v="1352"/>
    <n v="1536"/>
    <x v="7"/>
    <x v="1"/>
    <x v="20"/>
    <x v="0"/>
    <x v="0"/>
    <x v="0"/>
  </r>
  <r>
    <x v="508"/>
    <s v="21301 AUT 1696"/>
    <s v="21302 AUT 1696"/>
    <s v="KM - 5 - LA CARO - KM - 5"/>
    <n v="58"/>
    <n v="4"/>
    <n v="978.29"/>
    <n v="226963.28"/>
    <n v="232"/>
    <n v="232"/>
    <x v="7"/>
    <x v="1"/>
    <x v="20"/>
    <x v="1"/>
    <x v="1"/>
    <x v="0"/>
  </r>
  <r>
    <x v="508"/>
    <s v="21303 LOC 711"/>
    <s v="22300 LOC 711"/>
    <s v="KM - 5-PK-43 UNI MIL-KM - 5"/>
    <n v="76"/>
    <n v="9"/>
    <n v="978.29"/>
    <n v="669150.36"/>
    <n v="1302"/>
    <n v="684"/>
    <x v="7"/>
    <x v="1"/>
    <x v="20"/>
    <x v="2"/>
    <x v="1"/>
    <x v="0"/>
  </r>
  <r>
    <x v="508"/>
    <s v="21305 LOC 723"/>
    <s v="21300 LOC 723"/>
    <s v="KM - 5 - LA CARO - KM - 5"/>
    <n v="58"/>
    <n v="4"/>
    <n v="978.29"/>
    <n v="226963.28"/>
    <n v="238"/>
    <n v="232"/>
    <x v="7"/>
    <x v="1"/>
    <x v="20"/>
    <x v="3"/>
    <x v="1"/>
    <x v="0"/>
  </r>
  <r>
    <x v="509"/>
    <s v="21301 AUT 1696"/>
    <s v="21302 AUT 1696"/>
    <s v="KM - 5 - LA CARO - KM - 5"/>
    <n v="58"/>
    <n v="4"/>
    <n v="978.29"/>
    <n v="226963.28"/>
    <n v="232"/>
    <n v="232"/>
    <x v="7"/>
    <x v="1"/>
    <x v="20"/>
    <x v="1"/>
    <x v="1"/>
    <x v="0"/>
  </r>
  <r>
    <x v="509"/>
    <s v="21303 LOC 711"/>
    <s v="22300 LOC 711"/>
    <s v="KM - 5-PK-43 UNI MIL-KM - 5"/>
    <n v="76"/>
    <n v="10"/>
    <n v="978.29"/>
    <n v="743500.4"/>
    <n v="1237"/>
    <n v="760"/>
    <x v="7"/>
    <x v="1"/>
    <x v="20"/>
    <x v="2"/>
    <x v="1"/>
    <x v="0"/>
  </r>
  <r>
    <x v="509"/>
    <s v="21305 LOC 350"/>
    <s v="21300 LOC 350"/>
    <s v="KM - 5 - LA CARO - KM - 5"/>
    <n v="58"/>
    <n v="5"/>
    <n v="978.29"/>
    <n v="283704.09999999998"/>
    <n v="629"/>
    <n v="290"/>
    <x v="7"/>
    <x v="1"/>
    <x v="20"/>
    <x v="3"/>
    <x v="1"/>
    <x v="0"/>
  </r>
  <r>
    <x v="510"/>
    <s v="21301 AUT 1696"/>
    <s v="21302 AUT 1696"/>
    <s v="KM - 5 - LA CARO - KM - 5"/>
    <n v="58"/>
    <n v="4"/>
    <n v="978.29"/>
    <n v="226963.28"/>
    <n v="197"/>
    <n v="232"/>
    <x v="7"/>
    <x v="1"/>
    <x v="20"/>
    <x v="1"/>
    <x v="1"/>
    <x v="0"/>
  </r>
  <r>
    <x v="510"/>
    <s v="21303 LOC 711"/>
    <s v="22300 LOC 711"/>
    <s v="KM - 5-PK-43 UNI MIL-KM - 5"/>
    <n v="76"/>
    <n v="11"/>
    <n v="978.29"/>
    <n v="817850.44"/>
    <n v="1317"/>
    <n v="836"/>
    <x v="7"/>
    <x v="1"/>
    <x v="20"/>
    <x v="2"/>
    <x v="1"/>
    <x v="0"/>
  </r>
  <r>
    <x v="510"/>
    <s v="21305 LOC 350"/>
    <s v="21300 LOC 350"/>
    <s v="KM - 5 - LA CARO - KM - 5"/>
    <n v="58"/>
    <n v="4"/>
    <n v="978.29"/>
    <n v="226963.28"/>
    <n v="293"/>
    <n v="232"/>
    <x v="7"/>
    <x v="1"/>
    <x v="20"/>
    <x v="3"/>
    <x v="1"/>
    <x v="0"/>
  </r>
  <r>
    <x v="511"/>
    <s v="21301 AUT 1696"/>
    <s v="21302 AUT 1696"/>
    <s v="KM - 5 - LA CARO - KM - 5"/>
    <n v="58"/>
    <n v="4"/>
    <n v="978.29"/>
    <n v="226963.28"/>
    <n v="159"/>
    <n v="232"/>
    <x v="7"/>
    <x v="1"/>
    <x v="20"/>
    <x v="1"/>
    <x v="1"/>
    <x v="0"/>
  </r>
  <r>
    <x v="511"/>
    <s v="21303 LOC 711"/>
    <s v="22300 LOC 711"/>
    <s v="KM - 5-PK-43 UNI MIL-KM - 5"/>
    <n v="76"/>
    <n v="9"/>
    <n v="978.29"/>
    <n v="669150.36"/>
    <n v="1391"/>
    <n v="684"/>
    <x v="7"/>
    <x v="1"/>
    <x v="20"/>
    <x v="2"/>
    <x v="1"/>
    <x v="0"/>
  </r>
  <r>
    <x v="511"/>
    <s v="21305 LOC 350"/>
    <s v="21300 LOC 350"/>
    <s v="KM - 5 - LA CARO - KM - 5"/>
    <n v="58"/>
    <n v="5"/>
    <n v="978.29"/>
    <n v="283704.09999999998"/>
    <n v="531"/>
    <n v="290"/>
    <x v="7"/>
    <x v="1"/>
    <x v="20"/>
    <x v="3"/>
    <x v="1"/>
    <x v="0"/>
  </r>
  <r>
    <x v="512"/>
    <s v="21301 AUT 1723"/>
    <s v="2300 AUT 1723"/>
    <s v="KM - 5-PK-43 UNI MIL-KM - 5"/>
    <n v="76"/>
    <n v="4"/>
    <n v="978.29"/>
    <n v="297400.15999999997"/>
    <n v="663"/>
    <n v="304"/>
    <x v="7"/>
    <x v="1"/>
    <x v="20"/>
    <x v="2"/>
    <x v="1"/>
    <x v="0"/>
  </r>
  <r>
    <x v="512"/>
    <s v="21303 LOC 711"/>
    <s v="21300 LOC 711"/>
    <s v="KM - 5 - BRICEÑO - KM - 5"/>
    <n v="84"/>
    <n v="12"/>
    <n v="978.29"/>
    <n v="986116.32"/>
    <n v="876"/>
    <n v="1008"/>
    <x v="7"/>
    <x v="1"/>
    <x v="20"/>
    <x v="0"/>
    <x v="0"/>
    <x v="0"/>
  </r>
  <r>
    <x v="512"/>
    <s v="21305 LOC 350"/>
    <s v="22302 LOC 350"/>
    <s v="KM - 5 - ZIPAQUIRA - KM - 5"/>
    <n v="96"/>
    <n v="4"/>
    <n v="978.29"/>
    <n v="375663.35999999999"/>
    <n v="408"/>
    <n v="384"/>
    <x v="7"/>
    <x v="1"/>
    <x v="20"/>
    <x v="0"/>
    <x v="0"/>
    <x v="0"/>
  </r>
  <r>
    <x v="513"/>
    <s v="21301 LOC 711"/>
    <s v="22300 LOC 711"/>
    <s v="KM - 5 - ZIPAQUIRA - KM - 5"/>
    <n v="96"/>
    <n v="16"/>
    <n v="978.29"/>
    <n v="1502653.4399999999"/>
    <n v="1256"/>
    <n v="1536"/>
    <x v="7"/>
    <x v="1"/>
    <x v="20"/>
    <x v="0"/>
    <x v="0"/>
    <x v="0"/>
  </r>
  <r>
    <x v="514"/>
    <s v="21301 AUT 1696"/>
    <s v="21300 AUT 1696"/>
    <s v="KM - 5 - LA CARO - KM - 5"/>
    <n v="58"/>
    <n v="4"/>
    <n v="978.29"/>
    <n v="226963.28"/>
    <n v="215"/>
    <n v="232"/>
    <x v="7"/>
    <x v="1"/>
    <x v="20"/>
    <x v="1"/>
    <x v="1"/>
    <x v="0"/>
  </r>
  <r>
    <x v="514"/>
    <s v="21303 LOC 350"/>
    <s v="22300 LOC 350"/>
    <s v="KM - 5-PK-43 UNI MIL-KM - 5"/>
    <n v="76"/>
    <n v="10"/>
    <n v="978.29"/>
    <n v="743500.4"/>
    <n v="1443"/>
    <n v="760"/>
    <x v="7"/>
    <x v="1"/>
    <x v="20"/>
    <x v="2"/>
    <x v="1"/>
    <x v="0"/>
  </r>
  <r>
    <x v="515"/>
    <s v="21301 AUT 1696"/>
    <s v="21302 AUT 1696"/>
    <s v="KM - 5 - LA CARO - KM - 5"/>
    <n v="58"/>
    <n v="4"/>
    <n v="978.29"/>
    <n v="226963.28"/>
    <n v="227"/>
    <n v="232"/>
    <x v="7"/>
    <x v="1"/>
    <x v="20"/>
    <x v="1"/>
    <x v="1"/>
    <x v="0"/>
  </r>
  <r>
    <x v="515"/>
    <s v="21303 LOC 350"/>
    <s v="22300 LOC 350"/>
    <s v="KM - 5-PK-43 UNI MIL-KM - 5"/>
    <n v="76"/>
    <n v="10"/>
    <n v="978.29"/>
    <n v="743500.4"/>
    <n v="1462"/>
    <n v="760"/>
    <x v="7"/>
    <x v="1"/>
    <x v="20"/>
    <x v="2"/>
    <x v="1"/>
    <x v="0"/>
  </r>
  <r>
    <x v="515"/>
    <s v="21305 AUT 1723"/>
    <s v="21300 AUT 1723"/>
    <s v="KM - 5 - LA CARO - KM - 5"/>
    <n v="58"/>
    <n v="4"/>
    <n v="978.29"/>
    <n v="226963.28"/>
    <n v="484"/>
    <n v="232"/>
    <x v="7"/>
    <x v="1"/>
    <x v="20"/>
    <x v="3"/>
    <x v="1"/>
    <x v="0"/>
  </r>
  <r>
    <x v="516"/>
    <s v="21301 AUT 1696"/>
    <s v="21302 AUT 1696"/>
    <s v="KM - 5 - LA CARO - KM - 5"/>
    <n v="58"/>
    <n v="4"/>
    <n v="978.29"/>
    <n v="226963.28"/>
    <n v="235"/>
    <n v="232"/>
    <x v="7"/>
    <x v="1"/>
    <x v="20"/>
    <x v="1"/>
    <x v="1"/>
    <x v="0"/>
  </r>
  <r>
    <x v="516"/>
    <s v="21303 LOC 350"/>
    <s v="22300 LOC 350"/>
    <s v="KM - 5-PK-43 UNI MIL-KM - 5"/>
    <n v="76"/>
    <n v="10"/>
    <n v="978.29"/>
    <n v="743500.4"/>
    <n v="1180"/>
    <n v="760"/>
    <x v="7"/>
    <x v="1"/>
    <x v="20"/>
    <x v="2"/>
    <x v="1"/>
    <x v="0"/>
  </r>
  <r>
    <x v="516"/>
    <s v="21305 LOC 711"/>
    <s v="21300 LOC 711"/>
    <s v="KM - 5 - LA CARO - KM - 5"/>
    <n v="58"/>
    <n v="5"/>
    <n v="978.29"/>
    <n v="283704.09999999998"/>
    <n v="533"/>
    <n v="290"/>
    <x v="7"/>
    <x v="1"/>
    <x v="20"/>
    <x v="3"/>
    <x v="1"/>
    <x v="0"/>
  </r>
  <r>
    <x v="517"/>
    <s v="21301 AUT 1696"/>
    <s v="21302 AUT 1696"/>
    <s v="KM - 5 - LA CARO - KM - 5"/>
    <n v="58"/>
    <n v="4"/>
    <n v="978.29"/>
    <n v="226963.28"/>
    <n v="218"/>
    <n v="232"/>
    <x v="7"/>
    <x v="1"/>
    <x v="20"/>
    <x v="1"/>
    <x v="1"/>
    <x v="0"/>
  </r>
  <r>
    <x v="517"/>
    <s v="21303 LOC 350"/>
    <s v="22300 LOC 350"/>
    <s v="KM - 5-PK-43 UNI MIL-KM - 5"/>
    <n v="76"/>
    <n v="9"/>
    <n v="978.29"/>
    <n v="669150.36"/>
    <n v="960"/>
    <n v="684"/>
    <x v="7"/>
    <x v="1"/>
    <x v="20"/>
    <x v="2"/>
    <x v="1"/>
    <x v="0"/>
  </r>
  <r>
    <x v="517"/>
    <s v="21305 AUT 1723"/>
    <s v="21300 AUT 1723"/>
    <s v="KM - 5 - LA CARO - KM - 5"/>
    <n v="58"/>
    <n v="4"/>
    <n v="978.29"/>
    <n v="226963.28"/>
    <n v="392"/>
    <n v="232"/>
    <x v="7"/>
    <x v="1"/>
    <x v="20"/>
    <x v="3"/>
    <x v="1"/>
    <x v="0"/>
  </r>
  <r>
    <x v="518"/>
    <s v="21301 AUT 1696"/>
    <s v="21302 AUT 1696"/>
    <s v="KM - 5 - LA CARO - KM - 5"/>
    <n v="58"/>
    <n v="4"/>
    <n v="978.29"/>
    <n v="226963.28"/>
    <n v="172"/>
    <n v="232"/>
    <x v="7"/>
    <x v="1"/>
    <x v="20"/>
    <x v="1"/>
    <x v="1"/>
    <x v="0"/>
  </r>
  <r>
    <x v="518"/>
    <s v="21303 LOC 350"/>
    <s v="22300 LOC 350"/>
    <s v="KM - 5-PK-43 UNI MIL-KM - 5"/>
    <n v="76"/>
    <n v="9"/>
    <n v="978.29"/>
    <n v="669150.36"/>
    <n v="1325"/>
    <n v="684"/>
    <x v="7"/>
    <x v="1"/>
    <x v="20"/>
    <x v="2"/>
    <x v="1"/>
    <x v="0"/>
  </r>
  <r>
    <x v="518"/>
    <s v="21305 AUT 1723"/>
    <s v="21300 AUT 1723"/>
    <s v="KM - 5 - LA CARO - KM - 5"/>
    <n v="58"/>
    <n v="4"/>
    <n v="978.29"/>
    <n v="226963.28"/>
    <n v="473"/>
    <n v="232"/>
    <x v="7"/>
    <x v="1"/>
    <x v="20"/>
    <x v="3"/>
    <x v="1"/>
    <x v="0"/>
  </r>
  <r>
    <x v="519"/>
    <s v="21301 AUT 1723"/>
    <s v="22300 AUT 1723"/>
    <s v="KM - 5-PK-43 UNI MIL-KM - 5"/>
    <n v="76"/>
    <n v="3"/>
    <n v="978.29"/>
    <n v="223050.12"/>
    <n v="475"/>
    <n v="228"/>
    <x v="7"/>
    <x v="1"/>
    <x v="20"/>
    <x v="2"/>
    <x v="1"/>
    <x v="0"/>
  </r>
  <r>
    <x v="519"/>
    <s v="21303 LOC 711"/>
    <s v="22302 LOC 711"/>
    <s v="KM - 5 - ZIPAQUIRA - KM - 5"/>
    <n v="96"/>
    <n v="13"/>
    <n v="978.29"/>
    <n v="1220905.92"/>
    <n v="974"/>
    <n v="1248"/>
    <x v="7"/>
    <x v="1"/>
    <x v="20"/>
    <x v="0"/>
    <x v="0"/>
    <x v="0"/>
  </r>
  <r>
    <x v="520"/>
    <s v="21301 LOC 723"/>
    <s v="22300 LOC 723"/>
    <s v="KM - 5 - ZIPAQUIRA - KM - 5"/>
    <n v="96"/>
    <n v="15"/>
    <n v="978.29"/>
    <n v="1408737.6"/>
    <n v="1132"/>
    <n v="1440"/>
    <x v="7"/>
    <x v="1"/>
    <x v="20"/>
    <x v="0"/>
    <x v="0"/>
    <x v="0"/>
  </r>
  <r>
    <x v="506"/>
    <s v="31300 LOC 61"/>
    <s v="31302 LOC 61"/>
    <s v="CHICAMOCHA-SOGAMOSO-CHICAMOCHA"/>
    <n v="12"/>
    <n v="4"/>
    <n v="978.29"/>
    <n v="46957.919999999998"/>
    <n v="120"/>
    <n v="48"/>
    <x v="7"/>
    <x v="1"/>
    <x v="21"/>
    <x v="0"/>
    <x v="2"/>
    <x v="1"/>
  </r>
  <r>
    <x v="506"/>
    <s v="31301 LOC 61"/>
    <s v="31304 LOC 61"/>
    <s v="CHICAMOCHA-SOGAMOSO-CHICAMOCHA"/>
    <n v="12"/>
    <n v="4"/>
    <n v="978.29"/>
    <n v="46957.919999999998"/>
    <n v="120"/>
    <n v="48"/>
    <x v="7"/>
    <x v="1"/>
    <x v="21"/>
    <x v="0"/>
    <x v="2"/>
    <x v="1"/>
  </r>
  <r>
    <x v="521"/>
    <s v="21301 AUT 1696"/>
    <s v="21302 AUT 1696"/>
    <s v="KM - 5 - LA CARO - KM - 5"/>
    <n v="58"/>
    <n v="4"/>
    <n v="978.29"/>
    <n v="226963.28"/>
    <n v="202"/>
    <n v="232"/>
    <x v="8"/>
    <x v="1"/>
    <x v="22"/>
    <x v="1"/>
    <x v="1"/>
    <x v="0"/>
  </r>
  <r>
    <x v="521"/>
    <s v="21301 LOC 711"/>
    <s v="22300 LOC 711"/>
    <s v="KM - 5-PK-43 UNI MIL-KM - 5"/>
    <n v="76"/>
    <n v="9"/>
    <n v="978.29"/>
    <n v="669150.36"/>
    <n v="1256"/>
    <n v="684"/>
    <x v="8"/>
    <x v="1"/>
    <x v="22"/>
    <x v="2"/>
    <x v="1"/>
    <x v="0"/>
  </r>
  <r>
    <x v="522"/>
    <s v="21301 AUT 1696"/>
    <s v="21302 AUT 1696"/>
    <s v="KM - 5 - LA CARO - KM - 5"/>
    <n v="58"/>
    <n v="4"/>
    <n v="978.29"/>
    <n v="226963.28"/>
    <n v="220"/>
    <n v="232"/>
    <x v="8"/>
    <x v="1"/>
    <x v="22"/>
    <x v="1"/>
    <x v="1"/>
    <x v="0"/>
  </r>
  <r>
    <x v="522"/>
    <s v="21303 LOC 350"/>
    <s v="22300 LOC 350"/>
    <s v="KM - 5-PK-43 UNI MIL-KM - 5"/>
    <n v="76"/>
    <n v="9"/>
    <n v="978.29"/>
    <n v="669150.36"/>
    <n v="1276"/>
    <n v="684"/>
    <x v="8"/>
    <x v="1"/>
    <x v="22"/>
    <x v="2"/>
    <x v="1"/>
    <x v="0"/>
  </r>
  <r>
    <x v="522"/>
    <s v="21305 AUT 1723"/>
    <s v="21300 AUT 1723"/>
    <s v="KM - 5 - LA CARO - KM - 5"/>
    <n v="58"/>
    <n v="4"/>
    <n v="978.29"/>
    <n v="226963.28"/>
    <n v="405"/>
    <n v="232"/>
    <x v="8"/>
    <x v="1"/>
    <x v="22"/>
    <x v="3"/>
    <x v="1"/>
    <x v="0"/>
  </r>
  <r>
    <x v="523"/>
    <s v="21301 AUT 1696"/>
    <s v="21302 AUT 1696"/>
    <s v="KM - 5 - LA CARO - KM - 5"/>
    <n v="58"/>
    <n v="4"/>
    <n v="978.29"/>
    <n v="226963.28"/>
    <n v="239"/>
    <n v="232"/>
    <x v="8"/>
    <x v="1"/>
    <x v="22"/>
    <x v="1"/>
    <x v="1"/>
    <x v="0"/>
  </r>
  <r>
    <x v="523"/>
    <s v="21303 LOC 350"/>
    <s v="22300 LOC 350"/>
    <s v="KM - 5-PK-43 UNI MIL-KM - 5"/>
    <n v="76"/>
    <n v="9"/>
    <n v="978.29"/>
    <n v="669150.36"/>
    <n v="1167"/>
    <n v="684"/>
    <x v="8"/>
    <x v="1"/>
    <x v="22"/>
    <x v="2"/>
    <x v="1"/>
    <x v="0"/>
  </r>
  <r>
    <x v="523"/>
    <s v="21305 LOC 723"/>
    <s v="21300 LOC 723"/>
    <s v="KM - 5 - LA CARO - KM - 5"/>
    <n v="58"/>
    <n v="5"/>
    <n v="978.29"/>
    <n v="283704.09999999998"/>
    <n v="512"/>
    <n v="290"/>
    <x v="8"/>
    <x v="1"/>
    <x v="22"/>
    <x v="3"/>
    <x v="1"/>
    <x v="0"/>
  </r>
  <r>
    <x v="524"/>
    <s v="21301 AUT 1696"/>
    <s v="21302 AUT 1696"/>
    <s v="KM - 5 - LA CARO - KM - 5"/>
    <n v="58"/>
    <n v="4"/>
    <n v="978.29"/>
    <n v="226963.28"/>
    <n v="203"/>
    <n v="232"/>
    <x v="8"/>
    <x v="1"/>
    <x v="22"/>
    <x v="1"/>
    <x v="1"/>
    <x v="0"/>
  </r>
  <r>
    <x v="524"/>
    <s v="21303 LOC 350"/>
    <s v="22300 LOC 350"/>
    <s v="KM - 5-PK-43 UNI MIL-KM - 5"/>
    <n v="76"/>
    <n v="9"/>
    <n v="978.29"/>
    <n v="669150.36"/>
    <n v="954"/>
    <n v="684"/>
    <x v="8"/>
    <x v="1"/>
    <x v="22"/>
    <x v="2"/>
    <x v="1"/>
    <x v="0"/>
  </r>
  <r>
    <x v="524"/>
    <s v="21305 AUT 1723"/>
    <s v="21300 AUT 1723"/>
    <s v="KM - 5 - LA CARO - KM - 5"/>
    <n v="58"/>
    <n v="4"/>
    <n v="978.29"/>
    <n v="226963.28"/>
    <n v="475"/>
    <n v="232"/>
    <x v="8"/>
    <x v="1"/>
    <x v="22"/>
    <x v="3"/>
    <x v="1"/>
    <x v="0"/>
  </r>
  <r>
    <x v="525"/>
    <s v="21301 AUT 1696"/>
    <s v="21302 AUT 1696"/>
    <s v="KM - 5 - LA CARO - KM - 5"/>
    <n v="58"/>
    <n v="4"/>
    <n v="978.29"/>
    <n v="226963.28"/>
    <n v="197"/>
    <n v="232"/>
    <x v="8"/>
    <x v="1"/>
    <x v="22"/>
    <x v="1"/>
    <x v="1"/>
    <x v="0"/>
  </r>
  <r>
    <x v="525"/>
    <s v="21303 LOC 350"/>
    <s v="22300 LOC 350"/>
    <s v="KM - 5-PK-43 UNI MIL-KM - 5"/>
    <n v="76"/>
    <n v="11"/>
    <n v="978.29"/>
    <n v="817850.44"/>
    <n v="1485"/>
    <n v="836"/>
    <x v="8"/>
    <x v="1"/>
    <x v="22"/>
    <x v="2"/>
    <x v="1"/>
    <x v="0"/>
  </r>
  <r>
    <x v="525"/>
    <s v="21305 AUT 1723"/>
    <s v="21300 AUT 1723"/>
    <s v="KM - 5 - LA CARO - KM - 5"/>
    <n v="58"/>
    <n v="4"/>
    <n v="978.29"/>
    <n v="226963.28"/>
    <n v="506"/>
    <n v="232"/>
    <x v="8"/>
    <x v="1"/>
    <x v="22"/>
    <x v="3"/>
    <x v="1"/>
    <x v="0"/>
  </r>
  <r>
    <x v="526"/>
    <s v="21301 LOC 350"/>
    <s v="22300 LOC 350"/>
    <s v="KM - 5-PK-43 UNI MIL-KM - 5"/>
    <n v="76"/>
    <n v="4"/>
    <n v="978.29"/>
    <n v="297400.15999999997"/>
    <n v="670"/>
    <n v="304"/>
    <x v="8"/>
    <x v="1"/>
    <x v="22"/>
    <x v="2"/>
    <x v="1"/>
    <x v="0"/>
  </r>
  <r>
    <x v="526"/>
    <s v="21303 LOC 723"/>
    <s v="22302 LOC 723"/>
    <s v="KM - 5 - ZIPAQUIRA - KM - 5"/>
    <n v="96"/>
    <n v="13"/>
    <n v="978.29"/>
    <n v="1220905.92"/>
    <n v="942"/>
    <n v="1248"/>
    <x v="8"/>
    <x v="1"/>
    <x v="22"/>
    <x v="0"/>
    <x v="2"/>
    <x v="0"/>
  </r>
  <r>
    <x v="527"/>
    <s v="21301 LOC 723"/>
    <s v="22300 LOC 723"/>
    <s v="KM - 5 - ZIPAQUIRA - KM - 5"/>
    <n v="96"/>
    <n v="13"/>
    <n v="978.29"/>
    <n v="1220905.92"/>
    <n v="918"/>
    <n v="1248"/>
    <x v="8"/>
    <x v="1"/>
    <x v="22"/>
    <x v="0"/>
    <x v="2"/>
    <x v="0"/>
  </r>
  <r>
    <x v="528"/>
    <s v="21301 AUT 1723"/>
    <s v="21300 AUT 1723"/>
    <s v="KM - 5 - LA CARO - KM - 5"/>
    <n v="58"/>
    <n v="4"/>
    <n v="978.29"/>
    <n v="226963.28"/>
    <n v="216"/>
    <n v="232"/>
    <x v="8"/>
    <x v="1"/>
    <x v="22"/>
    <x v="1"/>
    <x v="1"/>
    <x v="0"/>
  </r>
  <r>
    <x v="528"/>
    <s v="21303 LOC 723"/>
    <s v="22300 LOC 723"/>
    <s v="KM - 5-PK-43 UNI MIL-KM - 5"/>
    <n v="76"/>
    <n v="9"/>
    <n v="978.29"/>
    <n v="669150.36"/>
    <n v="1311"/>
    <n v="684"/>
    <x v="8"/>
    <x v="1"/>
    <x v="22"/>
    <x v="2"/>
    <x v="1"/>
    <x v="0"/>
  </r>
  <r>
    <x v="529"/>
    <s v="21301 AUT 1723"/>
    <s v="21302 AUT 1723"/>
    <s v="KM - 5 - LA CARO - KM - 5"/>
    <n v="58"/>
    <n v="4"/>
    <n v="978.29"/>
    <n v="226963.28"/>
    <n v="228"/>
    <n v="232"/>
    <x v="8"/>
    <x v="1"/>
    <x v="22"/>
    <x v="1"/>
    <x v="1"/>
    <x v="0"/>
  </r>
  <r>
    <x v="529"/>
    <s v="21303 LOC 723"/>
    <s v="22300 LOC 723"/>
    <s v="KM - 5-PK-43 UNI MIL-KM - 5"/>
    <n v="76"/>
    <n v="9"/>
    <n v="978.29"/>
    <n v="669150.36"/>
    <n v="1295"/>
    <n v="684"/>
    <x v="8"/>
    <x v="1"/>
    <x v="22"/>
    <x v="2"/>
    <x v="1"/>
    <x v="0"/>
  </r>
  <r>
    <x v="529"/>
    <s v="21305 AUT 1696"/>
    <s v="21300 AUT 1696"/>
    <s v="KM - 5 - LA CARO - KM - 5"/>
    <n v="58"/>
    <n v="4"/>
    <n v="978.29"/>
    <n v="226963.28"/>
    <n v="531"/>
    <n v="232"/>
    <x v="8"/>
    <x v="1"/>
    <x v="22"/>
    <x v="3"/>
    <x v="1"/>
    <x v="0"/>
  </r>
  <r>
    <x v="530"/>
    <s v="21301 AUT 1723"/>
    <s v="21302 AUT 1723"/>
    <s v="KM - 5 - LA CARO - KM - 5"/>
    <n v="58"/>
    <n v="4"/>
    <n v="978.29"/>
    <n v="226963.28"/>
    <n v="234"/>
    <n v="232"/>
    <x v="8"/>
    <x v="1"/>
    <x v="22"/>
    <x v="1"/>
    <x v="1"/>
    <x v="0"/>
  </r>
  <r>
    <x v="530"/>
    <s v="21303 LOC 711"/>
    <s v="22300 LOC 711"/>
    <s v="KM - 5-PK-43 UNI MIL-KM - 5"/>
    <n v="76"/>
    <n v="9"/>
    <n v="978.29"/>
    <n v="669150.36"/>
    <n v="1137"/>
    <n v="684"/>
    <x v="8"/>
    <x v="1"/>
    <x v="22"/>
    <x v="2"/>
    <x v="1"/>
    <x v="0"/>
  </r>
  <r>
    <x v="530"/>
    <s v="21305 LOC  723"/>
    <s v="21300 LOC 723"/>
    <s v="KM - 5 - LA CARO - KM - 5"/>
    <n v="58"/>
    <n v="5"/>
    <n v="978.29"/>
    <n v="283704.09999999998"/>
    <n v="515"/>
    <n v="290"/>
    <x v="8"/>
    <x v="1"/>
    <x v="22"/>
    <x v="3"/>
    <x v="1"/>
    <x v="0"/>
  </r>
  <r>
    <x v="531"/>
    <s v="21301 AUT 1696"/>
    <s v="21302 AUT 1696"/>
    <s v="KM - 5 - LA CARO - KM - 5"/>
    <n v="58"/>
    <n v="4"/>
    <n v="978.29"/>
    <n v="226963.28"/>
    <n v="220"/>
    <n v="232"/>
    <x v="8"/>
    <x v="1"/>
    <x v="22"/>
    <x v="1"/>
    <x v="1"/>
    <x v="0"/>
  </r>
  <r>
    <x v="531"/>
    <s v="21303 LOC 752"/>
    <s v="22300 LOC 752"/>
    <s v="KM - 5-PK-43 UNI MIL-KM - 5"/>
    <n v="76"/>
    <n v="9"/>
    <n v="978.29"/>
    <n v="669150.36"/>
    <n v="1026"/>
    <n v="684"/>
    <x v="8"/>
    <x v="1"/>
    <x v="22"/>
    <x v="2"/>
    <x v="1"/>
    <x v="0"/>
  </r>
  <r>
    <x v="531"/>
    <s v="21305 AUT 1723"/>
    <s v="21300 AUT 1723"/>
    <s v="KM - 5 - LA CARO - KM - 5"/>
    <n v="58"/>
    <n v="4"/>
    <n v="978.29"/>
    <n v="226963.28"/>
    <n v="485"/>
    <n v="232"/>
    <x v="8"/>
    <x v="1"/>
    <x v="22"/>
    <x v="3"/>
    <x v="1"/>
    <x v="0"/>
  </r>
  <r>
    <x v="532"/>
    <s v="21301 AUT 1696"/>
    <s v="21302 AUT 1696"/>
    <s v="KM - 5 - LA CARO - KM - 5"/>
    <n v="58"/>
    <n v="4"/>
    <n v="978.29"/>
    <n v="226963.28"/>
    <n v="164"/>
    <n v="232"/>
    <x v="8"/>
    <x v="1"/>
    <x v="22"/>
    <x v="1"/>
    <x v="1"/>
    <x v="0"/>
  </r>
  <r>
    <x v="532"/>
    <s v="21303 LOC 752"/>
    <s v="22300 LOC 752"/>
    <s v="KM - 5-PK-43 UNI MIL-KM - 5"/>
    <n v="58"/>
    <n v="9"/>
    <n v="978.29"/>
    <n v="510667.38"/>
    <n v="1298"/>
    <n v="522"/>
    <x v="8"/>
    <x v="1"/>
    <x v="22"/>
    <x v="2"/>
    <x v="1"/>
    <x v="0"/>
  </r>
  <r>
    <x v="532"/>
    <s v="21305 AUT 1723"/>
    <s v="21300 AUT 1723"/>
    <s v="KM - 5 - LA CARO - KM - 5"/>
    <n v="58"/>
    <n v="4"/>
    <n v="978.29"/>
    <n v="226963.28"/>
    <n v="481"/>
    <n v="232"/>
    <x v="8"/>
    <x v="1"/>
    <x v="22"/>
    <x v="3"/>
    <x v="1"/>
    <x v="0"/>
  </r>
  <r>
    <x v="533"/>
    <s v="21301 AUT 1696"/>
    <s v="22300 AUT 1696"/>
    <s v="KM - 5-PK-43 UNI MIL-KM - 5"/>
    <n v="58"/>
    <n v="9"/>
    <n v="978.29"/>
    <n v="510667.38"/>
    <n v="453"/>
    <n v="522"/>
    <x v="8"/>
    <x v="1"/>
    <x v="22"/>
    <x v="2"/>
    <x v="1"/>
    <x v="0"/>
  </r>
  <r>
    <x v="533"/>
    <s v="21303 LOC 711"/>
    <s v="22302 LOC 711"/>
    <s v="KM - 5 - ZIPAQUIRA - KM - 5"/>
    <n v="96"/>
    <n v="14"/>
    <n v="978.29"/>
    <n v="1314821.76"/>
    <n v="966"/>
    <n v="1344"/>
    <x v="8"/>
    <x v="1"/>
    <x v="22"/>
    <x v="0"/>
    <x v="2"/>
    <x v="0"/>
  </r>
  <r>
    <x v="534"/>
    <s v="21301 LOC 711"/>
    <s v="22300 LOC 711"/>
    <s v="KM - 5 - ZIPAQUIRA - KM - 5"/>
    <n v="96"/>
    <n v="17"/>
    <n v="978.29"/>
    <n v="1596569.28"/>
    <n v="1364"/>
    <n v="1632"/>
    <x v="8"/>
    <x v="1"/>
    <x v="22"/>
    <x v="0"/>
    <x v="2"/>
    <x v="0"/>
  </r>
  <r>
    <x v="535"/>
    <s v="21301 AUT - 1723"/>
    <s v="21300 AUT 1723"/>
    <s v="KM - 5 - LA CARO - KM - 5"/>
    <n v="58"/>
    <n v="4"/>
    <n v="978.29"/>
    <n v="226963.28"/>
    <n v="214"/>
    <n v="232"/>
    <x v="8"/>
    <x v="1"/>
    <x v="22"/>
    <x v="1"/>
    <x v="1"/>
    <x v="0"/>
  </r>
  <r>
    <x v="535"/>
    <s v="21301 LOC 752"/>
    <s v="22300 LOC 752"/>
    <s v="KM - 5-PK-43 UNI MIL-KM - 5"/>
    <n v="58"/>
    <n v="9"/>
    <n v="978.29"/>
    <n v="510667.38"/>
    <n v="1258"/>
    <n v="522"/>
    <x v="8"/>
    <x v="1"/>
    <x v="22"/>
    <x v="2"/>
    <x v="1"/>
    <x v="0"/>
  </r>
  <r>
    <x v="536"/>
    <s v="21301 AUT - 1723"/>
    <s v="21302 AUT - 1723"/>
    <s v="KM - 5 - LA CARO - KM - 5"/>
    <n v="58"/>
    <n v="4"/>
    <n v="978.29"/>
    <n v="226963.28"/>
    <n v="184"/>
    <n v="232"/>
    <x v="8"/>
    <x v="1"/>
    <x v="22"/>
    <x v="1"/>
    <x v="1"/>
    <x v="0"/>
  </r>
  <r>
    <x v="536"/>
    <s v="21303 AUT - 1696"/>
    <s v="21300 AUT - 1696"/>
    <s v="KM - 5 - LA CARO - KM - 5"/>
    <n v="58"/>
    <n v="4"/>
    <n v="978.29"/>
    <n v="226963.28"/>
    <n v="141"/>
    <n v="232"/>
    <x v="8"/>
    <x v="1"/>
    <x v="22"/>
    <x v="3"/>
    <x v="1"/>
    <x v="0"/>
  </r>
  <r>
    <x v="537"/>
    <s v="21301 AUT 1696"/>
    <s v="21302 AUT 1696"/>
    <s v="KM - 5 - LA CARO - KM - 5"/>
    <n v="58"/>
    <n v="4"/>
    <n v="978.29"/>
    <n v="226963.28"/>
    <n v="225"/>
    <n v="232"/>
    <x v="8"/>
    <x v="1"/>
    <x v="22"/>
    <x v="1"/>
    <x v="1"/>
    <x v="0"/>
  </r>
  <r>
    <x v="537"/>
    <s v="21303 LOC 752"/>
    <s v="22300 LOC 752"/>
    <s v="KM - 5-PK-43 UNI MIL-KM - 5"/>
    <n v="58"/>
    <n v="9"/>
    <n v="978.29"/>
    <n v="510667.38"/>
    <n v="1259"/>
    <n v="522"/>
    <x v="8"/>
    <x v="1"/>
    <x v="22"/>
    <x v="2"/>
    <x v="1"/>
    <x v="0"/>
  </r>
  <r>
    <x v="537"/>
    <s v="21305 LOC 723"/>
    <s v="21300 LOC 723"/>
    <s v="KM - 5 - LA CARO - KM - 5"/>
    <n v="58"/>
    <n v="5"/>
    <n v="978.29"/>
    <n v="283704.09999999998"/>
    <n v="523"/>
    <n v="290"/>
    <x v="8"/>
    <x v="1"/>
    <x v="22"/>
    <x v="3"/>
    <x v="1"/>
    <x v="0"/>
  </r>
  <r>
    <x v="538"/>
    <s v="21301 AUT 1696"/>
    <s v="21302 AUT 1696"/>
    <s v="KM - 5 - LA CARO - KM - 5"/>
    <n v="58"/>
    <n v="4"/>
    <n v="978.29"/>
    <n v="226963.28"/>
    <n v="195"/>
    <n v="232"/>
    <x v="8"/>
    <x v="1"/>
    <x v="22"/>
    <x v="1"/>
    <x v="1"/>
    <x v="0"/>
  </r>
  <r>
    <x v="538"/>
    <s v="21303 LOC 752"/>
    <s v="22300 LOC 752"/>
    <s v="KM - 5-PK-43 UNI MIL-KM - 5"/>
    <n v="58"/>
    <n v="9"/>
    <n v="978.29"/>
    <n v="510667.38"/>
    <n v="1013"/>
    <n v="522"/>
    <x v="8"/>
    <x v="1"/>
    <x v="22"/>
    <x v="2"/>
    <x v="1"/>
    <x v="0"/>
  </r>
  <r>
    <x v="538"/>
    <s v="21305 AUT 1723"/>
    <s v="21300 LOC 723R1723"/>
    <s v="KM - 5 - LA CARO - KM - 5"/>
    <n v="58"/>
    <n v="4"/>
    <n v="978.29"/>
    <n v="226963.28"/>
    <n v="455"/>
    <n v="232"/>
    <x v="8"/>
    <x v="1"/>
    <x v="22"/>
    <x v="3"/>
    <x v="1"/>
    <x v="0"/>
  </r>
  <r>
    <x v="539"/>
    <s v="21301 AUT 1696"/>
    <s v="21302 AUT 1696"/>
    <s v="KM - 5 - LA CARO - KM - 5"/>
    <n v="58"/>
    <n v="4"/>
    <n v="978.29"/>
    <n v="226963.28"/>
    <n v="178"/>
    <n v="232"/>
    <x v="8"/>
    <x v="1"/>
    <x v="22"/>
    <x v="1"/>
    <x v="1"/>
    <x v="0"/>
  </r>
  <r>
    <x v="539"/>
    <s v="21303 LOC 752"/>
    <s v="22300 LOC 752"/>
    <s v="KM - 5-PK-43 UNI MIL-KM - 5"/>
    <n v="58"/>
    <n v="9"/>
    <n v="978.29"/>
    <n v="510667.38"/>
    <n v="1329"/>
    <n v="522"/>
    <x v="8"/>
    <x v="1"/>
    <x v="22"/>
    <x v="2"/>
    <x v="1"/>
    <x v="0"/>
  </r>
  <r>
    <x v="539"/>
    <s v="21305 LOC 723"/>
    <s v="21300 LOC 723"/>
    <s v="KM - 5 - LA CARO - KM - 5"/>
    <n v="58"/>
    <n v="4"/>
    <n v="978.29"/>
    <n v="226963.28"/>
    <n v="507"/>
    <n v="232"/>
    <x v="8"/>
    <x v="1"/>
    <x v="22"/>
    <x v="3"/>
    <x v="1"/>
    <x v="0"/>
  </r>
  <r>
    <x v="540"/>
    <s v="21301 LOC 350"/>
    <s v="22300 LOC 350"/>
    <s v="KM - 5-PK-43 UNI MIL-KM - 5"/>
    <n v="58"/>
    <n v="5"/>
    <n v="978.29"/>
    <n v="283704.09999999998"/>
    <n v="502"/>
    <n v="290"/>
    <x v="8"/>
    <x v="1"/>
    <x v="22"/>
    <x v="2"/>
    <x v="1"/>
    <x v="0"/>
  </r>
  <r>
    <x v="540"/>
    <s v="21303 LOC 752"/>
    <s v="22302 LOC 752"/>
    <s v="KM - 5 - ZIPAQUIRA - KM - 5"/>
    <n v="96"/>
    <n v="13"/>
    <n v="978.29"/>
    <n v="1220905.92"/>
    <n v="968"/>
    <n v="1248"/>
    <x v="8"/>
    <x v="1"/>
    <x v="22"/>
    <x v="0"/>
    <x v="2"/>
    <x v="0"/>
  </r>
  <r>
    <x v="540"/>
    <s v="21305 AUT 1723"/>
    <s v="21300 AUT 1723"/>
    <s v="KM - 5 - LA CARO - KM - 5"/>
    <n v="58"/>
    <n v="2"/>
    <n v="978.29"/>
    <n v="113481.64"/>
    <n v="54"/>
    <n v="116"/>
    <x v="8"/>
    <x v="1"/>
    <x v="22"/>
    <x v="0"/>
    <x v="2"/>
    <x v="0"/>
  </r>
  <r>
    <x v="541"/>
    <s v="21305 LOC 723"/>
    <s v="22300 LOC 723"/>
    <s v="KM - 5 - ZIPAQUIRA - KM - 5"/>
    <n v="96"/>
    <n v="14"/>
    <n v="978.29"/>
    <n v="1314821.76"/>
    <n v="1032"/>
    <n v="1344"/>
    <x v="8"/>
    <x v="1"/>
    <x v="22"/>
    <x v="0"/>
    <x v="2"/>
    <x v="0"/>
  </r>
  <r>
    <x v="542"/>
    <s v="21301 AUT 1696"/>
    <s v="21302 AUT 1696"/>
    <s v="KM - 5 - LA CARO - KM - 5"/>
    <n v="58"/>
    <n v="4"/>
    <n v="978.29"/>
    <n v="226963.28"/>
    <n v="217"/>
    <n v="232"/>
    <x v="8"/>
    <x v="1"/>
    <x v="22"/>
    <x v="1"/>
    <x v="1"/>
    <x v="0"/>
  </r>
  <r>
    <x v="542"/>
    <s v="21303 LOC 752"/>
    <s v="22300 LOC 752"/>
    <s v="KM - 5-PK-43 UNI MIL-KM - 5"/>
    <n v="58"/>
    <n v="10"/>
    <n v="978.29"/>
    <n v="567408.19999999995"/>
    <n v="1346"/>
    <n v="580"/>
    <x v="8"/>
    <x v="1"/>
    <x v="22"/>
    <x v="2"/>
    <x v="1"/>
    <x v="0"/>
  </r>
  <r>
    <x v="543"/>
    <s v="21301 AUT 1696"/>
    <s v="21302 AUT 1696"/>
    <s v="KM - 5 - LA CARO - KM - 5"/>
    <n v="58"/>
    <n v="4"/>
    <n v="978.29"/>
    <n v="226963.28"/>
    <n v="227"/>
    <n v="232"/>
    <x v="8"/>
    <x v="1"/>
    <x v="22"/>
    <x v="1"/>
    <x v="1"/>
    <x v="0"/>
  </r>
  <r>
    <x v="543"/>
    <s v="21303 LOC 752"/>
    <s v="22300 LOC 752"/>
    <s v="KM - 5-PK-43 UNI MIL-KM - 5"/>
    <n v="58"/>
    <n v="9"/>
    <n v="978.29"/>
    <n v="510667.38"/>
    <n v="1124"/>
    <n v="522"/>
    <x v="8"/>
    <x v="1"/>
    <x v="22"/>
    <x v="2"/>
    <x v="1"/>
    <x v="0"/>
  </r>
  <r>
    <x v="543"/>
    <s v="21305 AUT 1723"/>
    <s v="21300 AUT - 1723"/>
    <s v="KM - 5 - LA CARO - KM - 5"/>
    <n v="58"/>
    <n v="4"/>
    <n v="978.29"/>
    <n v="226963.28"/>
    <n v="377"/>
    <n v="232"/>
    <x v="8"/>
    <x v="1"/>
    <x v="22"/>
    <x v="3"/>
    <x v="1"/>
    <x v="0"/>
  </r>
  <r>
    <x v="544"/>
    <s v="21301 AUT 1696"/>
    <s v="21302 AUT 1696"/>
    <s v="KM - 5 - LA CARO - KM - 5"/>
    <n v="58"/>
    <n v="4"/>
    <n v="978.29"/>
    <n v="226963.28"/>
    <n v="202"/>
    <n v="232"/>
    <x v="8"/>
    <x v="1"/>
    <x v="22"/>
    <x v="1"/>
    <x v="1"/>
    <x v="0"/>
  </r>
  <r>
    <x v="544"/>
    <s v="21303 LOC 752"/>
    <s v="22300 LOC 752"/>
    <s v="KM - 5-PK-43 UNI MIL-KM - 5"/>
    <n v="58"/>
    <n v="9"/>
    <n v="978.29"/>
    <n v="510667.38"/>
    <n v="1166"/>
    <n v="522"/>
    <x v="8"/>
    <x v="1"/>
    <x v="22"/>
    <x v="2"/>
    <x v="1"/>
    <x v="0"/>
  </r>
  <r>
    <x v="544"/>
    <s v="21305 LOC 723"/>
    <s v="21300 LOC 723"/>
    <s v="KM - 5 - LA CARO - KM - 5"/>
    <n v="58"/>
    <n v="5"/>
    <n v="978.29"/>
    <n v="283704.09999999998"/>
    <n v="518"/>
    <n v="290"/>
    <x v="8"/>
    <x v="1"/>
    <x v="22"/>
    <x v="3"/>
    <x v="1"/>
    <x v="0"/>
  </r>
  <r>
    <x v="545"/>
    <s v="21301 AUT 1696"/>
    <s v="21302 AUT 1696"/>
    <s v="KM - 5 - LA CARO - KM - 5"/>
    <n v="58"/>
    <n v="4"/>
    <n v="978.29"/>
    <n v="226963.28"/>
    <n v="215"/>
    <n v="232"/>
    <x v="8"/>
    <x v="1"/>
    <x v="22"/>
    <x v="1"/>
    <x v="1"/>
    <x v="0"/>
  </r>
  <r>
    <x v="545"/>
    <s v="21303 LOC 752"/>
    <s v="22300 LOC 752"/>
    <s v="KM - 5-PK-43 UNI MIL-KM - 5"/>
    <n v="58"/>
    <n v="9"/>
    <n v="978.29"/>
    <n v="510667.38"/>
    <n v="1028"/>
    <n v="522"/>
    <x v="8"/>
    <x v="1"/>
    <x v="22"/>
    <x v="2"/>
    <x v="1"/>
    <x v="0"/>
  </r>
  <r>
    <x v="545"/>
    <s v="21305 AUT 1723"/>
    <s v="21300 AUT - 1723"/>
    <s v="KM - 5 - LA CARO - KM - 5"/>
    <n v="58"/>
    <n v="4"/>
    <n v="978.29"/>
    <n v="226963.28"/>
    <n v="486"/>
    <n v="232"/>
    <x v="8"/>
    <x v="1"/>
    <x v="22"/>
    <x v="3"/>
    <x v="1"/>
    <x v="0"/>
  </r>
  <r>
    <x v="546"/>
    <s v="21301 AUT 1696"/>
    <s v="21302 AUT 1696"/>
    <s v="KM - 5 - LA CARO - KM - 5"/>
    <n v="58"/>
    <n v="4"/>
    <n v="978.29"/>
    <n v="226963.28"/>
    <n v="160"/>
    <n v="232"/>
    <x v="8"/>
    <x v="1"/>
    <x v="22"/>
    <x v="1"/>
    <x v="1"/>
    <x v="0"/>
  </r>
  <r>
    <x v="546"/>
    <s v="21303 LOC 752"/>
    <s v="22300 LOC 752"/>
    <s v="KM - 5-PK-43 UNI MIL-KM - 5"/>
    <n v="58"/>
    <n v="9"/>
    <n v="978.29"/>
    <n v="510667.38"/>
    <n v="1179"/>
    <n v="522"/>
    <x v="8"/>
    <x v="1"/>
    <x v="22"/>
    <x v="2"/>
    <x v="1"/>
    <x v="0"/>
  </r>
  <r>
    <x v="546"/>
    <s v="21305 AUT 1723"/>
    <s v="21300 AUT - 1723"/>
    <s v="KM - 5 - LA CARO - KM - 5"/>
    <n v="58"/>
    <n v="4"/>
    <n v="978.29"/>
    <n v="226963.28"/>
    <n v="447"/>
    <n v="232"/>
    <x v="8"/>
    <x v="1"/>
    <x v="22"/>
    <x v="3"/>
    <x v="1"/>
    <x v="0"/>
  </r>
  <r>
    <x v="547"/>
    <s v="21301 AUT-1696"/>
    <s v="22300 AUT 1696"/>
    <s v="KM - 5-PK-43 UNI MIL-KM - 5"/>
    <n v="58"/>
    <n v="3"/>
    <n v="978.29"/>
    <n v="170222.46"/>
    <n v="381"/>
    <n v="174"/>
    <x v="8"/>
    <x v="1"/>
    <x v="22"/>
    <x v="2"/>
    <x v="1"/>
    <x v="0"/>
  </r>
  <r>
    <x v="547"/>
    <s v="21303 LOC 350"/>
    <s v="22302 LOC 350"/>
    <s v="KM - 5 - ZIPAQUIRA - KM - 5"/>
    <n v="96"/>
    <n v="14"/>
    <n v="978.29"/>
    <n v="1314821.76"/>
    <n v="992"/>
    <n v="1344"/>
    <x v="8"/>
    <x v="1"/>
    <x v="22"/>
    <x v="0"/>
    <x v="2"/>
    <x v="0"/>
  </r>
  <r>
    <x v="548"/>
    <s v="21301 LOC 350"/>
    <s v="22300 LOC 350"/>
    <s v="KM - 5 - ZIPAQUIRA - KM - 5"/>
    <n v="96"/>
    <n v="15"/>
    <n v="978.29"/>
    <n v="1408737.6"/>
    <n v="1182"/>
    <n v="1440"/>
    <x v="8"/>
    <x v="1"/>
    <x v="22"/>
    <x v="0"/>
    <x v="2"/>
    <x v="0"/>
  </r>
  <r>
    <x v="549"/>
    <s v="21301 AUT - 1676"/>
    <s v="21300 AUT - 1676"/>
    <s v="KM - 5 - LA CARO - KM - 5"/>
    <n v="58"/>
    <n v="4"/>
    <n v="978.29"/>
    <n v="226963.28"/>
    <n v="208"/>
    <n v="232"/>
    <x v="8"/>
    <x v="1"/>
    <x v="22"/>
    <x v="3"/>
    <x v="1"/>
    <x v="0"/>
  </r>
  <r>
    <x v="549"/>
    <s v="21303 LOC 723"/>
    <s v="22300 LOC 723"/>
    <s v="KM - 5-PK-43 UNI MIL-KM - 5"/>
    <n v="58"/>
    <n v="9"/>
    <n v="978.29"/>
    <n v="510667.38"/>
    <n v="1258"/>
    <n v="522"/>
    <x v="8"/>
    <x v="1"/>
    <x v="22"/>
    <x v="2"/>
    <x v="1"/>
    <x v="0"/>
  </r>
  <r>
    <x v="550"/>
    <s v="21301 AUT 1676"/>
    <s v="21302 AUT 1676"/>
    <s v="KM - 5 - LA CARO - KM - 5"/>
    <n v="58"/>
    <n v="4"/>
    <n v="978.29"/>
    <n v="226963.28"/>
    <n v="233"/>
    <n v="232"/>
    <x v="8"/>
    <x v="1"/>
    <x v="22"/>
    <x v="1"/>
    <x v="1"/>
    <x v="0"/>
  </r>
  <r>
    <x v="550"/>
    <s v="21303 LOC 723"/>
    <s v="22300 LOC 723"/>
    <s v="KM - 5-PK-43 UNI MIL-KM - 5"/>
    <n v="58"/>
    <n v="9"/>
    <n v="978.29"/>
    <n v="510667.38"/>
    <n v="891"/>
    <n v="522"/>
    <x v="8"/>
    <x v="1"/>
    <x v="22"/>
    <x v="2"/>
    <x v="1"/>
    <x v="0"/>
  </r>
  <r>
    <x v="550"/>
    <s v="21305 AUT 1696"/>
    <s v="21300 AUT - 1696"/>
    <s v="KM - 5 - LA CARO - KM - 5"/>
    <n v="58"/>
    <n v="4"/>
    <n v="978.29"/>
    <n v="226963.28"/>
    <n v="465"/>
    <n v="232"/>
    <x v="8"/>
    <x v="1"/>
    <x v="22"/>
    <x v="3"/>
    <x v="1"/>
    <x v="0"/>
  </r>
  <r>
    <x v="550"/>
    <s v="21307 LOC 723"/>
    <s v="21304 LOC 723"/>
    <s v="KM  5 / SUESCA / KM / 5"/>
    <n v="138"/>
    <n v="9"/>
    <n v="978.29"/>
    <n v="1215036.18"/>
    <n v="50"/>
    <n v="1242"/>
    <x v="8"/>
    <x v="1"/>
    <x v="22"/>
    <x v="0"/>
    <x v="2"/>
    <x v="0"/>
  </r>
  <r>
    <x v="526"/>
    <s v="31300 LOC 61"/>
    <s v="31302 LOC 61"/>
    <s v="CHICAMOCHA-SOGAMOSO-CHICAMOCHA"/>
    <n v="12"/>
    <n v="4"/>
    <n v="978.29"/>
    <n v="46957.919999999998"/>
    <n v="170"/>
    <n v="48"/>
    <x v="8"/>
    <x v="1"/>
    <x v="23"/>
    <x v="0"/>
    <x v="2"/>
    <x v="1"/>
  </r>
  <r>
    <x v="526"/>
    <s v="31301 LOC 61"/>
    <s v="31304 LOC 61"/>
    <s v="CHICAMOCHA-SOGAMOSO-CHICAMOCHA"/>
    <n v="12"/>
    <n v="4"/>
    <n v="978.29"/>
    <n v="46957.919999999998"/>
    <n v="170"/>
    <n v="48"/>
    <x v="8"/>
    <x v="1"/>
    <x v="23"/>
    <x v="0"/>
    <x v="2"/>
    <x v="1"/>
  </r>
  <r>
    <x v="547"/>
    <s v="21300 LOC 61"/>
    <s v="31301 LOC 61"/>
    <s v="CHICAMOCHA-PAIPA-CHICAMOCHA"/>
    <n v="74"/>
    <n v="4"/>
    <n v="978.29"/>
    <n v="289573.84000000003"/>
    <n v="44"/>
    <n v="296"/>
    <x v="8"/>
    <x v="1"/>
    <x v="23"/>
    <x v="0"/>
    <x v="2"/>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3">
  <r>
    <n v="1"/>
    <x v="0"/>
    <x v="0"/>
    <s v="Loc. 1034-1001_x000a__x000a_Plat. 4083,4071,4095,4069,4061,4003,4060,4146, 4124,4120,4151,4104,4162,4159"/>
    <x v="0"/>
    <x v="0"/>
    <n v="2"/>
    <n v="2"/>
    <n v="1303630.6898823529"/>
    <n v="14"/>
    <n v="720587.17741176474"/>
    <n v="2024217.8672941178"/>
    <n v="388"/>
    <n v="257"/>
    <n v="99716"/>
    <n v="871757.15839999996"/>
    <s v="REMISION ARGOS RPSM-00299788"/>
    <n v="614"/>
    <n v="491.2"/>
    <n v="4015324.2240000004"/>
    <x v="0"/>
    <m/>
  </r>
  <r>
    <n v="2"/>
    <x v="0"/>
    <x v="0"/>
    <s v="_x000a_Loc. 1034-1012_x000a__x000a_Plat. 4003,4100,4079,4087,4068,405,4031,4007,  4002,4072,4061,4060,4069,4010"/>
    <x v="1"/>
    <x v="1"/>
    <n v="2"/>
    <n v="2"/>
    <n v="1303630.6898823529"/>
    <n v="14"/>
    <n v="720587.17741176474"/>
    <n v="2024217.8672941178"/>
    <n v="390.78"/>
    <n v="257"/>
    <n v="100430.45999999999"/>
    <n v="878003.25350399991"/>
    <s v="REMISION ARGOS RPSM-00299890"/>
    <n v="614"/>
    <n v="491.20000000000005"/>
    <n v="4015324.2240000004"/>
    <x v="0"/>
    <m/>
  </r>
  <r>
    <n v="3"/>
    <x v="0"/>
    <x v="0"/>
    <s v="_x000a_Loc. 1034-1012_x000a__x000a_Plat. 4072,4061,4060,4048,4083,4071,4095,4073, 4010,4007,4002,4018,4102,4001"/>
    <x v="2"/>
    <x v="2"/>
    <n v="2"/>
    <n v="2"/>
    <n v="1303630.6898823529"/>
    <n v="14"/>
    <n v="720587.17741176474"/>
    <n v="2024217.8672941178"/>
    <n v="389.55"/>
    <n v="257"/>
    <n v="100114.35"/>
    <n v="875239.69344000006"/>
    <s v="REMISION ARGOS RPSM-00300031"/>
    <n v="614"/>
    <n v="491.20000000000005"/>
    <n v="4015324.2240000004"/>
    <x v="0"/>
    <m/>
  </r>
  <r>
    <n v="4"/>
    <x v="0"/>
    <x v="0"/>
    <s v="_x000a_Loc. 1034-1012_x000a__x000a_Plat. 4071,4095,4003,4100,4079,4087,4001,4002, 4018,4102,4083,408,4053,4069"/>
    <x v="3"/>
    <x v="3"/>
    <n v="2"/>
    <n v="2"/>
    <n v="1303630.6898823529"/>
    <n v="14"/>
    <n v="720587.17741176474"/>
    <n v="2024217.8672941178"/>
    <n v="389.55"/>
    <n v="257"/>
    <n v="100114.35"/>
    <n v="875239.69344000006"/>
    <s v="REMISION ARGOS RPSM-00300173"/>
    <n v="614"/>
    <n v="491.20000000000005"/>
    <n v="4015324.2240000004"/>
    <x v="0"/>
    <m/>
  </r>
  <r>
    <n v="5"/>
    <x v="0"/>
    <x v="0"/>
    <s v="_x000a_Loc. 1034-1012_x000a__x000a_Plat. 4071,4095,4087,,4001,4072,4061,4060,4048, 4073,4010,4007,4003,4079,4100"/>
    <x v="4"/>
    <x v="4"/>
    <n v="2"/>
    <n v="2"/>
    <n v="1303630.6898823529"/>
    <n v="14"/>
    <n v="720587.17741176474"/>
    <n v="2024217.8672941178"/>
    <n v="387.1"/>
    <n v="257"/>
    <n v="99484.700000000012"/>
    <n v="869735.04128000012"/>
    <s v="REMISION ARGOS RPSM-00300352"/>
    <n v="614"/>
    <n v="491.20000000000005"/>
    <n v="4015324.2240000004"/>
    <x v="0"/>
    <m/>
  </r>
  <r>
    <n v="6"/>
    <x v="0"/>
    <x v="0"/>
    <s v="Loc. 1001_x000a__x000a_Plat. 4173,4159,4162,4104,4151,4146,4120,4124"/>
    <x v="5"/>
    <x v="5"/>
    <n v="1"/>
    <n v="1"/>
    <n v="438442.96143417369"/>
    <n v="8"/>
    <n v="248558.43137254904"/>
    <n v="687001.39280672278"/>
    <n v="300.8"/>
    <n v="18.75"/>
    <n v="5640"/>
    <n v="49307.135999999999"/>
    <s v="T1 01"/>
    <n v="37.5"/>
    <n v="30"/>
    <n v="245235.6"/>
    <x v="0"/>
    <m/>
  </r>
  <r>
    <n v="7"/>
    <x v="0"/>
    <x v="0"/>
    <s v="_x000a_Loc. 1044-1012_x000a__x000a_Plat. _x000a_4061,4060,40002,4018,4102,4083,4068,4053,4001,4003,4079,4103,4072,4069_x000a_"/>
    <x v="6"/>
    <x v="6"/>
    <n v="2"/>
    <n v="2"/>
    <n v="1303630.6898823529"/>
    <n v="14"/>
    <n v="720587.17741176474"/>
    <n v="2024217.8672941178"/>
    <n v="389.55"/>
    <n v="257"/>
    <n v="100114.35"/>
    <n v="875239.69344000006"/>
    <s v="REMISION ARGOS RPSM-00300803"/>
    <n v="614"/>
    <n v="491.20000000000005"/>
    <n v="4015324.2240000004"/>
    <x v="0"/>
    <m/>
  </r>
  <r>
    <n v="8"/>
    <x v="0"/>
    <x v="0"/>
    <s v="_x000a_Loc. 1044-1001_x000a__x000a_Plat. 4072,4102,4083,4068,4087,4048,4073,4010, 4007,4053,4071,4095,4061,4060"/>
    <x v="7"/>
    <x v="7"/>
    <n v="2"/>
    <n v="2"/>
    <n v="1303630.6898823529"/>
    <n v="14"/>
    <n v="720587.17741176474"/>
    <n v="2024217.8672941178"/>
    <n v="388.33"/>
    <n v="257"/>
    <n v="99800.81"/>
    <n v="872498.60134399997"/>
    <s v="REMISION ARGOS RPSM-00300992"/>
    <n v="614"/>
    <n v="491.20000000000005"/>
    <n v="4015324.2240000004"/>
    <x v="0"/>
    <m/>
  </r>
  <r>
    <n v="9"/>
    <x v="0"/>
    <x v="0"/>
    <s v="_x000a_Loc. 1044-1001_x000a__x000a_Plat. 4053,4071,4095,4061,4002,4018,4003,4079, 4060,4072,4102,4083,4068,4103"/>
    <x v="8"/>
    <x v="8"/>
    <n v="2"/>
    <n v="2"/>
    <n v="1303630.6898823529"/>
    <n v="14"/>
    <n v="720587.17741176474"/>
    <n v="2024217.8672941178"/>
    <n v="392"/>
    <n v="257"/>
    <n v="100744"/>
    <n v="880744.3456"/>
    <s v="REMISION ARGOS RPSM-00301142"/>
    <n v="614"/>
    <n v="491.20000000000005"/>
    <n v="4015324.2240000004"/>
    <x v="0"/>
    <m/>
  </r>
  <r>
    <n v="10"/>
    <x v="1"/>
    <x v="0"/>
    <s v="Loc. 1001-1044_x000a__x000a_Plat.4060,4102,4083,4068,4087,4048,4073,4010,4007,4103,4053,4071,4095,4061"/>
    <x v="9"/>
    <x v="9"/>
    <n v="2"/>
    <n v="2"/>
    <n v="853498.1050084033"/>
    <n v="14"/>
    <n v="571220.70211764704"/>
    <n v="1424718.8071260503"/>
    <n v="390.78"/>
    <n v="257"/>
    <n v="100430.45999999999"/>
    <n v="878003.25350399991"/>
    <s v="REMISION ARGOS RPSM-00301406"/>
    <n v="614"/>
    <n v="491.20000000000005"/>
    <n v="4015324.2240000004"/>
    <x v="1"/>
    <m/>
  </r>
  <r>
    <n v="11"/>
    <x v="1"/>
    <x v="0"/>
    <s v="_x000a_Loc. 1001-1044_x000a__x000a_Plat. 4159,4162,4104,4151,4146,4120,4124"/>
    <x v="10"/>
    <x v="10"/>
    <n v="1"/>
    <n v="0"/>
    <m/>
    <n v="7"/>
    <n v="316591.01678431378"/>
    <n v="316591.01678431378"/>
    <n v="246.78"/>
    <n v="212.6"/>
    <n v="52465.428"/>
    <n v="458673.75774719997"/>
    <s v="T1-67"/>
    <n v="212.6"/>
    <n v="170.08"/>
    <n v="1390322.3616000002"/>
    <x v="1"/>
    <m/>
  </r>
  <r>
    <n v="12"/>
    <x v="1"/>
    <x v="0"/>
    <s v="_x000a_Loc. 1001-1044_x000a__x000a_Plat. 4060,4063,4068,4002,4018,4003,4049,4124,4120,4146, 4151,4104,4162,4159"/>
    <x v="11"/>
    <x v="11"/>
    <n v="2"/>
    <n v="2"/>
    <n v="853498.1050084033"/>
    <n v="14"/>
    <n v="571220.70211764704"/>
    <n v="1424718.8071260503"/>
    <n v="389.55"/>
    <n v="257"/>
    <n v="100114.35"/>
    <n v="875239.69344000006"/>
    <s v="REMISION ARGOS RPSM-00302182"/>
    <n v="357"/>
    <n v="285.60000000000002"/>
    <n v="2334642.9120000005"/>
    <x v="1"/>
    <m/>
  </r>
  <r>
    <n v="13"/>
    <x v="1"/>
    <x v="0"/>
    <s v="_x000a_Loc. 1034-1044_x000a__x000a_Plat. 4072,4056,4060,4083,4073,4010,4007,4095,4068,4002, 4018,4003,4049,4100"/>
    <x v="12"/>
    <x v="12"/>
    <n v="2"/>
    <n v="2"/>
    <n v="853498.1050084033"/>
    <n v="14"/>
    <n v="571220.70211764704"/>
    <n v="1424718.8071260503"/>
    <n v="388.33"/>
    <n v="257"/>
    <n v="99800.81"/>
    <n v="872498.60134399997"/>
    <s v="REMISION ARGOS RPSM-00302340"/>
    <n v="614"/>
    <n v="491.20000000000005"/>
    <n v="4015324.2240000004"/>
    <x v="1"/>
    <m/>
  </r>
  <r>
    <n v="14"/>
    <x v="1"/>
    <x v="0"/>
    <s v="_x000a_Loc. 1044-1034_x000a__x000a_Plat. 4159,4162,4104,4151,4146,4120,4124"/>
    <x v="13"/>
    <x v="13"/>
    <n v="1"/>
    <n v="0"/>
    <n v="0"/>
    <n v="7"/>
    <n v="316591.01678431378"/>
    <n v="316591.01678431378"/>
    <n v="257.66000000000003"/>
    <n v="212.6"/>
    <n v="54778.516000000003"/>
    <n v="478895.6982784"/>
    <s v="T1-69"/>
    <n v="212.6"/>
    <n v="170.08"/>
    <n v="1390322.3616000002"/>
    <x v="1"/>
    <m/>
  </r>
  <r>
    <n v="15"/>
    <x v="1"/>
    <x v="0"/>
    <s v="_x000a_Loc. 1034-1001_x000a__x000a_Plat. 4095,4068,4002,4018,4003,4049,4100,4151,4104,4162,  4159,4124,4120,4146"/>
    <x v="14"/>
    <x v="14"/>
    <n v="2"/>
    <n v="2"/>
    <n v="853498.1050084033"/>
    <n v="14"/>
    <n v="571220.70211764704"/>
    <n v="1424718.8071260503"/>
    <n v="389.55"/>
    <n v="257"/>
    <n v="100114.35"/>
    <n v="875239.69344000006"/>
    <s v="REMISION ARGOS RPSM-00302515"/>
    <n v="357"/>
    <n v="285.60000000000002"/>
    <n v="2334642.9120000005"/>
    <x v="1"/>
    <m/>
  </r>
  <r>
    <n v="16"/>
    <x v="1"/>
    <x v="0"/>
    <s v="_x000a_Loc. 1012-1044_x000a__x000a_Plat. 4159,4162,4104,4151,4146,4120,4124"/>
    <x v="15"/>
    <x v="15"/>
    <n v="1"/>
    <n v="0"/>
    <n v="0"/>
    <n v="9"/>
    <n v="407045.59300840338"/>
    <n v="407045.59300840338"/>
    <n v="355.11"/>
    <n v="212.6"/>
    <n v="75496.385999999999"/>
    <n v="660019.60496639996"/>
    <s v="T1-70"/>
    <n v="212.6"/>
    <n v="170.08"/>
    <n v="1390322.3616000002"/>
    <x v="1"/>
    <m/>
  </r>
  <r>
    <n v="17"/>
    <x v="1"/>
    <x v="0"/>
    <s v="_x000a_Loc. 1012-1034_x000a__x000a_Plat. 4010,4007,4056,4060,4083,4159,4124,4120,4146,4071,  4048,415134104,4162"/>
    <x v="16"/>
    <x v="16"/>
    <n v="2"/>
    <n v="2"/>
    <n v="853498.1050084033"/>
    <n v="14"/>
    <n v="571220.70211764704"/>
    <n v="1424718.8071260503"/>
    <n v="389.55"/>
    <n v="257"/>
    <n v="100114.35"/>
    <n v="875239.69344000006"/>
    <s v="REMISION ARGOS RPSM-00302684"/>
    <n v="357"/>
    <n v="285.60000000000002"/>
    <n v="2334642.9120000005"/>
    <x v="1"/>
    <m/>
  </r>
  <r>
    <n v="18"/>
    <x v="1"/>
    <x v="0"/>
    <s v="_x000a_Loc. 1012-1044_x000a__x000a_Plat. 414,4151,4048,4071,4146,4120,4124,4159"/>
    <x v="17"/>
    <x v="17"/>
    <n v="1"/>
    <n v="0"/>
    <n v="0"/>
    <n v="8"/>
    <n v="361818.30489635858"/>
    <n v="361818.30489635858"/>
    <n v="288.3"/>
    <n v="212.6"/>
    <n v="61292.58"/>
    <n v="535844.25139200001"/>
    <s v="T1-71"/>
    <n v="212.6"/>
    <n v="170.08"/>
    <n v="1390322.3616000002"/>
    <x v="1"/>
    <m/>
  </r>
  <r>
    <n v="19"/>
    <x v="1"/>
    <x v="0"/>
    <s v="_x000a_Loc. 1012-1044_x000a__x000a_Plat. 4159,4124,4120,4146,4071,4048,4151,4104,4056,4060,4083,4060,4083,4049,4100,4073"/>
    <x v="18"/>
    <x v="18"/>
    <n v="2"/>
    <n v="2"/>
    <n v="853498.1050084033"/>
    <n v="14"/>
    <n v="571220.70211764704"/>
    <n v="1424718.8071260503"/>
    <n v="390.78"/>
    <n v="257"/>
    <n v="100430.45999999999"/>
    <n v="878003.25350399991"/>
    <s v="REMISION ARGOS RPSM-00302883"/>
    <n v="357"/>
    <n v="285.60000000000002"/>
    <n v="2334642.9120000005"/>
    <x v="1"/>
    <m/>
  </r>
  <r>
    <n v="20"/>
    <x v="1"/>
    <x v="0"/>
    <s v="_x000a_Loc. 1012-1044_x000a__x000a_Plat. 4104,4151,4048,4162,4146,4120,4124,4159"/>
    <x v="19"/>
    <x v="19"/>
    <n v="1"/>
    <n v="0"/>
    <n v="0"/>
    <n v="8"/>
    <n v="361818.30489635858"/>
    <n v="361818.30489635858"/>
    <n v="277.83999999999997"/>
    <n v="212.6"/>
    <n v="59068.783999999992"/>
    <n v="516402.93724159995"/>
    <s v="T1-72"/>
    <n v="212.6"/>
    <n v="170.08"/>
    <n v="1390322.3616000002"/>
    <x v="1"/>
    <m/>
  </r>
  <r>
    <n v="21"/>
    <x v="1"/>
    <x v="0"/>
    <s v="_x000a_Loc. 1012-1044_x000a__x000a_Plat. 4049,4100,4073,4003,4010,4007,4048,4151,4104,4159, 4124,4120,4146,4162"/>
    <x v="20"/>
    <x v="20"/>
    <n v="2"/>
    <n v="2"/>
    <n v="853498.1050084033"/>
    <n v="14"/>
    <n v="571220.70211764704"/>
    <n v="1424718.8071260503"/>
    <n v="388.55"/>
    <n v="257"/>
    <n v="99857.35"/>
    <n v="872992.89664000005"/>
    <s v="REMISION ARGOS RPSM-00303052"/>
    <n v="357"/>
    <n v="285.60000000000002"/>
    <n v="2334642.9120000005"/>
    <x v="1"/>
    <m/>
  </r>
  <r>
    <n v="22"/>
    <x v="1"/>
    <x v="0"/>
    <s v="_x000a_Loc. 1012-1044_x000a__x000a_Plat. 4159,4162,4104,4151,4048,4071,4120,4124"/>
    <x v="21"/>
    <x v="21"/>
    <n v="1"/>
    <n v="0"/>
    <n v="0"/>
    <n v="8"/>
    <n v="361818.30489635858"/>
    <n v="361818.30489635858"/>
    <n v="331.99"/>
    <n v="212.6"/>
    <n v="70581.073999999993"/>
    <n v="617047.98133759992"/>
    <s v="T1-73"/>
    <n v="212.6"/>
    <n v="170.08"/>
    <n v="1390322.3616000002"/>
    <x v="1"/>
    <m/>
  </r>
  <r>
    <n v="23"/>
    <x v="1"/>
    <x v="0"/>
    <s v="_x000a_Loc. 1012-1044_x000a__x000a_Plat. 4100,4073,4003,4056,4060,4083,4071,4104,4159,4151, 4124,4120,4162,4048"/>
    <x v="22"/>
    <x v="22"/>
    <n v="2"/>
    <n v="2"/>
    <n v="853498.1050084033"/>
    <n v="14"/>
    <n v="571220.70211764704"/>
    <n v="1424718.8071260503"/>
    <n v="389.55"/>
    <n v="257"/>
    <n v="100114.35"/>
    <n v="875239.69344000006"/>
    <s v="REMISION ARGOS RPSM-00303204"/>
    <n v="357"/>
    <n v="285.60000000000002"/>
    <n v="2334642.9120000005"/>
    <x v="1"/>
    <m/>
  </r>
  <r>
    <n v="24"/>
    <x v="1"/>
    <x v="0"/>
    <s v="_x000a_Loc. 1044_x000a__x000a_Plat. 4159,4162,4104,4151,4146,4120,4124,4048,4071,4001,4018"/>
    <x v="23"/>
    <x v="23"/>
    <n v="1"/>
    <n v="2"/>
    <n v="426749.05250420165"/>
    <n v="11"/>
    <n v="497500.16923249303"/>
    <n v="924249.22173669469"/>
    <n v="325.99"/>
    <n v="212.6"/>
    <n v="69305.474000000002"/>
    <n v="605896.17589760001"/>
    <s v="T1-74"/>
    <n v="212.6"/>
    <n v="170.08"/>
    <n v="1390322.3616000002"/>
    <x v="1"/>
    <m/>
  </r>
  <r>
    <n v="25"/>
    <x v="2"/>
    <x v="0"/>
    <s v="Loc. 1012-1034_x000a__x000a_Plat._x000a_4071.4048.4162.4120.4124.4151.4018.4146.4001.4159. 4104,4100,4003,4073"/>
    <x v="24"/>
    <x v="24"/>
    <n v="1"/>
    <n v="2"/>
    <n v="426749.05250420165"/>
    <n v="14"/>
    <n v="285610.35105882352"/>
    <n v="712359.40356302517"/>
    <n v="388.33"/>
    <n v="257"/>
    <n v="99800.81"/>
    <n v="872498.60134399997"/>
    <s v="REMISION ARGOS RPSM-00303538"/>
    <n v="614"/>
    <n v="491.20000000000005"/>
    <n v="4081302.2080000006"/>
    <x v="2"/>
    <m/>
  </r>
  <r>
    <n v="26"/>
    <x v="2"/>
    <x v="0"/>
    <s v="_x000a_Loc. 1012-1034_x000a__x000a_Plat. 4071.4048.4162.4120.4124.4151.4018.4146.4001.4159.4104"/>
    <x v="25"/>
    <x v="25"/>
    <n v="1"/>
    <n v="2"/>
    <n v="426749.05250420165"/>
    <n v="11"/>
    <n v="497500.16923249303"/>
    <n v="924249.22173669469"/>
    <n v="334.39"/>
    <n v="212.6"/>
    <n v="71091.313999999998"/>
    <n v="621508.70351359993"/>
    <s v="T1-75"/>
    <n v="212.6"/>
    <n v="170.08"/>
    <n v="1413167.5072000001"/>
    <x v="2"/>
    <m/>
  </r>
  <r>
    <n v="27"/>
    <x v="2"/>
    <x v="0"/>
    <s v="_x000a_Loc. 1034-1012_x000a__x000a_Plat. 4100,4073,4003,4151,4124,4018,4071,4120,4162,4048,4104,4159,4001,4146"/>
    <x v="26"/>
    <x v="26"/>
    <n v="1"/>
    <n v="2"/>
    <n v="426749.05250420165"/>
    <n v="14"/>
    <n v="285610.35105882352"/>
    <n v="712359.40356302517"/>
    <n v="388.33"/>
    <n v="257"/>
    <n v="99800.81"/>
    <n v="872498.60134399997"/>
    <s v="REMISION ARGOS RPSM-00303703"/>
    <n v="357"/>
    <n v="285.60000000000002"/>
    <n v="2373004.7040000004"/>
    <x v="2"/>
    <m/>
  </r>
  <r>
    <n v="28"/>
    <x v="2"/>
    <x v="0"/>
    <s v="_x000a_Loc. 1012-1044_x000a__x000a_Plat. 4071,4018,4124,4151,4002,4060,4017,4146,4104,4159, 4001"/>
    <x v="27"/>
    <x v="27"/>
    <n v="1"/>
    <n v="2"/>
    <n v="426749.05250420165"/>
    <n v="11"/>
    <n v="497500.16923249303"/>
    <n v="924249.22173669469"/>
    <n v="381.53"/>
    <n v="212.6"/>
    <n v="81113.277999999991"/>
    <n v="709124.72158719995"/>
    <s v="T1-76"/>
    <n v="212.6"/>
    <n v="170.08"/>
    <n v="1413167.5072000001"/>
    <x v="2"/>
    <m/>
  </r>
  <r>
    <n v="29"/>
    <x v="2"/>
    <x v="0"/>
    <s v="_x000a_Loc. 1012-1001_x000a__x000a_Plat. 4095,4056,4003,4104,4159,4001,4146,4137,4060,4002,4151,4124,4018,4071"/>
    <x v="28"/>
    <x v="28"/>
    <n v="1"/>
    <n v="2"/>
    <n v="426749.05250420165"/>
    <n v="14"/>
    <n v="285610.35105882352"/>
    <n v="712359.40356302517"/>
    <n v="388.33"/>
    <n v="257"/>
    <n v="99800.81"/>
    <n v="872498.60134399997"/>
    <s v="REMISION ARGOS RPSM-00303881"/>
    <n v="357"/>
    <n v="285.60000000000002"/>
    <n v="2373004.7040000004"/>
    <x v="2"/>
    <m/>
  </r>
  <r>
    <n v="30"/>
    <x v="2"/>
    <x v="0"/>
    <s v="_x000a_Loc. 1001-1012_x000a__x000a_Plat. 4071, 4018,4124,4001"/>
    <x v="29"/>
    <x v="29"/>
    <n v="1"/>
    <n v="2"/>
    <n v="426749.05250420165"/>
    <n v="4"/>
    <n v="180909.15244817929"/>
    <n v="607658.20495238097"/>
    <n v="116.17"/>
    <n v="212.6"/>
    <n v="24697.741999999998"/>
    <n v="215917.53966079999"/>
    <s v="T1-77"/>
    <n v="212.6"/>
    <n v="170.08"/>
    <n v="1413167.5072000001"/>
    <x v="2"/>
    <m/>
  </r>
  <r>
    <n v="31"/>
    <x v="2"/>
    <x v="0"/>
    <s v="_x000a_Loc. 1012-1001_x000a__x000a_Plat. 4064,4087,4061,4079,4095,4056,4003,40834151,4104,41594048,4162,4120"/>
    <x v="30"/>
    <x v="30"/>
    <n v="1"/>
    <n v="2"/>
    <n v="426749.05250420165"/>
    <n v="14"/>
    <n v="633182.03356862755"/>
    <n v="1059931.0860728291"/>
    <n v="392"/>
    <n v="257"/>
    <n v="100744"/>
    <n v="880744.3456"/>
    <s v="REMISION ARGOS RPSM-00304084"/>
    <n v="357"/>
    <n v="285.60000000000002"/>
    <n v="2373004.7040000004"/>
    <x v="2"/>
    <m/>
  </r>
  <r>
    <n v="32"/>
    <x v="2"/>
    <x v="0"/>
    <s v="_x000a_Loc. 1034_x000a__x000a_Plat. 4001,4124,4018,4071,4137,4060,4002"/>
    <x v="31"/>
    <x v="31"/>
    <n v="1"/>
    <n v="1"/>
    <n v="213374.52625210083"/>
    <n v="7"/>
    <n v="142805.17552941176"/>
    <n v="356179.70178151259"/>
    <n v="196"/>
    <n v="257"/>
    <n v="50372"/>
    <n v="440372.1728"/>
    <s v="REMISION ARGOS RPSM-00304140"/>
    <n v="357"/>
    <n v="285.60000000000002"/>
    <n v="2373004.7040000004"/>
    <x v="2"/>
    <m/>
  </r>
  <r>
    <n v="33"/>
    <x v="2"/>
    <x v="0"/>
    <s v="_x000a_Loc. 1001-1012_x000a__x000a_Plat. 4007,4068,4104,4151,4120,4162,4048,4159"/>
    <x v="32"/>
    <x v="32"/>
    <n v="1"/>
    <n v="2"/>
    <n v="426749.05250420165"/>
    <n v="8"/>
    <n v="361818.30489635858"/>
    <n v="788567.35740056029"/>
    <n v="262.23"/>
    <n v="212.6"/>
    <n v="55750.098000000005"/>
    <n v="487389.65675520006"/>
    <s v="T1-78"/>
    <n v="212.6"/>
    <n v="170.08"/>
    <n v="1413167.5072000001"/>
    <x v="2"/>
    <m/>
  </r>
  <r>
    <n v="34"/>
    <x v="2"/>
    <x v="0"/>
    <s v="_x000a_Loc. 1012-1001_x000a__x000a_Plat. 4095,4083,4056,4003,4010,4049,4159,4048,4162,4120,4151,4104,4068,4007"/>
    <x v="33"/>
    <x v="33"/>
    <n v="1"/>
    <n v="2"/>
    <n v="426749.05250420165"/>
    <n v="14"/>
    <n v="285610.35105882352"/>
    <n v="712359.40356302517"/>
    <n v="389.55"/>
    <n v="257"/>
    <n v="100114.35"/>
    <n v="875239.69344000006"/>
    <s v="REMISION ARGOS RPSM-00304238"/>
    <n v="357"/>
    <n v="285.60000000000002"/>
    <n v="2373004.7040000004"/>
    <x v="2"/>
    <m/>
  </r>
  <r>
    <n v="35"/>
    <x v="2"/>
    <x v="0"/>
    <s v="_x000a_Loc. 1001-1012_x000a__x000a_Plat. 4159,4120,4162,4048,4007,4068,4104,4151"/>
    <x v="34"/>
    <x v="34"/>
    <n v="1"/>
    <n v="2"/>
    <n v="426749.05250420165"/>
    <n v="8"/>
    <n v="361818.30489635858"/>
    <n v="788567.35740056029"/>
    <n v="278.54000000000002"/>
    <n v="212.6"/>
    <n v="59217.603999999999"/>
    <n v="517703.9812096"/>
    <s v="T1-79"/>
    <n v="212.6"/>
    <n v="170.08"/>
    <n v="1413167.5072000001"/>
    <x v="2"/>
    <m/>
  </r>
  <r>
    <n v="36"/>
    <x v="2"/>
    <x v="0"/>
    <s v="_x000a_Loc. 1012-1001_x000a__x000a_Plat. 4124,4018,4071,4137,4060,4002,4056,4061,4079,4151,4104,4068,4007,4048"/>
    <x v="35"/>
    <x v="35"/>
    <n v="1"/>
    <n v="2"/>
    <n v="426749.05250420165"/>
    <n v="14"/>
    <n v="285610.35105882352"/>
    <n v="712359.40356302517"/>
    <n v="388.33"/>
    <n v="257"/>
    <n v="99800.81"/>
    <n v="872498.60134399997"/>
    <s v="REMISION ARGOS RPSM-00304448"/>
    <n v="357"/>
    <n v="285.60000000000002"/>
    <n v="2373004.7040000004"/>
    <x v="2"/>
    <m/>
  </r>
  <r>
    <n v="37"/>
    <x v="2"/>
    <x v="0"/>
    <s v="_x000a_Loc. 1001-1012_x000a__x000a_Plat. 4007,4068,4060,4137,4071,4018,4124,4104,4151"/>
    <x v="36"/>
    <x v="36"/>
    <n v="1"/>
    <n v="2"/>
    <n v="426749.05250420165"/>
    <n v="9"/>
    <n v="407045.59300840338"/>
    <n v="833794.64551260509"/>
    <n v="299.95"/>
    <n v="212.6"/>
    <n v="63769.369999999995"/>
    <n v="557497.34028799995"/>
    <s v="T1-80"/>
    <n v="212.6"/>
    <n v="170.08"/>
    <n v="1413167.5072000001"/>
    <x v="2"/>
    <m/>
  </r>
  <r>
    <n v="38"/>
    <x v="2"/>
    <x v="0"/>
    <s v="_x000a_Loc. 1012-1001_x000a__x000a_Plat. 4056,4061,407940003,4060,4002,4056,4061,4079,4151,4104,4068,4007,4048"/>
    <x v="37"/>
    <x v="37"/>
    <n v="1"/>
    <n v="2"/>
    <n v="426749.05250420165"/>
    <n v="14"/>
    <n v="285610.35105882352"/>
    <n v="712359.40356302517"/>
    <n v="388.33"/>
    <n v="257"/>
    <n v="99800.81"/>
    <n v="872498.60134399997"/>
    <s v="REMISION ARGOS RPSM-00304658"/>
    <n v="357"/>
    <n v="285.60000000000002"/>
    <n v="2373004.7040000004"/>
    <x v="2"/>
    <m/>
  </r>
  <r>
    <n v="39"/>
    <x v="2"/>
    <x v="0"/>
    <s v="_x000a_Loc. 1012_x000a__x000a_Plat. 4049,4095,4083,4001,4162,4120,4159"/>
    <x v="37"/>
    <x v="37"/>
    <n v="1"/>
    <n v="1"/>
    <n v="213374.52625210083"/>
    <n v="7"/>
    <n v="142805.17552941176"/>
    <n v="356179.70178151259"/>
    <n v="196"/>
    <n v="257"/>
    <n v="50372"/>
    <n v="440372.1728"/>
    <s v="REMISION ARGOS RPSM-00304628"/>
    <n v="257"/>
    <n v="205.60000000000002"/>
    <n v="1708297.5040000002"/>
    <x v="2"/>
    <m/>
  </r>
  <r>
    <n v="40"/>
    <x v="2"/>
    <x v="0"/>
    <s v="_x000a_Loc. 1044-1001_x000a__x000a_Plat.  4060,4062,4001,4018,4104,4151,4007,4068"/>
    <x v="38"/>
    <x v="38"/>
    <n v="1"/>
    <n v="2"/>
    <n v="426749.052504202"/>
    <n v="8"/>
    <n v="361818.30489635858"/>
    <n v="788567.35740056029"/>
    <n v="286.37"/>
    <n v="212.6"/>
    <n v="60882.262000000002"/>
    <n v="532257.08730879996"/>
    <s v="T1-81"/>
    <n v="212.6"/>
    <n v="170.08"/>
    <n v="1413167.5072000001"/>
    <x v="2"/>
    <m/>
  </r>
  <r>
    <n v="41"/>
    <x v="3"/>
    <x v="0"/>
    <s v="Loc. 1001-1044_x000a__x000a_Plat._x000a_4072,4064,4071,4124,4048,4056,4100,4087,4053,40684007,4151,4104,4018"/>
    <x v="39"/>
    <x v="39"/>
    <n v="1"/>
    <n v="2"/>
    <n v="426749.05250420165"/>
    <n v="14"/>
    <n v="285610.35105882352"/>
    <n v="712359.40356302517"/>
    <n v="380.98"/>
    <n v="257"/>
    <n v="97911.86"/>
    <n v="855984.64486400003"/>
    <m/>
    <n v="357"/>
    <n v="285.60000000000002"/>
    <n v="2373004.7040000004"/>
    <x v="3"/>
    <m/>
  </r>
  <r>
    <n v="42"/>
    <x v="3"/>
    <x v="0"/>
    <s v="Loc. 1001-1034_x000a_Plat._x000a_4079,4061,4071,4072,4018,4104,4003,4083,4064,4048,4124,4137,4159,4120"/>
    <x v="40"/>
    <x v="40"/>
    <n v="1"/>
    <n v="2"/>
    <n v="426749.05250420165"/>
    <n v="14"/>
    <n v="633182.03356862755"/>
    <n v="1059931.0860728291"/>
    <n v="473.72"/>
    <n v="212.6"/>
    <n v="100712.872"/>
    <n v="880472.21217279998"/>
    <s v="T1-82"/>
    <n v="212.6"/>
    <n v="170.08"/>
    <n v="1413167.5072000001"/>
    <x v="3"/>
    <m/>
  </r>
  <r>
    <n v="43"/>
    <x v="3"/>
    <x v="0"/>
    <s v="_x000a_Loc. 1044-1001_x000a_Plat._x000a_4007,4151,4031,4001,4162,4060,4068,4124,4048,4064,4083,4003,4104_x000a_"/>
    <x v="41"/>
    <x v="41"/>
    <n v="1"/>
    <n v="2"/>
    <n v="426749.05250420165"/>
    <n v="14"/>
    <n v="285610.35105882352"/>
    <n v="712359.40356302517"/>
    <n v="387.1"/>
    <n v="257"/>
    <n v="99484.700000000012"/>
    <n v="869735.04128000012"/>
    <m/>
    <n v="357"/>
    <n v="285.60000000000002"/>
    <n v="2373004.7040000004"/>
    <x v="3"/>
    <m/>
  </r>
  <r>
    <n v="44"/>
    <x v="3"/>
    <x v="0"/>
    <s v="_x000a_Loc. 1001-1034_x000a__x000a_Plat. 4147,4056,4095,4049,4104,4003,4083,4031,4146,4151,4007"/>
    <x v="42"/>
    <x v="42"/>
    <n v="1"/>
    <n v="2"/>
    <n v="426749.05250420165"/>
    <n v="11"/>
    <n v="497500.16923249303"/>
    <n v="924249.22173669469"/>
    <n v="360.13"/>
    <n v="212.6"/>
    <n v="76563.637999999992"/>
    <n v="669349.94885119994"/>
    <s v="T1-83"/>
    <n v="212.6"/>
    <n v="170.08"/>
    <n v="1413167.5072000001"/>
    <x v="3"/>
    <m/>
  </r>
  <r>
    <n v="45"/>
    <x v="3"/>
    <x v="0"/>
    <s v="_x000a_Loc. 1044-1001_x000a__x000a_Plat. 4120,4018,4001,4162,4060,4072,4071,4061,4079,4146,4031,4003,4104,4049"/>
    <x v="43"/>
    <x v="43"/>
    <n v="1"/>
    <n v="2"/>
    <n v="426749.05250420165"/>
    <n v="14"/>
    <n v="285610.35105882352"/>
    <n v="712359.40356302517"/>
    <n v="392"/>
    <n v="257"/>
    <n v="100744"/>
    <n v="880744.3456"/>
    <m/>
    <n v="357"/>
    <n v="285.60000000000002"/>
    <n v="2373004.7040000004"/>
    <x v="3"/>
    <m/>
  </r>
  <r>
    <n v="46"/>
    <x v="3"/>
    <x v="0"/>
    <s v="_x000a_Loc. 1001-1044_x000a__x000a_Plat. 4064,4001,4018,4049,4104,4003,4031,4071,4072,4060,4162"/>
    <x v="44"/>
    <x v="44"/>
    <n v="1"/>
    <n v="2"/>
    <n v="426749.05250420165"/>
    <n v="11"/>
    <n v="497500.16923249303"/>
    <n v="924249.22173669469"/>
    <n v="370.94"/>
    <n v="212.6"/>
    <n v="78861.843999999997"/>
    <n v="689441.78498559992"/>
    <s v="T1-84"/>
    <n v="212.6"/>
    <n v="170.08"/>
    <n v="1413167.5072000001"/>
    <x v="3"/>
    <m/>
  </r>
  <r>
    <n v="47"/>
    <x v="3"/>
    <x v="0"/>
    <s v="_x000a_Loc. 1044-1001_x000a__x000a_Plat. 4061,4079,4146,4159,4137,4095,4056,4147,4083,4001,4064,4031,4003,4162"/>
    <x v="45"/>
    <x v="45"/>
    <n v="1"/>
    <n v="2"/>
    <n v="426749.05250420165"/>
    <n v="14"/>
    <n v="285610.35105882352"/>
    <n v="712359.40356302517"/>
    <n v="389.55"/>
    <n v="257"/>
    <n v="100114.35"/>
    <n v="875239.69344000006"/>
    <m/>
    <n v="357"/>
    <n v="285.60000000000002"/>
    <n v="2373004.7040000004"/>
    <x v="3"/>
    <m/>
  </r>
  <r>
    <n v="48"/>
    <x v="3"/>
    <x v="0"/>
    <s v="_x000a_Loc. 1034-1044_x000a__x000a_Plat. 4137,4048,4095,4162,4003,4031,4064,4001,4083,4147,4056"/>
    <x v="46"/>
    <x v="46"/>
    <n v="1"/>
    <n v="2"/>
    <n v="426749.05250420165"/>
    <n v="11"/>
    <n v="497500.16923249303"/>
    <n v="924249.22173669469"/>
    <n v="383.19"/>
    <n v="212.6"/>
    <n v="81466.194000000003"/>
    <n v="712210.05442559998"/>
    <s v="T1-85"/>
    <n v="312.60000000000002"/>
    <n v="250.08000000000004"/>
    <n v="2077874.7072000003"/>
    <x v="3"/>
    <m/>
  </r>
  <r>
    <n v="49"/>
    <x v="3"/>
    <x v="0"/>
    <s v="_x000a_Loc. 1034-1044_x000a__x000a_Plat. 4079,4146,4104,4049,4018,4060,4072,4071,4007,4056,4002,4100,4061,4151"/>
    <x v="47"/>
    <x v="47"/>
    <n v="1"/>
    <n v="2"/>
    <n v="426749.05250420165"/>
    <n v="14"/>
    <n v="285610.35105882352"/>
    <n v="712359.40356302517"/>
    <n v="392"/>
    <n v="257"/>
    <n v="100744"/>
    <n v="880744.3456"/>
    <m/>
    <n v="257"/>
    <n v="205.60000000000002"/>
    <n v="1708297.5040000002"/>
    <x v="3"/>
    <m/>
  </r>
  <r>
    <n v="50"/>
    <x v="3"/>
    <x v="0"/>
    <s v="_x000a_Loc. 1034-1044_x000a__x000a_Plat. 4146,4079,4151,4061,4072,4060,4018,4049,4104,4124,4068"/>
    <x v="48"/>
    <x v="48"/>
    <n v="1"/>
    <n v="2"/>
    <n v="426749.05250420165"/>
    <n v="11"/>
    <n v="497500.16923249303"/>
    <n v="924249.22173669469"/>
    <n v="378.98"/>
    <n v="212.6"/>
    <n v="80571.148000000001"/>
    <n v="704385.20427520003"/>
    <s v="T1-86"/>
    <n v="312.60000000000002"/>
    <n v="250.08000000000004"/>
    <n v="2077874.7072000003"/>
    <x v="3"/>
    <m/>
  </r>
  <r>
    <n v="51"/>
    <x v="3"/>
    <x v="0"/>
    <s v="_x000a_Loc. 1044-1034_x000a__x000a_Plat. 4071,4007,4056,4048,4137,4068,4031,4003,4162,4095,4147,4083,4001,4064"/>
    <x v="49"/>
    <x v="49"/>
    <n v="1"/>
    <n v="2"/>
    <n v="426749.05250420165"/>
    <n v="14"/>
    <n v="285610.35105882352"/>
    <n v="712359.40356302517"/>
    <n v="388.33"/>
    <n v="257"/>
    <n v="99800.81"/>
    <n v="872498.60134399997"/>
    <m/>
    <n v="257"/>
    <n v="205.60000000000002"/>
    <n v="1708297.5040000002"/>
    <x v="3"/>
    <m/>
  </r>
  <r>
    <n v="52"/>
    <x v="3"/>
    <x v="0"/>
    <s v="_x000a_Loc. 1044-1034_x000a__x000a_Plat. 4001,4083,4147,4031,4068,4137,4048,4056,4007,4071,4064"/>
    <x v="50"/>
    <x v="50"/>
    <n v="1"/>
    <n v="2"/>
    <n v="426749.05250420165"/>
    <n v="11"/>
    <n v="497500.16923249303"/>
    <n v="924249.22173669469"/>
    <n v="360.13"/>
    <n v="212.6"/>
    <n v="76563.637999999992"/>
    <n v="669349.94885119994"/>
    <s v="T1-87"/>
    <n v="312.60000000000002"/>
    <n v="250.08000000000004"/>
    <n v="2077874.7072000003"/>
    <x v="3"/>
    <m/>
  </r>
  <r>
    <n v="53"/>
    <x v="3"/>
    <x v="0"/>
    <s v="_x000a_Loc. 1044-1034_x000a__x000a_Plat. 4162,4095,4124,4104,4049,4137,4003,4072,4061,4151,4018,4079,4146,4060"/>
    <x v="51"/>
    <x v="51"/>
    <n v="1"/>
    <n v="2"/>
    <n v="426749.05250420165"/>
    <n v="14"/>
    <n v="285610.35105882352"/>
    <n v="712359.40356302517"/>
    <n v="392"/>
    <n v="257"/>
    <n v="100744"/>
    <n v="880744.3456"/>
    <m/>
    <n v="257"/>
    <n v="205.60000000000002"/>
    <n v="1708297.5040000002"/>
    <x v="3"/>
    <m/>
  </r>
  <r>
    <n v="54"/>
    <x v="3"/>
    <x v="0"/>
    <s v="_x000a_Loc. 1034-1044_x000a__x000a_Plat. 4146,4079,4018,4151,4104,4124,4095,4162,4061,4072,4003"/>
    <x v="52"/>
    <x v="52"/>
    <n v="1"/>
    <n v="2"/>
    <n v="426749.05250420165"/>
    <n v="11"/>
    <n v="497500.16923249303"/>
    <n v="924249.22173669469"/>
    <n v="343.04"/>
    <n v="212.6"/>
    <n v="72930.304000000004"/>
    <n v="637585.88968959998"/>
    <s v="T1-88"/>
    <n v="312.60000000000002"/>
    <n v="250.08000000000004"/>
    <n v="2077874.7072000003"/>
    <x v="3"/>
    <m/>
  </r>
  <r>
    <n v="55"/>
    <x v="3"/>
    <x v="0"/>
    <s v="_x000a_Loc. 1044-1034_x000a__x000a_Plat. 4068,4031,4147,4064,4071,4007,4056,4073,4060,4049,4137,4048,4083,4001"/>
    <x v="53"/>
    <x v="53"/>
    <n v="1"/>
    <n v="2"/>
    <n v="426749.05250420165"/>
    <n v="14"/>
    <n v="285610.35105882352"/>
    <n v="712359.40356302517"/>
    <n v="389.55"/>
    <n v="257"/>
    <n v="100114.35"/>
    <n v="875239.69344000006"/>
    <m/>
    <n v="257"/>
    <n v="205.60000000000002"/>
    <n v="1708297.5040000002"/>
    <x v="3"/>
    <m/>
  </r>
  <r>
    <n v="56"/>
    <x v="3"/>
    <x v="0"/>
    <s v="_x000a_Loc. 1034-1044_x000a__x000a_Plat.  4031,4068,4007,4071,4064,4147,4056,4001,4083,4048,4137"/>
    <x v="54"/>
    <x v="54"/>
    <n v="1"/>
    <n v="2"/>
    <n v="426749.05250420165"/>
    <n v="11"/>
    <n v="497500.16923249303"/>
    <n v="924249.22173669469"/>
    <n v="376.65"/>
    <n v="212.6"/>
    <n v="80075.789999999994"/>
    <n v="700054.58649599995"/>
    <s v="T1-89"/>
    <n v="212.6"/>
    <n v="170.08"/>
    <n v="1413167.5072000001"/>
    <x v="3"/>
    <m/>
  </r>
  <r>
    <n v="57"/>
    <x v="3"/>
    <x v="0"/>
    <s v="_x000a_Loc. 1044-1034_x000a__x000a_Plat. 4068,4031,4147,4064,4071,4007,4056,4073,4060,4049,4137,4048,4083,4001"/>
    <x v="55"/>
    <x v="55"/>
    <n v="1"/>
    <n v="2"/>
    <n v="426749.05250420165"/>
    <n v="14"/>
    <n v="285610.35105882352"/>
    <n v="712359.40356302517"/>
    <n v="389.55"/>
    <n v="257"/>
    <n v="100114.35"/>
    <n v="875239.69344000006"/>
    <m/>
    <n v="257"/>
    <n v="205.60000000000002"/>
    <n v="1708297.5040000002"/>
    <x v="3"/>
    <m/>
  </r>
  <r>
    <n v="58"/>
    <x v="3"/>
    <x v="0"/>
    <s v="_x000a_Loc. 1034-1044_x000a__x000a_Plat.  4049,4060,4146,4003,4018,4151,4104,4079,4095,4162,4087"/>
    <x v="56"/>
    <x v="56"/>
    <n v="1"/>
    <n v="2"/>
    <n v="426749.05250420165"/>
    <n v="11"/>
    <n v="497500.16923249303"/>
    <n v="924249.22173669469"/>
    <n v="340.66"/>
    <n v="212.6"/>
    <n v="72424.316000000006"/>
    <n v="633162.34019840008"/>
    <s v="T1-90"/>
    <n v="212.6"/>
    <n v="170.08"/>
    <n v="1413167.5072000001"/>
    <x v="3"/>
    <m/>
  </r>
  <r>
    <n v="59"/>
    <x v="4"/>
    <x v="0"/>
    <s v="Loc. 1044-1034_x000a__x000a_Plat._x000a_4003,41374048,4083,4001,4064.4071.4007,4151,4162,4095,4079,4104,4061"/>
    <x v="57"/>
    <x v="57"/>
    <n v="1"/>
    <n v="2"/>
    <n v="426749.05250420165"/>
    <n v="14"/>
    <n v="285610.35105882352"/>
    <n v="712359.40356302517"/>
    <n v="388.33"/>
    <n v="257"/>
    <n v="99800.81"/>
    <n v="872498.60134399997"/>
    <s v="REMISION ARGOS RPSM"/>
    <n v="357"/>
    <n v="285.60000000000002"/>
    <n v="2373004.7040000004"/>
    <x v="4"/>
    <m/>
  </r>
  <r>
    <n v="60"/>
    <x v="4"/>
    <x v="0"/>
    <s v="_x000a_Loc. 1034-1044_x000a__x000a_Plat. 4137,4061,4104,4064,4001,4083,4048,4151,4007,4071"/>
    <x v="58"/>
    <x v="58"/>
    <n v="1"/>
    <n v="2"/>
    <n v="426749.05250420165"/>
    <n v="9"/>
    <n v="407045.59300840338"/>
    <n v="833794.64551260509"/>
    <n v="348.55"/>
    <n v="212.6"/>
    <n v="74101.73"/>
    <n v="647826.96435199992"/>
    <s v="T1-91"/>
    <n v="212.6"/>
    <n v="170.08"/>
    <n v="1413167.5072000001"/>
    <x v="4"/>
    <m/>
  </r>
  <r>
    <n v="61"/>
    <x v="4"/>
    <x v="0"/>
    <s v="_x000a_Loc. 1044-1012_x000a__x000a_Plat. 4073,4162,4095,4147,4072,4068,4031,4001,404,4104,4061,4071,4056"/>
    <x v="59"/>
    <x v="59"/>
    <n v="1"/>
    <n v="2"/>
    <n v="426749.05250420165"/>
    <n v="14"/>
    <n v="285610.35105882352"/>
    <n v="712359.40356302517"/>
    <n v="387.1"/>
    <n v="257"/>
    <n v="99484.700000000012"/>
    <n v="869735.04128000012"/>
    <s v="REMISION ARGOS RPSM"/>
    <n v="357"/>
    <n v="285.60000000000002"/>
    <n v="2373004.7040000004"/>
    <x v="4"/>
    <m/>
  </r>
  <r>
    <n v="62"/>
    <x v="4"/>
    <x v="0"/>
    <s v="_x000a_Loc. 1012-1044_x000a__x000a_Plat.4072,4147,4079,4095,4162,4002,4071,4061,4104,4064"/>
    <x v="60"/>
    <x v="60"/>
    <n v="1"/>
    <n v="2"/>
    <n v="426749.05250420165"/>
    <n v="10"/>
    <n v="452272.88112044823"/>
    <n v="879021.93362464989"/>
    <n v="342.66"/>
    <n v="212.6"/>
    <n v="72849.516000000003"/>
    <n v="636879.60867840005"/>
    <s v="T1-92"/>
    <n v="212.6"/>
    <n v="170.08"/>
    <n v="1413167.5072000001"/>
    <x v="4"/>
    <m/>
  </r>
  <r>
    <n v="63"/>
    <x v="4"/>
    <x v="0"/>
    <s v="_x000a_Loc. 1012-1044_x000a__x000a_Plat. 4073,4031,4001,4007,4051,4048,4083,4137,4018,4003,4146,4060,4049,4120"/>
    <x v="61"/>
    <x v="61"/>
    <n v="1"/>
    <n v="2"/>
    <n v="426749.05250420165"/>
    <n v="14"/>
    <n v="285610.35105882352"/>
    <n v="712359.40356302517"/>
    <n v="388.33"/>
    <n v="257"/>
    <n v="99800.81"/>
    <n v="872498.60134399997"/>
    <s v="REMISION ARGOS RPSM"/>
    <n v="357"/>
    <n v="285.60000000000002"/>
    <n v="2373004.7040000004"/>
    <x v="4"/>
    <m/>
  </r>
  <r>
    <n v="64"/>
    <x v="4"/>
    <x v="0"/>
    <s v="_x000a_Loc. 1012-1044_x000a__x000a_Plat. 4120,4083,4046,4151,4007,4068,4001,4031"/>
    <x v="62"/>
    <x v="62"/>
    <n v="1"/>
    <n v="2"/>
    <n v="426749.05250420165"/>
    <n v="8"/>
    <n v="361818.30489635858"/>
    <n v="788567.35740056029"/>
    <n v="243.21"/>
    <n v="212.6"/>
    <n v="51706.446000000004"/>
    <n v="452038.43351040001"/>
    <s v="T1-93"/>
    <n v="212.6"/>
    <n v="170.08"/>
    <n v="1413167.5072000001"/>
    <x v="4"/>
    <m/>
  </r>
  <r>
    <n v="65"/>
    <x v="4"/>
    <x v="0"/>
    <s v="_x000a_Loc. 1012-1044_x000a__x000a_Plat. 4073,4146,4060,4162,4095,40794147,4087,4072,4064,4104,4061,4071,4002"/>
    <x v="63"/>
    <x v="63"/>
    <n v="1"/>
    <n v="2"/>
    <n v="426749.05250420165"/>
    <n v="14"/>
    <n v="285610.35105882352"/>
    <n v="712359.40356302517"/>
    <n v="389.55"/>
    <n v="257"/>
    <n v="100114.35"/>
    <n v="875239.69344000006"/>
    <s v="REMISION ARGOS RPSM"/>
    <n v="357"/>
    <n v="285.60000000000002"/>
    <n v="2373004.7040000004"/>
    <x v="4"/>
    <m/>
  </r>
  <r>
    <n v="66"/>
    <x v="4"/>
    <x v="0"/>
    <s v="_x000a_Loc. 1012-1044_x000a__x000a_Plat. 4061,4104,4064,4072,4087,4147,4079,4095,4162,4060,4146"/>
    <x v="64"/>
    <x v="64"/>
    <n v="1"/>
    <n v="2"/>
    <n v="426749.05250420165"/>
    <n v="11"/>
    <n v="497500.16923249303"/>
    <n v="924249.22173669469"/>
    <n v="367.07"/>
    <n v="212.6"/>
    <n v="78039.081999999995"/>
    <n v="682248.8704767999"/>
    <s v="T1-94"/>
    <n v="212.6"/>
    <n v="170.08"/>
    <n v="1413167.5072000001"/>
    <x v="4"/>
    <m/>
  </r>
  <r>
    <n v="67"/>
    <x v="4"/>
    <x v="0"/>
    <s v="_x000a_Loc. 1012-1044_x000a__x000a_Plat. 4002,4031,4001,4068,4074051,4048,4083,4020,4137,4018,4003,4073,4071"/>
    <x v="65"/>
    <x v="65"/>
    <n v="1"/>
    <n v="2"/>
    <n v="426749.05250420165"/>
    <n v="14"/>
    <n v="285610.35105882352"/>
    <n v="712359.40356302517"/>
    <n v="389.55"/>
    <n v="257"/>
    <n v="100114.35"/>
    <n v="875239.69344000006"/>
    <s v="REMISION ARGOS RPSM"/>
    <n v="357"/>
    <n v="285.60000000000002"/>
    <n v="2373004.7040000004"/>
    <x v="4"/>
    <m/>
  </r>
  <r>
    <n v="68"/>
    <x v="4"/>
    <x v="0"/>
    <s v="_x000a_Loc. 1012-1044_x000a__x000a_Plat. 4073,4071,4087,4072,4064,4104,4061,4079,4147,4146,4060,4062,4095,4083"/>
    <x v="66"/>
    <x v="66"/>
    <n v="2"/>
    <n v="2"/>
    <n v="853498.1050084033"/>
    <n v="14"/>
    <n v="571220.70211764704"/>
    <n v="1424718.8071260503"/>
    <n v="389.55"/>
    <n v="257"/>
    <n v="100114.35"/>
    <n v="875239.69344000006"/>
    <s v="REMISION ARGOS RPSM"/>
    <n v="614"/>
    <n v="491.20000000000005"/>
    <n v="4081302.2080000006"/>
    <x v="4"/>
    <m/>
  </r>
  <r>
    <n v="69"/>
    <x v="4"/>
    <x v="0"/>
    <s v="_x000a_Loc. 1001-1012_x000a__x000a_Plat. 4071,4087,4007,4151,4048,4003,4120,4137,4018,4146,4060,4162,4095,4083"/>
    <x v="67"/>
    <x v="67"/>
    <n v="2"/>
    <n v="2"/>
    <n v="853498.1050084033"/>
    <n v="14"/>
    <n v="571220.70211764704"/>
    <n v="1424718.8071260503"/>
    <n v="392"/>
    <n v="257"/>
    <n v="100744"/>
    <n v="880744.3456"/>
    <s v="REMISION ARGOS RPSM"/>
    <n v="614"/>
    <n v="491.20000000000005"/>
    <n v="4081302.2080000006"/>
    <x v="4"/>
    <m/>
  </r>
  <r>
    <n v="70"/>
    <x v="4"/>
    <x v="0"/>
    <s v="_x000a_Loc. 1044-1012_x000a__x000a_Plat. 4060,4018,4137,4120,4003,4048,4083"/>
    <x v="68"/>
    <x v="68"/>
    <n v="1"/>
    <n v="2"/>
    <n v="426749.05250420165"/>
    <n v="7"/>
    <n v="316591.01678431378"/>
    <n v="743340.06928851549"/>
    <n v="211.13"/>
    <n v="212.6"/>
    <n v="44886.237999999998"/>
    <n v="392413.44709119998"/>
    <s v="T1-97"/>
    <n v="212.6"/>
    <n v="170.08"/>
    <n v="1413167.5072000001"/>
    <x v="4"/>
    <m/>
  </r>
  <r>
    <n v="71"/>
    <x v="4"/>
    <x v="0"/>
    <s v="_x000a_Loc. 1012-1044_x000a__x000a_Plat.4087,4151,4064,4061,4104,4079,4079,4147,4073,4001,4162,4095,4071,4068,4002"/>
    <x v="69"/>
    <x v="69"/>
    <n v="1"/>
    <n v="2"/>
    <n v="426749.05250420165"/>
    <n v="14"/>
    <n v="285610.35105882352"/>
    <n v="712359.40356302517"/>
    <n v="389.55"/>
    <n v="257"/>
    <n v="100114.35"/>
    <n v="875239.69344000006"/>
    <s v="REMISION ARGOS RPSM-"/>
    <n v="357"/>
    <n v="285.60000000000002"/>
    <n v="2373004.7040000004"/>
    <x v="4"/>
    <m/>
  </r>
  <r>
    <n v="72"/>
    <x v="4"/>
    <x v="0"/>
    <s v="_x000a_Loc. 1012-1044_x000a__x000a_Plat. 4064,4162,4095,4071,4068,4002,4061,4079,4001,4087,4151,4124"/>
    <x v="70"/>
    <x v="70"/>
    <n v="2"/>
    <n v="2"/>
    <n v="853498.1050084033"/>
    <n v="12"/>
    <n v="1085454.9146890757"/>
    <n v="1938953.019697479"/>
    <n v="400"/>
    <n v="240.7"/>
    <n v="96280"/>
    <n v="841718.272"/>
    <s v="T1-01"/>
    <n v="581.4"/>
    <n v="465.12"/>
    <n v="3864607.6608000002"/>
    <x v="4"/>
    <m/>
  </r>
  <r>
    <n v="73"/>
    <x v="5"/>
    <x v="0"/>
    <s v="Loc. 1012-1034_x000a__x000a_Plat._x000a_4073,4031,4083,4048,4003,4120,4137,4018,4060,4147,4104,4064,4162,4095"/>
    <x v="71"/>
    <x v="71"/>
    <n v="2"/>
    <n v="2"/>
    <n v="853498.1050084033"/>
    <n v="14"/>
    <n v="571220.70211764704"/>
    <n v="1424718.8071260503"/>
    <n v="389.55"/>
    <n v="257"/>
    <n v="100114.35"/>
    <n v="875239.69344000006"/>
    <s v="REMISION ARGOS RPSM-00309772"/>
    <n v="614"/>
    <n v="491.20000000000005"/>
    <n v="4081302.2080000006"/>
    <x v="5"/>
    <m/>
  </r>
  <r>
    <n v="74"/>
    <x v="5"/>
    <x v="0"/>
    <s v="_x000a_Loc. 1034-1012_x000a__x000a_Plat. 4048,4079,4001,4056,4071,4068,4002,4061,4147,4104,4064,4162,4095,4003"/>
    <x v="72"/>
    <x v="72"/>
    <n v="2"/>
    <n v="2"/>
    <n v="853498.1050084033"/>
    <n v="14"/>
    <n v="571220.70211764704"/>
    <n v="1424718.8071260503"/>
    <n v="388.33"/>
    <n v="257"/>
    <n v="99800.81"/>
    <n v="872498.60134399997"/>
    <s v="REMISION ARGOS RPSM-00309851"/>
    <n v="614"/>
    <n v="491.20000000000005"/>
    <n v="4081302.2080000006"/>
    <x v="5"/>
    <m/>
  </r>
  <r>
    <n v="75"/>
    <x v="5"/>
    <x v="0"/>
    <s v="_x000a_Loc. 1034-1012_x000a__x000a_Plat. 4104,4147,4068,4071,4056,4048,4151,4087,4162,4061,4002"/>
    <x v="73"/>
    <x v="73"/>
    <n v="1"/>
    <n v="2"/>
    <n v="426749.05250420165"/>
    <n v="11"/>
    <n v="497500.16923249303"/>
    <n v="924249.22173669469"/>
    <n v="368.57"/>
    <n v="212.6"/>
    <n v="78357.982000000004"/>
    <n v="685036.82183680008"/>
    <s v="T1-101"/>
    <n v="212.6"/>
    <n v="170.08"/>
    <n v="1413167.5072000001"/>
    <x v="5"/>
    <m/>
  </r>
  <r>
    <n v="76"/>
    <x v="5"/>
    <x v="0"/>
    <s v="_x000a_Loc. 1012-1034_x000a__x000a_Plat.4061,4162,4087,4056,4071,4079,4001,4060,4073,4031,4083,4120,4137,4018"/>
    <x v="74"/>
    <x v="74"/>
    <n v="1"/>
    <n v="2"/>
    <n v="426749.05250420165"/>
    <n v="14"/>
    <n v="285610.35105882352"/>
    <n v="712359.40356302517"/>
    <n v="388.33"/>
    <n v="257"/>
    <n v="99800.81"/>
    <n v="872498.60134399997"/>
    <s v="REMISION ARGOS RPSM-00310041"/>
    <n v="357"/>
    <n v="285.60000000000002"/>
    <n v="2373004.7040000004"/>
    <x v="5"/>
    <m/>
  </r>
  <r>
    <n v="77"/>
    <x v="5"/>
    <x v="0"/>
    <s v="_x000a_Loc. 1044-1001_x000a__x000a_Plat. 4087,4162,4061,4018,4137,4146,4079,4071,4056,4120,4083"/>
    <x v="75"/>
    <x v="75"/>
    <n v="1"/>
    <n v="2"/>
    <n v="426749.05250420165"/>
    <n v="11"/>
    <n v="497500.16923249303"/>
    <n v="924249.22173669469"/>
    <n v="326.83999999999997"/>
    <n v="212.6"/>
    <n v="69486.183999999994"/>
    <n v="607476.01500159991"/>
    <s v="T102"/>
    <n v="212.6"/>
    <n v="170.08"/>
    <n v="1413167.5072000001"/>
    <x v="5"/>
    <m/>
  </r>
  <r>
    <n v="78"/>
    <x v="5"/>
    <x v="0"/>
    <s v="_x000a_Loc. 1001-1044_x000a__x000a_Plat. 4073,4031,4002,4003,4068,4147,4104,4151,4048,4071,4018,4061,4162,4087"/>
    <x v="76"/>
    <x v="76"/>
    <n v="1"/>
    <n v="2"/>
    <n v="426749.05250420165"/>
    <n v="14"/>
    <n v="285610.35105882352"/>
    <n v="712359.40356302517"/>
    <n v="388.33"/>
    <n v="257"/>
    <n v="99800.81"/>
    <n v="872498.60134399997"/>
    <s v="REMISION ARGOS RPSM-00310623"/>
    <n v="357"/>
    <n v="285.60000000000002"/>
    <n v="2373004.7040000004"/>
    <x v="5"/>
    <m/>
  </r>
  <r>
    <n v="79"/>
    <x v="5"/>
    <x v="0"/>
    <s v="_x000a_Loc. 1001-1044_x000a__x000a_Plat. 4162,4061,4018,4071,4147,4068,4087,4003,4048,4151"/>
    <x v="77"/>
    <x v="77"/>
    <n v="1"/>
    <n v="2"/>
    <n v="426749.05250420165"/>
    <n v="10"/>
    <n v="452272.88112044823"/>
    <n v="879021.93362464989"/>
    <n v="322.19"/>
    <n v="212.6"/>
    <n v="68497.593999999997"/>
    <n v="598833.36578559992"/>
    <s v="T1-103"/>
    <n v="212.6"/>
    <n v="170.08"/>
    <n v="1413167.5072000001"/>
    <x v="5"/>
    <m/>
  </r>
  <r>
    <n v="80"/>
    <x v="5"/>
    <x v="0"/>
    <s v="_x000a_Loc. 1001-1044_x000a__x000a_Plat. 4031,4002,4079,4146,4137,4083,4120,4056,4060,4003,4087,4071,4018,4061"/>
    <x v="78"/>
    <x v="78"/>
    <n v="1"/>
    <n v="2"/>
    <n v="426749.05250420165"/>
    <n v="14"/>
    <n v="285610.35105882352"/>
    <n v="712359.40356302517"/>
    <n v="390.78"/>
    <n v="257"/>
    <n v="100430.45999999999"/>
    <n v="878003.25350399991"/>
    <s v="REMISION ARGOS RPSM-00310792"/>
    <n v="357"/>
    <n v="285.60000000000002"/>
    <n v="2373004.7040000004"/>
    <x v="5"/>
    <m/>
  </r>
  <r>
    <n v="81"/>
    <x v="5"/>
    <x v="0"/>
    <s v="_x000a_Loc. 1001-1044_x000a__x000a_Plat. 4061,4018,4071,4087,4003,4060,4056,4146,4079,4002,4031"/>
    <x v="79"/>
    <x v="79"/>
    <n v="1"/>
    <n v="2"/>
    <n v="426749.05250420165"/>
    <n v="11"/>
    <n v="497500.16923249303"/>
    <n v="924249.22173669469"/>
    <n v="349.52"/>
    <n v="212.6"/>
    <n v="74307.95199999999"/>
    <n v="649629.83956479991"/>
    <s v="T1-104"/>
    <n v="212.6"/>
    <n v="170.08"/>
    <n v="1413167.5072000001"/>
    <x v="5"/>
    <m/>
  </r>
  <r>
    <n v="82"/>
    <x v="5"/>
    <x v="0"/>
    <s v="_x000a_Loc. 1001-1044_x000a__x000a_Plat. 4083,4120,4151,4048,4104,4073,4162,4068,4147,4061,4031,4002,4079,4146"/>
    <x v="80"/>
    <x v="80"/>
    <n v="1"/>
    <n v="2"/>
    <n v="426749.05250420165"/>
    <n v="14"/>
    <n v="285610.35105882352"/>
    <n v="712359.40356302517"/>
    <n v="389.78"/>
    <n v="257"/>
    <n v="100173.45999999999"/>
    <n v="875756.45670399989"/>
    <s v="REMISION ARGOS RPSM-00310963"/>
    <n v="357"/>
    <n v="285.60000000000002"/>
    <n v="2373004.7040000004"/>
    <x v="5"/>
    <m/>
  </r>
  <r>
    <n v="83"/>
    <x v="5"/>
    <x v="0"/>
    <s v="_x000a_Loc. 1001-1044_x000a__x000a_Plat. 4162,4002,4056,4060,4003,4087,4071,4018,4137,4068,4147,4083,4120,4151"/>
    <x v="81"/>
    <x v="81"/>
    <n v="2"/>
    <n v="2"/>
    <n v="853498.1050084033"/>
    <n v="14"/>
    <n v="571220.70211764704"/>
    <n v="1424718.8071260503"/>
    <n v="389.55"/>
    <n v="257"/>
    <n v="100114.35"/>
    <n v="875239.69344000006"/>
    <s v="REMISION ARGOS RPSM-00311111"/>
    <n v="614"/>
    <n v="491.20000000000005"/>
    <n v="4081302.2080000006"/>
    <x v="5"/>
    <m/>
  </r>
  <r>
    <n v="84"/>
    <x v="5"/>
    <x v="0"/>
    <s v="_x000a_Loc. 1001-1044_x000a__x000a_Plat. 4059,4120,4018,4071,4060,4056,4002,4162,4087,4003,4151"/>
    <x v="82"/>
    <x v="82"/>
    <n v="1"/>
    <n v="2"/>
    <n v="426749.05250420165"/>
    <n v="11"/>
    <n v="497500.16923249303"/>
    <n v="924249.22173669469"/>
    <n v="373.92"/>
    <n v="212.6"/>
    <n v="79495.392000000007"/>
    <n v="694980.51502080006"/>
    <s v="T1-106"/>
    <n v="212.6"/>
    <n v="170.08"/>
    <n v="1413167.5072000001"/>
    <x v="5"/>
    <m/>
  </r>
  <r>
    <n v="85"/>
    <x v="5"/>
    <x v="0"/>
    <s v="_x000a_Loc. 1044-1012_x000a__x000a_Plat. 4120,4147,4083,4048,4049,4064,4146,4073,4061,4031,4159,4002,4056,4068"/>
    <x v="83"/>
    <x v="83"/>
    <n v="1"/>
    <n v="2"/>
    <n v="426749.05250420165"/>
    <n v="14"/>
    <n v="285610.35105882352"/>
    <n v="712359.40356302517"/>
    <n v="389.55"/>
    <n v="257"/>
    <n v="100114.35"/>
    <n v="875239.69344000006"/>
    <s v="REMISION ARGOS RPSM-00311306"/>
    <n v="357"/>
    <n v="285.60000000000002"/>
    <n v="2373004.7040000004"/>
    <x v="5"/>
    <m/>
  </r>
  <r>
    <n v="86"/>
    <x v="5"/>
    <x v="0"/>
    <s v="_x000a_Loc. 1012-1044_x000a__x000a_Plat.4120,4146,4064,4049,4048,4068,4056"/>
    <x v="84"/>
    <x v="84"/>
    <n v="1"/>
    <n v="2"/>
    <n v="426749.05250420165"/>
    <n v="7"/>
    <n v="316591.01678431378"/>
    <n v="743340.06928851549"/>
    <n v="229.85"/>
    <n v="212.6"/>
    <n v="48866.11"/>
    <n v="427207.08006399998"/>
    <s v="T1-107"/>
    <n v="212.6"/>
    <n v="170.08"/>
    <n v="1413167.5072000001"/>
    <x v="5"/>
    <m/>
  </r>
  <r>
    <n v="87"/>
    <x v="5"/>
    <x v="0"/>
    <s v="_x000a_Loc. 1012-1044_x000a__x000a_Plat. 4031,4073,4151,4003,4087,4162,4060,4071,4018,4010,4100,4061,4159,4002"/>
    <x v="85"/>
    <x v="85"/>
    <n v="1"/>
    <n v="2"/>
    <n v="426749.05250420165"/>
    <n v="14"/>
    <n v="285610.35105882352"/>
    <n v="712359.40356302517"/>
    <n v="389.55"/>
    <n v="257"/>
    <n v="100114.35"/>
    <n v="875239.69344000006"/>
    <s v="REMISION ARGOS RPSM-00311510"/>
    <n v="357"/>
    <n v="285.60000000000002"/>
    <n v="2373004.7040000004"/>
    <x v="5"/>
    <m/>
  </r>
  <r>
    <n v="88"/>
    <x v="6"/>
    <x v="0"/>
    <s v="Loc. 1001-1044_x000a__x000a_Plat._x000a_4159,4002,4056,4068,4048,4049,4064,4146,4120,4031,407,4151,4003,4089"/>
    <x v="86"/>
    <x v="86"/>
    <n v="2"/>
    <n v="2"/>
    <n v="853498.1050084033"/>
    <n v="14"/>
    <n v="571220.70211764704"/>
    <n v="1424718.8071260503"/>
    <n v="392"/>
    <n v="257"/>
    <n v="100744"/>
    <n v="880744.3456"/>
    <s v="RPSM-00311623"/>
    <n v="702"/>
    <n v="561.6"/>
    <n v="4666244.5440000007"/>
    <x v="6"/>
    <m/>
  </r>
  <r>
    <n v="89"/>
    <x v="6"/>
    <x v="0"/>
    <s v="_x000a_Loc. 1034-1012_x000a__x000a_Plat. 4068,4120,4146,4064,4049,4048,4087,4003,41594056,4002"/>
    <x v="87"/>
    <x v="87"/>
    <n v="1"/>
    <n v="2"/>
    <n v="426749.05250420165"/>
    <n v="11"/>
    <n v="497500.16923249303"/>
    <n v="924249.22173669469"/>
    <n v="293.22000000000003"/>
    <n v="212.6"/>
    <n v="62338.572000000007"/>
    <n v="544988.73185280012"/>
    <s v="T1-109"/>
    <n v="400.6"/>
    <n v="320.48"/>
    <n v="2662817.0432000002"/>
    <x v="6"/>
    <m/>
  </r>
  <r>
    <n v="90"/>
    <x v="6"/>
    <x v="0"/>
    <s v="_x000a_Loc. 1034-1012_x000a__x000a_Plat.  4073,4151,4031,4010,4100,4061,4162,4060,4071,4018,4049,4064,4146,4003"/>
    <x v="88"/>
    <x v="88"/>
    <n v="1"/>
    <n v="2"/>
    <n v="426749.05250420165"/>
    <n v="14"/>
    <n v="285610.35105882352"/>
    <n v="712359.40356302517"/>
    <n v="389.55"/>
    <n v="257"/>
    <n v="100114.35"/>
    <n v="875239.69344000006"/>
    <s v="RPSM-00311627"/>
    <n v="445"/>
    <n v="356"/>
    <n v="2957947.04"/>
    <x v="6"/>
    <m/>
  </r>
  <r>
    <n v="91"/>
    <x v="6"/>
    <x v="0"/>
    <s v="_x000a_Loc. 1012-1034_x000a__x000a_Plat.4003,4124,4146"/>
    <x v="89"/>
    <x v="89"/>
    <n v="1"/>
    <n v="2"/>
    <n v="426749.05250420165"/>
    <n v="3"/>
    <n v="135681.86433613446"/>
    <n v="562430.91684033605"/>
    <n v="104.95"/>
    <n v="212.6"/>
    <n v="22312.37"/>
    <n v="195063.66348799999"/>
    <s v="T1-110"/>
    <n v="400.6"/>
    <n v="320.48"/>
    <n v="2662817.0432000002"/>
    <x v="6"/>
    <m/>
  </r>
  <r>
    <n v="92"/>
    <x v="6"/>
    <x v="0"/>
    <s v="_x000a_Loc. 1012-1034_x000a__x000a_Plat.  4100,4061,4120,4159,4002,4056,4068,4087,4048,4010,4051,4031,4162,4060"/>
    <x v="90"/>
    <x v="90"/>
    <n v="1"/>
    <n v="2"/>
    <n v="426749.05250420165"/>
    <n v="14"/>
    <n v="285610.35105882352"/>
    <n v="712359.40356302517"/>
    <n v="388.55"/>
    <n v="257"/>
    <n v="99857.35"/>
    <n v="872992.89664000005"/>
    <s v="RPSM-00311828"/>
    <n v="445"/>
    <n v="356"/>
    <n v="2957947.04"/>
    <x v="6"/>
    <m/>
  </r>
  <r>
    <n v="93"/>
    <x v="6"/>
    <x v="0"/>
    <s v="_x000a_Loc. 1034-1012_x000a__x000a_Plat. 4060,4162,4031,4151,4048,4068,4055,4002,4159,4120,4061"/>
    <x v="91"/>
    <x v="91"/>
    <n v="1"/>
    <n v="2"/>
    <n v="426749.05250420165"/>
    <n v="11"/>
    <n v="497500.16923249303"/>
    <n v="924249.22173669469"/>
    <n v="348.95"/>
    <n v="212.6"/>
    <n v="74186.76999999999"/>
    <n v="648570.41804799985"/>
    <s v="T1-111"/>
    <n v="400.6"/>
    <n v="320.48"/>
    <n v="2662817.0432000002"/>
    <x v="6"/>
    <m/>
  </r>
  <r>
    <n v="94"/>
    <x v="6"/>
    <x v="0"/>
    <s v="_x000a_Loc. 1012-1034_x000a__x000a_Plat.  4087,4010,4071,4018,4049,4064,4146,4124,4003,4151,4031,4162,4060,4095"/>
    <x v="92"/>
    <x v="92"/>
    <n v="1"/>
    <n v="2"/>
    <n v="426749.05250420165"/>
    <n v="14"/>
    <n v="285610.35105882352"/>
    <n v="712359.40356302517"/>
    <n v="389.55"/>
    <n v="257"/>
    <n v="100114.35"/>
    <n v="875239.69344000006"/>
    <s v="RPSM-00311990"/>
    <n v="445"/>
    <n v="356"/>
    <n v="2957947.04"/>
    <x v="6"/>
    <m/>
  </r>
  <r>
    <n v="95"/>
    <x v="6"/>
    <x v="0"/>
    <s v="_x000a_Loc. 1012-1034_x000a__x000a_Plat. 4031,4151,4064,4049,4018,4071,4137,4087,4095,4060,4162"/>
    <x v="93"/>
    <x v="93"/>
    <n v="1"/>
    <n v="2"/>
    <n v="426749.05250420165"/>
    <n v="11"/>
    <n v="497500.16923249303"/>
    <n v="924249.22173669469"/>
    <n v="361.52"/>
    <n v="212.6"/>
    <n v="76859.151999999987"/>
    <n v="671933.45044479985"/>
    <s v="T1-112"/>
    <n v="400.6"/>
    <n v="320.48"/>
    <n v="2662817.0432000002"/>
    <x v="6"/>
    <m/>
  </r>
  <r>
    <n v="96"/>
    <x v="6"/>
    <x v="0"/>
    <s v="_x000a_Loc. 1034-1012_x000a__x000a_Plat.  4151,4031,4146,4100,4061,4120,4159,4002,4056,4068,4048,4137,4071,4003"/>
    <x v="94"/>
    <x v="94"/>
    <n v="1"/>
    <n v="2"/>
    <n v="426749.05250420165"/>
    <n v="14"/>
    <n v="285610.35105882352"/>
    <n v="712359.40356302517"/>
    <n v="387.1"/>
    <n v="257"/>
    <n v="99484.700000000012"/>
    <n v="869735.04128000012"/>
    <s v="RPSM-00312541"/>
    <n v="445"/>
    <n v="356"/>
    <n v="2957947.04"/>
    <x v="6"/>
    <m/>
  </r>
  <r>
    <n v="97"/>
    <x v="6"/>
    <x v="0"/>
    <s v="_x000a_Loc. 1012-1034_x000a__x000a_Plat. 4120,4061,4003,4124,4146,4031,4151,4056,4002"/>
    <x v="95"/>
    <x v="95"/>
    <n v="1"/>
    <n v="2"/>
    <n v="426749.05250420165"/>
    <n v="9"/>
    <n v="407045.59300840338"/>
    <n v="833794.64551260509"/>
    <n v="300.52"/>
    <n v="212.6"/>
    <n v="63890.551999999996"/>
    <n v="558556.76180480001"/>
    <s v="T1-113"/>
    <n v="400.6"/>
    <n v="320.48"/>
    <n v="2662817.0432000002"/>
    <x v="6"/>
    <m/>
  </r>
  <r>
    <n v="98"/>
    <x v="6"/>
    <x v="0"/>
    <s v="_x000a_Loc. 1034-1012_x000a__x000a_Plat.  4002,4056,4068,4048,4071,4072,4159,4162,4060,4095,4087,4018,4049,4064"/>
    <x v="96"/>
    <x v="96"/>
    <n v="1"/>
    <n v="2"/>
    <n v="426749.05250420165"/>
    <n v="14"/>
    <n v="285610.35105882352"/>
    <n v="712359.40356302517"/>
    <n v="388.33"/>
    <n v="257"/>
    <n v="99800.81"/>
    <n v="872498.60134399997"/>
    <s v="RPSM-00312701"/>
    <n v="445"/>
    <n v="356"/>
    <n v="2957947.04"/>
    <x v="6"/>
    <m/>
  </r>
  <r>
    <n v="99"/>
    <x v="6"/>
    <x v="0"/>
    <s v="_x000a_Loc. 1012-1034_x000a__x000a_Plat. 4072,4071,4048,4068,4056,4002,4064,4049,4018,4087,4159"/>
    <x v="97"/>
    <x v="97"/>
    <n v="2"/>
    <n v="2"/>
    <n v="853498.1050084033"/>
    <n v="11"/>
    <n v="995000.33846498607"/>
    <n v="1848498.4434733894"/>
    <n v="363.13"/>
    <n v="212.6"/>
    <n v="77201.437999999995"/>
    <n v="674925.85157119995"/>
    <s v="T1-114"/>
    <n v="613.20000000000005"/>
    <n v="490.56000000000006"/>
    <n v="4075984.5504000005"/>
    <x v="6"/>
    <m/>
  </r>
  <r>
    <n v="100"/>
    <x v="6"/>
    <x v="0"/>
    <s v="_x000a_Loc. 1034-1012_x000a__x000a_Plat. 4072,4071,4048,4068,4056,4002,4064,4049,4018,4087,4159,4141"/>
    <x v="98"/>
    <x v="98"/>
    <n v="1"/>
    <n v="2"/>
    <n v="426749.05250420165"/>
    <n v="12"/>
    <n v="542727.45734453783"/>
    <n v="969476.50984873949"/>
    <n v="397.83"/>
    <n v="212.6"/>
    <n v="84578.657999999996"/>
    <n v="739420.4596992"/>
    <s v="T1-115"/>
    <n v="400.6"/>
    <n v="320.48"/>
    <n v="2662817.0432000002"/>
    <x v="6"/>
    <m/>
  </r>
  <r>
    <n v="101"/>
    <x v="6"/>
    <x v="0"/>
    <s v="_x000a_Loc. 1012-1044_x000a__x000a_Plat.  4049,4031,4146,4064,4060,4095,4100,4124,4003,4061,4120,4002,4056,4068"/>
    <x v="99"/>
    <x v="99"/>
    <n v="1"/>
    <n v="2"/>
    <n v="426749.05250420165"/>
    <n v="14"/>
    <n v="285610.35105882352"/>
    <n v="712359.40356302517"/>
    <n v="387.33"/>
    <n v="257"/>
    <n v="99543.81"/>
    <n v="870251.80454399996"/>
    <s v="RPSM-00313205"/>
    <n v="445"/>
    <n v="356"/>
    <n v="2957947.04"/>
    <x v="6"/>
    <m/>
  </r>
  <r>
    <n v="102"/>
    <x v="6"/>
    <x v="0"/>
    <s v="_x000a_Loc. 1012-1034_x000a__x000a_Plat. 4146,4031,4064,4049,4068,4056,4002,4120,4095,4060,4162"/>
    <x v="100"/>
    <x v="100"/>
    <n v="1"/>
    <n v="2"/>
    <n v="426749.05250420165"/>
    <n v="11"/>
    <n v="497500.16923249303"/>
    <n v="924249.22173669469"/>
    <n v="379.3"/>
    <n v="212.6"/>
    <n v="80639.179999999993"/>
    <n v="704979.96723199997"/>
    <s v="T1-116"/>
    <n v="400.6"/>
    <n v="320.48"/>
    <n v="2662817.0432000002"/>
    <x v="6"/>
    <m/>
  </r>
  <r>
    <n v="103"/>
    <x v="6"/>
    <x v="0"/>
    <s v="_x000a_Loc. 1012-1034_x000a__x000a_Plat. 4067,4124,4003,4100,4018,4048,4071,4072,4031,4146,4162,4060,4095,4120"/>
    <x v="101"/>
    <x v="101"/>
    <n v="1"/>
    <n v="2"/>
    <n v="426749.05250420165"/>
    <n v="14"/>
    <n v="285610.35105882352"/>
    <n v="712359.40356302517"/>
    <n v="388.33"/>
    <n v="257"/>
    <n v="99800.81"/>
    <n v="872498.60134399997"/>
    <s v="RPSM-00313542"/>
    <n v="445"/>
    <n v="356"/>
    <n v="2957947.04"/>
    <x v="6"/>
    <m/>
  </r>
  <r>
    <n v="104"/>
    <x v="7"/>
    <x v="0"/>
    <m/>
    <x v="102"/>
    <x v="102"/>
    <n v="1"/>
    <n v="2"/>
    <n v="651815.34494117647"/>
    <n v="11"/>
    <n v="627556.80730532215"/>
    <n v="1279372.1522464985"/>
    <n v="365.57"/>
    <n v="212.6"/>
    <n v="77720.182000000001"/>
    <n v="679460.91911679995"/>
    <s v="T1-117"/>
    <n v="400.6"/>
    <n v="320.48"/>
    <n v="2662868.3200000003"/>
    <x v="7"/>
    <m/>
  </r>
  <r>
    <n v="105"/>
    <x v="7"/>
    <x v="0"/>
    <m/>
    <x v="103"/>
    <x v="103"/>
    <n v="1"/>
    <n v="2"/>
    <n v="651815.34494117647"/>
    <n v="14"/>
    <n v="360293.58870588237"/>
    <n v="1012108.9336470589"/>
    <n v="387.1"/>
    <n v="257"/>
    <n v="99484.700000000012"/>
    <n v="869735.04128000012"/>
    <s v="REMISION ARGOS RPSM- 00313744 _x000a_     T1-117"/>
    <n v="445"/>
    <n v="356"/>
    <n v="2958004"/>
    <x v="7"/>
    <m/>
  </r>
  <r>
    <n v="106"/>
    <x v="7"/>
    <x v="0"/>
    <m/>
    <x v="104"/>
    <x v="104"/>
    <n v="1"/>
    <n v="2"/>
    <n v="651815.34494117647"/>
    <n v="6"/>
    <n v="342303.71307563025"/>
    <n v="994119.05801680672"/>
    <n v="174.79"/>
    <n v="212.6"/>
    <n v="37160.353999999999"/>
    <n v="324870.67880960001"/>
    <s v="T1-118"/>
    <n v="400.6"/>
    <n v="320.48"/>
    <n v="2662868.3200000003"/>
    <x v="7"/>
    <m/>
  </r>
  <r>
    <n v="107"/>
    <x v="7"/>
    <x v="0"/>
    <m/>
    <x v="105"/>
    <x v="105"/>
    <n v="1"/>
    <n v="2"/>
    <n v="651815.34494117647"/>
    <n v="14"/>
    <n v="360293.58870588237"/>
    <n v="1012108.9336470589"/>
    <n v="388.55"/>
    <n v="257"/>
    <n v="99857.35"/>
    <n v="872992.89664000005"/>
    <s v="REMISION ARGOS RPSM-00313866                               T1-118"/>
    <n v="445"/>
    <n v="356"/>
    <n v="2958004"/>
    <x v="7"/>
    <m/>
  </r>
  <r>
    <n v="108"/>
    <x v="7"/>
    <x v="0"/>
    <m/>
    <x v="106"/>
    <x v="106"/>
    <n v="2"/>
    <n v="2"/>
    <n v="1303630.6898823529"/>
    <n v="14"/>
    <n v="720587.17741176474"/>
    <n v="2024217.8672941178"/>
    <n v="387.83"/>
    <n v="257"/>
    <n v="99672.31"/>
    <n v="871375.20294400002"/>
    <s v="REMISION ARGOS RPSM-00313980                                   T1-119"/>
    <n v="702"/>
    <n v="561.6"/>
    <n v="4666334.4000000004"/>
    <x v="7"/>
    <m/>
  </r>
  <r>
    <n v="109"/>
    <x v="7"/>
    <x v="0"/>
    <m/>
    <x v="107"/>
    <x v="107"/>
    <n v="1"/>
    <n v="2"/>
    <n v="651815.34494117647"/>
    <n v="7"/>
    <n v="399354.33192156866"/>
    <n v="1051169.6768627451"/>
    <n v="254.9"/>
    <n v="212.6"/>
    <n v="54191.74"/>
    <n v="473765.867776"/>
    <s v="T1 120"/>
    <n v="400.6"/>
    <n v="320.48"/>
    <n v="2662868.3200000003"/>
    <x v="7"/>
    <m/>
  </r>
  <r>
    <n v="110"/>
    <x v="7"/>
    <x v="0"/>
    <m/>
    <x v="108"/>
    <x v="108"/>
    <n v="1"/>
    <n v="2"/>
    <n v="651815.34494117647"/>
    <n v="14"/>
    <n v="360293.58870588237"/>
    <n v="1012108.9336470589"/>
    <n v="388.33"/>
    <n v="257"/>
    <n v="99800.81"/>
    <n v="872498.60134399997"/>
    <s v="REMISION ARGOS RPSM-00314081                                   T1-120"/>
    <n v="445"/>
    <n v="356"/>
    <n v="2958004"/>
    <x v="7"/>
    <m/>
  </r>
  <r>
    <n v="111"/>
    <x v="7"/>
    <x v="0"/>
    <m/>
    <x v="109"/>
    <x v="109"/>
    <n v="2"/>
    <n v="2"/>
    <n v="1303630.6898823529"/>
    <n v="14"/>
    <n v="720587.17741176474"/>
    <n v="2024217.8672941178"/>
    <n v="389.55"/>
    <n v="257"/>
    <n v="100114.35"/>
    <n v="875239.69344000006"/>
    <s v="REMISION ARGOS RPSM-00314241                                   T1-121"/>
    <n v="702"/>
    <n v="561.6"/>
    <n v="4666334.4000000004"/>
    <x v="7"/>
    <m/>
  </r>
  <r>
    <n v="112"/>
    <x v="7"/>
    <x v="0"/>
    <m/>
    <x v="110"/>
    <x v="110"/>
    <n v="2"/>
    <n v="2"/>
    <n v="1303630.6898823529"/>
    <n v="14"/>
    <n v="720587.17741176474"/>
    <n v="2024217.8672941178"/>
    <n v="392"/>
    <n v="257"/>
    <n v="100744"/>
    <n v="880744.3456"/>
    <s v="REMISION ARGOS RPSM-00314768                                   T1-122"/>
    <n v="702"/>
    <n v="561.6"/>
    <n v="4666334.4000000004"/>
    <x v="7"/>
    <m/>
  </r>
  <r>
    <n v="113"/>
    <x v="7"/>
    <x v="0"/>
    <m/>
    <x v="111"/>
    <x v="111"/>
    <n v="2"/>
    <n v="2"/>
    <n v="1303630.6898823529"/>
    <n v="14"/>
    <n v="720587.17741176474"/>
    <n v="2024217.8672941178"/>
    <n v="387.83"/>
    <n v="257"/>
    <n v="99672.31"/>
    <n v="871375.20294400002"/>
    <s v="REMISION ARGOS RPSM-00314925                                   T1-123"/>
    <n v="702"/>
    <n v="561.6"/>
    <n v="4666334.4000000004"/>
    <x v="7"/>
    <m/>
  </r>
  <r>
    <n v="114"/>
    <x v="7"/>
    <x v="0"/>
    <m/>
    <x v="112"/>
    <x v="112"/>
    <n v="2"/>
    <n v="2"/>
    <n v="1303630.6898823529"/>
    <n v="14"/>
    <n v="720587.17741176474"/>
    <n v="2024217.8672941178"/>
    <n v="386.83"/>
    <n v="257"/>
    <n v="99415.31"/>
    <n v="869128.40614400001"/>
    <s v="REMISION ARGOS RPSM-00315097                                   T1-124"/>
    <n v="702"/>
    <n v="561.6"/>
    <n v="4666334.4000000004"/>
    <x v="7"/>
    <m/>
  </r>
  <r>
    <n v="115"/>
    <x v="7"/>
    <x v="0"/>
    <m/>
    <x v="113"/>
    <x v="113"/>
    <n v="2"/>
    <n v="2"/>
    <n v="1303630.6898823529"/>
    <n v="14"/>
    <n v="720587.17741176474"/>
    <n v="2024217.8672941178"/>
    <n v="392"/>
    <n v="257"/>
    <n v="100744"/>
    <n v="880744.3456"/>
    <s v="REMISION ARGOS RPSM-00315392                                   T1-125"/>
    <n v="702"/>
    <n v="561.6"/>
    <n v="4666334.4000000004"/>
    <x v="7"/>
    <m/>
  </r>
  <r>
    <n v="116"/>
    <x v="8"/>
    <x v="0"/>
    <m/>
    <x v="114"/>
    <x v="114"/>
    <n v="2"/>
    <n v="2"/>
    <n v="853498.1050084033"/>
    <n v="14"/>
    <n v="571220.70211764704"/>
    <n v="1424718.8071260503"/>
    <n v="392"/>
    <n v="257"/>
    <n v="100744"/>
    <n v="880744.3456"/>
    <s v="RPSM-00315568 (T1-126)"/>
    <n v="702"/>
    <n v="561.6"/>
    <n v="4666244.5440000007"/>
    <x v="8"/>
    <m/>
  </r>
  <r>
    <n v="117"/>
    <x v="8"/>
    <x v="0"/>
    <m/>
    <x v="115"/>
    <x v="115"/>
    <n v="2"/>
    <n v="2"/>
    <n v="853498.1050084033"/>
    <n v="14"/>
    <n v="571220.70211764704"/>
    <n v="1424718.8071260503"/>
    <n v="388.33"/>
    <n v="257"/>
    <n v="99800.81"/>
    <n v="872498.60134399997"/>
    <s v="RPSM-00315637 (T1-127)"/>
    <n v="702"/>
    <n v="561.6"/>
    <n v="4666244.5440000007"/>
    <x v="8"/>
    <m/>
  </r>
  <r>
    <n v="118"/>
    <x v="8"/>
    <x v="0"/>
    <m/>
    <x v="116"/>
    <x v="116"/>
    <n v="2"/>
    <n v="2"/>
    <n v="853498.1050084033"/>
    <n v="14"/>
    <n v="571220.70211764704"/>
    <n v="1424718.8071260503"/>
    <n v="386.92500000000001"/>
    <n v="257"/>
    <n v="99439.725000000006"/>
    <n v="869341.85184000002"/>
    <s v="RPSM-00315693 (T1-128)"/>
    <n v="702"/>
    <n v="561.6"/>
    <n v="4666244.5440000007"/>
    <x v="8"/>
    <m/>
  </r>
  <r>
    <n v="119"/>
    <x v="8"/>
    <x v="0"/>
    <m/>
    <x v="117"/>
    <x v="117"/>
    <n v="1"/>
    <n v="2"/>
    <n v="426749.05250420165"/>
    <n v="8"/>
    <n v="163205.91489075631"/>
    <n v="589954.96739495802"/>
    <n v="109.2"/>
    <n v="227.6"/>
    <n v="24853.919999999998"/>
    <n v="217282.91020799999"/>
    <s v="(T1-129)"/>
    <n v="385.6"/>
    <n v="308.48"/>
    <n v="2563110.9632000001"/>
    <x v="8"/>
    <m/>
  </r>
  <r>
    <n v="120"/>
    <x v="8"/>
    <x v="0"/>
    <m/>
    <x v="118"/>
    <x v="118"/>
    <n v="1"/>
    <n v="2"/>
    <n v="426749.05250420165"/>
    <n v="14"/>
    <n v="285610.35105882352"/>
    <n v="712359.40356302517"/>
    <n v="390.5"/>
    <n v="257"/>
    <n v="100358.5"/>
    <n v="877374.15040000004"/>
    <s v="RPSM-00315814 (T1-129)"/>
    <n v="445"/>
    <n v="356"/>
    <n v="2957947.04"/>
    <x v="8"/>
    <m/>
  </r>
  <r>
    <n v="121"/>
    <x v="8"/>
    <x v="0"/>
    <m/>
    <x v="119"/>
    <x v="119"/>
    <n v="2"/>
    <n v="2"/>
    <n v="853498.1050084033"/>
    <n v="14"/>
    <n v="571220.70211764704"/>
    <n v="1424718.8071260503"/>
    <n v="388.33"/>
    <n v="257"/>
    <n v="99800.81"/>
    <n v="872498.60134399997"/>
    <s v="RPSM-00316048 (T1-130)"/>
    <n v="702"/>
    <n v="561.6"/>
    <n v="4666244.5440000007"/>
    <x v="8"/>
    <m/>
  </r>
  <r>
    <n v="122"/>
    <x v="8"/>
    <x v="0"/>
    <m/>
    <x v="120"/>
    <x v="120"/>
    <n v="1"/>
    <n v="2"/>
    <n v="426749.05250420165"/>
    <n v="6"/>
    <n v="122404.43616806723"/>
    <n v="549153.48867226893"/>
    <n v="106.499"/>
    <n v="227.6"/>
    <n v="24239.172399999999"/>
    <n v="211908.54078975998"/>
    <s v="(T1-131)"/>
    <n v="385.6"/>
    <n v="308.48"/>
    <n v="2563110.9632000001"/>
    <x v="8"/>
    <m/>
  </r>
  <r>
    <n v="123"/>
    <x v="8"/>
    <x v="0"/>
    <m/>
    <x v="121"/>
    <x v="121"/>
    <n v="1"/>
    <n v="2"/>
    <n v="426749.05250420165"/>
    <n v="14"/>
    <n v="285610.35105882352"/>
    <n v="712359.40356302517"/>
    <n v="388.33"/>
    <n v="257"/>
    <n v="99800.81"/>
    <n v="872498.60134399997"/>
    <s v="RPSM-00316251 (T1-131)"/>
    <n v="445"/>
    <n v="356"/>
    <n v="2957947.04"/>
    <x v="8"/>
    <m/>
  </r>
  <r>
    <n v="124"/>
    <x v="8"/>
    <x v="0"/>
    <m/>
    <x v="122"/>
    <x v="122"/>
    <n v="2"/>
    <n v="2"/>
    <n v="853498.1050084033"/>
    <n v="14"/>
    <n v="571220.70211764704"/>
    <n v="1424718.8071260503"/>
    <n v="388.33"/>
    <n v="257"/>
    <n v="99800.81"/>
    <n v="872498.60134399997"/>
    <s v="RPSM-00316416 (T1-132) "/>
    <n v="702"/>
    <n v="561.6"/>
    <n v="4666244.5440000007"/>
    <x v="8"/>
    <m/>
  </r>
  <r>
    <n v="125"/>
    <x v="8"/>
    <x v="0"/>
    <m/>
    <x v="123"/>
    <x v="123"/>
    <n v="2"/>
    <n v="2"/>
    <n v="853498.1050084033"/>
    <n v="14"/>
    <n v="571220.70211764704"/>
    <n v="1424718.8071260503"/>
    <n v="388.33"/>
    <n v="257"/>
    <n v="99800.81"/>
    <n v="872498.60134399997"/>
    <s v="RPSM-00316560 (T1-133)"/>
    <n v="702"/>
    <n v="561.6"/>
    <n v="4666244.5440000007"/>
    <x v="8"/>
    <m/>
  </r>
  <r>
    <n v="126"/>
    <x v="8"/>
    <x v="0"/>
    <m/>
    <x v="124"/>
    <x v="124"/>
    <n v="2"/>
    <n v="2"/>
    <n v="853498.1050084033"/>
    <n v="14"/>
    <n v="571220.70211764704"/>
    <n v="1424718.8071260503"/>
    <n v="388.33"/>
    <n v="257"/>
    <n v="99800.81"/>
    <n v="872498.60134399997"/>
    <s v="RPSM-00316703 (T1-134)"/>
    <n v="702"/>
    <n v="561.6"/>
    <n v="4666244.5440000007"/>
    <x v="8"/>
    <m/>
  </r>
  <r>
    <n v="127"/>
    <x v="8"/>
    <x v="0"/>
    <m/>
    <x v="125"/>
    <x v="125"/>
    <n v="2"/>
    <n v="2"/>
    <n v="853498.1050084033"/>
    <n v="14"/>
    <n v="571220.70211764704"/>
    <n v="1424718.8071260503"/>
    <n v="388.33"/>
    <n v="257"/>
    <n v="99800.81"/>
    <n v="872498.60134399997"/>
    <s v="RPSM-00316879 (T1-135)"/>
    <n v="702"/>
    <n v="561.6"/>
    <n v="4666244.5440000007"/>
    <x v="8"/>
    <m/>
  </r>
  <r>
    <n v="128"/>
    <x v="8"/>
    <x v="0"/>
    <m/>
    <x v="126"/>
    <x v="126"/>
    <n v="2"/>
    <n v="2"/>
    <n v="853498.1050084033"/>
    <n v="14"/>
    <n v="571220.70211764704"/>
    <n v="1424718.8071260503"/>
    <n v="392"/>
    <n v="257"/>
    <n v="100744"/>
    <n v="880744.3456"/>
    <s v="RPSM-00316941 (T1-136)"/>
    <n v="702"/>
    <n v="561.6"/>
    <n v="4666244.5440000007"/>
    <x v="8"/>
    <m/>
  </r>
  <r>
    <n v="129"/>
    <x v="8"/>
    <x v="0"/>
    <m/>
    <x v="127"/>
    <x v="127"/>
    <n v="2"/>
    <n v="2"/>
    <n v="853498.1050084033"/>
    <n v="11"/>
    <n v="448816.26594957983"/>
    <n v="1302314.3709579832"/>
    <n v="306.77499999999998"/>
    <n v="257"/>
    <n v="78841.174999999988"/>
    <n v="689261.08831999986"/>
    <s v="RPSM-00317099 (T1-137)"/>
    <n v="702"/>
    <n v="561.6"/>
    <n v="4666244.5440000007"/>
    <x v="8"/>
    <m/>
  </r>
  <r>
    <n v="130"/>
    <x v="8"/>
    <x v="0"/>
    <m/>
    <x v="128"/>
    <x v="128"/>
    <n v="1"/>
    <n v="2"/>
    <n v="426749.05250420165"/>
    <n v="11"/>
    <n v="224408.13297478991"/>
    <n v="651157.1854789916"/>
    <n v="262.80500000000001"/>
    <n v="227.6"/>
    <n v="59814.417999999998"/>
    <n v="522921.56792319997"/>
    <s v="(T1-138)"/>
    <n v="385.6"/>
    <n v="308.48"/>
    <n v="2563110.9632000001"/>
    <x v="8"/>
    <m/>
  </r>
  <r>
    <n v="131"/>
    <x v="8"/>
    <x v="0"/>
    <m/>
    <x v="129"/>
    <x v="129"/>
    <n v="1"/>
    <n v="2"/>
    <n v="426749.05250420165"/>
    <n v="14"/>
    <n v="285610.35105882352"/>
    <n v="712359.40356302517"/>
    <n v="386.33"/>
    <n v="257"/>
    <n v="99286.81"/>
    <n v="868005.00774399994"/>
    <s v="RPSM-00317362  (T1-138)"/>
    <n v="445"/>
    <n v="356"/>
    <n v="2957947.04"/>
    <x v="8"/>
    <m/>
  </r>
  <r>
    <n v="132"/>
    <x v="9"/>
    <x v="0"/>
    <m/>
    <x v="130"/>
    <x v="130"/>
    <n v="2"/>
    <n v="2"/>
    <n v="853498.1050084033"/>
    <n v="14"/>
    <n v="571220.70211764704"/>
    <n v="1424718.8071260503"/>
    <n v="392"/>
    <n v="257"/>
    <n v="100744"/>
    <n v="880744.3456"/>
    <s v="RPSM-00317940 (T1-139)"/>
    <n v="702"/>
    <n v="561.6"/>
    <n v="5294203.2"/>
    <x v="9"/>
    <m/>
  </r>
  <r>
    <n v="133"/>
    <x v="9"/>
    <x v="0"/>
    <m/>
    <x v="131"/>
    <x v="131"/>
    <n v="2"/>
    <n v="2"/>
    <n v="853498.1050084033"/>
    <n v="14"/>
    <n v="571220.70211764704"/>
    <n v="1424718.8071260503"/>
    <n v="389.55"/>
    <n v="257"/>
    <n v="100114.35"/>
    <n v="875239.69344000006"/>
    <s v="RPSM-00318108(T1-140)"/>
    <n v="702"/>
    <n v="561.6"/>
    <n v="5294203.2"/>
    <x v="9"/>
    <m/>
  </r>
  <r>
    <n v="134"/>
    <x v="9"/>
    <x v="0"/>
    <m/>
    <x v="132"/>
    <x v="132"/>
    <n v="2"/>
    <n v="2"/>
    <n v="853498.1050084033"/>
    <n v="14"/>
    <n v="571220.70211764704"/>
    <n v="1424718.8071260503"/>
    <n v="392"/>
    <n v="257"/>
    <n v="100744"/>
    <n v="880744.3456"/>
    <s v="RPSM-00 318302(T1-141)"/>
    <n v="702"/>
    <n v="561.6"/>
    <n v="5294203.2"/>
    <x v="9"/>
    <m/>
  </r>
  <r>
    <n v="135"/>
    <x v="9"/>
    <x v="0"/>
    <m/>
    <x v="133"/>
    <x v="133"/>
    <n v="1"/>
    <n v="2"/>
    <n v="426749.05250420165"/>
    <n v="8"/>
    <n v="163205.91489075631"/>
    <n v="589954.96739495802"/>
    <n v="184.74"/>
    <n v="227.6"/>
    <n v="42046.824000000001"/>
    <n v="367590.15413759998"/>
    <s v="(T1-142)"/>
    <n v="385.6"/>
    <n v="308.48"/>
    <n v="2908040.96"/>
    <x v="9"/>
    <m/>
  </r>
  <r>
    <n v="136"/>
    <x v="9"/>
    <x v="0"/>
    <m/>
    <x v="134"/>
    <x v="134"/>
    <n v="1"/>
    <n v="2"/>
    <n v="426749.05250420165"/>
    <n v="14"/>
    <n v="285610.35105882352"/>
    <n v="712359.40356302517"/>
    <n v="392"/>
    <n v="257"/>
    <n v="100744"/>
    <n v="880744.3456"/>
    <s v="RPSM-00318387 (T1-142)"/>
    <n v="445"/>
    <n v="356"/>
    <n v="3356012"/>
    <x v="9"/>
    <m/>
  </r>
  <r>
    <n v="137"/>
    <x v="9"/>
    <x v="0"/>
    <m/>
    <x v="135"/>
    <x v="135"/>
    <n v="2"/>
    <n v="2"/>
    <n v="853498.1050084033"/>
    <n v="14"/>
    <n v="571220.70211764704"/>
    <n v="1424718.8071260503"/>
    <n v="386.83"/>
    <n v="257"/>
    <n v="99415.31"/>
    <n v="869128.40614400001"/>
    <s v="RPSM-00318525(T1-143)"/>
    <n v="702"/>
    <n v="561.6"/>
    <n v="5294203.2"/>
    <x v="9"/>
    <m/>
  </r>
  <r>
    <n v="138"/>
    <x v="9"/>
    <x v="0"/>
    <m/>
    <x v="136"/>
    <x v="136"/>
    <n v="2"/>
    <n v="2"/>
    <n v="853498.1050084033"/>
    <n v="14"/>
    <n v="571220.70211764704"/>
    <n v="1424718.8071260503"/>
    <n v="386.83"/>
    <n v="257"/>
    <n v="99415.31"/>
    <n v="869128.40614400001"/>
    <s v="RPSM-00318703(T1-144)"/>
    <n v="702"/>
    <n v="561.6"/>
    <n v="5294203.2"/>
    <x v="9"/>
    <m/>
  </r>
  <r>
    <n v="139"/>
    <x v="9"/>
    <x v="0"/>
    <m/>
    <x v="137"/>
    <x v="137"/>
    <n v="2"/>
    <n v="2"/>
    <n v="853498.1050084033"/>
    <n v="14"/>
    <n v="571220.70211764704"/>
    <n v="1424718.8071260503"/>
    <n v="388.33"/>
    <n v="257"/>
    <n v="99800.81"/>
    <n v="872498.60134399997"/>
    <s v="RPSM-00318834 (T1-145)"/>
    <n v="702"/>
    <n v="561.6"/>
    <n v="5294203.2"/>
    <x v="9"/>
    <m/>
  </r>
  <r>
    <n v="140"/>
    <x v="9"/>
    <x v="0"/>
    <m/>
    <x v="138"/>
    <x v="138"/>
    <n v="2"/>
    <n v="2"/>
    <n v="853498.1050084033"/>
    <n v="14"/>
    <n v="571220.70211764704"/>
    <n v="1424718.8071260503"/>
    <n v="388.33"/>
    <n v="257"/>
    <n v="99800.81"/>
    <n v="872498.60134399997"/>
    <s v="RPSM-00318883 (T1-146) "/>
    <n v="702"/>
    <n v="561.6"/>
    <n v="5294203.2"/>
    <x v="9"/>
    <m/>
  </r>
  <r>
    <n v="141"/>
    <x v="9"/>
    <x v="0"/>
    <m/>
    <x v="139"/>
    <x v="139"/>
    <n v="1"/>
    <n v="1"/>
    <n v="213374.52625210083"/>
    <n v="14"/>
    <n v="285610.35105882352"/>
    <n v="498984.87731092435"/>
    <n v="308.42500000000001"/>
    <n v="227.6"/>
    <n v="70197.53"/>
    <n v="613694.88627200003"/>
    <s v="(T1-147)"/>
    <n v="385.6"/>
    <n v="308.48"/>
    <n v="2908040.96"/>
    <x v="9"/>
    <m/>
  </r>
  <r>
    <n v="142"/>
    <x v="9"/>
    <x v="0"/>
    <m/>
    <x v="140"/>
    <x v="139"/>
    <n v="1"/>
    <n v="1"/>
    <n v="213374.52625210083"/>
    <n v="4"/>
    <n v="81602.957445378153"/>
    <n v="580587.83475630253"/>
    <n v="110.77500000000001"/>
    <n v="78"/>
    <n v="8640.4500000000007"/>
    <n v="75538.270080000002"/>
    <s v=" (T1-147)"/>
    <n v="445"/>
    <n v="356"/>
    <n v="3356012"/>
    <x v="9"/>
    <m/>
  </r>
  <r>
    <n v="143"/>
    <x v="9"/>
    <x v="0"/>
    <m/>
    <x v="140"/>
    <x v="140"/>
    <m/>
    <m/>
    <m/>
    <n v="7"/>
    <n v="142805.17552941176"/>
    <m/>
    <n v="192.32499999999999"/>
    <n v="257"/>
    <n v="49427.524999999994"/>
    <n v="432115.19455999997"/>
    <s v="RPSM-00318990(T1-47)"/>
    <m/>
    <m/>
    <m/>
    <x v="9"/>
    <m/>
  </r>
  <r>
    <n v="144"/>
    <x v="9"/>
    <x v="0"/>
    <m/>
    <x v="140"/>
    <x v="140"/>
    <m/>
    <m/>
    <m/>
    <n v="7"/>
    <n v="142805.17552941176"/>
    <m/>
    <n v="202.727"/>
    <n v="257"/>
    <n v="52100.839"/>
    <n v="455486.37487359997"/>
    <s v=" (T1-147)"/>
    <m/>
    <m/>
    <m/>
    <x v="9"/>
    <m/>
  </r>
  <r>
    <n v="145"/>
    <x v="9"/>
    <x v="0"/>
    <m/>
    <x v="141"/>
    <x v="141"/>
    <n v="1"/>
    <n v="2"/>
    <n v="426749.05250420165"/>
    <n v="8"/>
    <n v="163205.91489075631"/>
    <n v="589954.96739495802"/>
    <n v="121.95699999999999"/>
    <n v="169.13"/>
    <n v="20626.58741"/>
    <n v="180325.87777318401"/>
    <s v=" (T1-148)"/>
    <n v="296.13"/>
    <n v="236.904"/>
    <n v="2233294.0079999999"/>
    <x v="9"/>
    <m/>
  </r>
  <r>
    <n v="146"/>
    <x v="9"/>
    <x v="0"/>
    <m/>
    <x v="142"/>
    <x v="142"/>
    <n v="1"/>
    <n v="2"/>
    <n v="426749.05250420165"/>
    <n v="12"/>
    <n v="244808.87233613446"/>
    <n v="671557.92484033608"/>
    <n v="345.12599999999998"/>
    <n v="257"/>
    <n v="88697.381999999998"/>
    <n v="775427.99239679996"/>
    <s v="(T1-148)"/>
    <n v="445"/>
    <n v="356"/>
    <n v="3356012"/>
    <x v="9"/>
    <m/>
  </r>
  <r>
    <n v="147"/>
    <x v="9"/>
    <x v="0"/>
    <m/>
    <x v="143"/>
    <x v="143"/>
    <n v="1"/>
    <n v="2"/>
    <n v="426749.05250420165"/>
    <n v="9"/>
    <n v="183606.65425210085"/>
    <n v="610355.7067563025"/>
    <n v="8.5540000000000003"/>
    <n v="225.85"/>
    <n v="1931.9209000000001"/>
    <n v="16889.625276160001"/>
    <s v="(T1-149)"/>
    <n v="225.85"/>
    <n v="180.68"/>
    <n v="1703270.36"/>
    <x v="9"/>
    <m/>
  </r>
  <r>
    <n v="148"/>
    <x v="9"/>
    <x v="0"/>
    <m/>
    <x v="144"/>
    <x v="144"/>
    <n v="1"/>
    <n v="2"/>
    <n v="426749.05250420165"/>
    <n v="15"/>
    <n v="306011.09042016807"/>
    <n v="732760.14292436978"/>
    <n v="388.33"/>
    <n v="257"/>
    <n v="99800.81"/>
    <n v="872498.60134399997"/>
    <s v="RPSM-00319133  (T1-149)"/>
    <n v="445"/>
    <n v="356"/>
    <n v="3356012"/>
    <x v="9"/>
    <m/>
  </r>
  <r>
    <n v="149"/>
    <x v="9"/>
    <x v="0"/>
    <m/>
    <x v="145"/>
    <x v="145"/>
    <n v="2"/>
    <n v="2"/>
    <n v="853498.1050084033"/>
    <n v="14"/>
    <n v="571220.70211764704"/>
    <n v="1424718.8071260503"/>
    <n v="386.33"/>
    <n v="257"/>
    <n v="99286.81"/>
    <n v="868005.00774399994"/>
    <s v="RPSM-00319289  (T1-150)"/>
    <n v="702"/>
    <n v="561.6"/>
    <n v="5294203.2"/>
    <x v="9"/>
    <m/>
  </r>
  <r>
    <n v="150"/>
    <x v="10"/>
    <x v="0"/>
    <m/>
    <x v="146"/>
    <x v="146"/>
    <n v="2"/>
    <n v="2"/>
    <n v="1753763.2747563026"/>
    <n v="14"/>
    <n v="869954.50980392168"/>
    <n v="2623717.784560224"/>
    <n v="389.55"/>
    <n v="257"/>
    <n v="100114.35"/>
    <n v="875239.69344000006"/>
    <s v="RPSM-00319477 (T1-151)"/>
    <n v="702"/>
    <n v="561.6"/>
    <n v="5294203.2"/>
    <x v="10"/>
    <m/>
  </r>
  <r>
    <n v="151"/>
    <x v="10"/>
    <x v="0"/>
    <m/>
    <x v="147"/>
    <x v="147"/>
    <n v="2"/>
    <n v="2"/>
    <n v="1753763.2747563026"/>
    <n v="14"/>
    <n v="869954.50980392168"/>
    <n v="2623717.784560224"/>
    <n v="392"/>
    <n v="257"/>
    <n v="100744"/>
    <n v="880744.3456"/>
    <s v="RPSM-00319572(T1-152)"/>
    <n v="702"/>
    <n v="561.6"/>
    <n v="5294203.2"/>
    <x v="10"/>
    <m/>
  </r>
  <r>
    <n v="152"/>
    <x v="10"/>
    <x v="0"/>
    <m/>
    <x v="148"/>
    <x v="148"/>
    <n v="2"/>
    <n v="2"/>
    <n v="1753763.2747563026"/>
    <n v="14"/>
    <n v="869954.50980392168"/>
    <n v="2623717.784560224"/>
    <n v="391"/>
    <n v="257"/>
    <n v="100487"/>
    <n v="878497.54879999999"/>
    <s v="RPSM-00 319675(T1-153)"/>
    <n v="702"/>
    <n v="561.6"/>
    <n v="5294203.2"/>
    <x v="10"/>
    <m/>
  </r>
  <r>
    <n v="153"/>
    <x v="10"/>
    <x v="0"/>
    <m/>
    <x v="149"/>
    <x v="149"/>
    <n v="2"/>
    <n v="2"/>
    <n v="1753763.2747563026"/>
    <n v="14"/>
    <n v="869954.50980392168"/>
    <n v="2623717.784560224"/>
    <n v="389.55"/>
    <n v="257"/>
    <n v="100114.35"/>
    <n v="875239.69344000006"/>
    <s v="RPSM-00 319844(T1-154)"/>
    <n v="702"/>
    <n v="561.6"/>
    <n v="5294203.2"/>
    <x v="10"/>
    <m/>
  </r>
  <r>
    <n v="154"/>
    <x v="10"/>
    <x v="0"/>
    <m/>
    <x v="150"/>
    <x v="150"/>
    <n v="1"/>
    <n v="1"/>
    <n v="438440.81868907565"/>
    <n v="8"/>
    <n v="248558.43137254904"/>
    <n v="686999.25006162468"/>
    <n v="126"/>
    <n v="44.45"/>
    <n v="5600.7000000000007"/>
    <n v="48963.559680000006"/>
    <s v="(T1-155)"/>
    <n v="88.9"/>
    <n v="71.12"/>
    <n v="670448.24"/>
    <x v="10"/>
    <m/>
  </r>
  <r>
    <n v="155"/>
    <x v="10"/>
    <x v="0"/>
    <m/>
    <x v="151"/>
    <x v="151"/>
    <n v="2"/>
    <n v="2"/>
    <n v="1753763.2747563026"/>
    <n v="14"/>
    <n v="869954.50980392168"/>
    <n v="2623717.784560224"/>
    <n v="388.33"/>
    <n v="257"/>
    <n v="99800.81"/>
    <n v="872498.60134399997"/>
    <s v="RPSM-00320952(T1-156)"/>
    <n v="702"/>
    <n v="561.6"/>
    <n v="5294203.2"/>
    <x v="10"/>
    <m/>
  </r>
  <r>
    <n v="156"/>
    <x v="10"/>
    <x v="0"/>
    <m/>
    <x v="152"/>
    <x v="152"/>
    <n v="2"/>
    <n v="2"/>
    <n v="1753763.2747563026"/>
    <n v="14"/>
    <n v="869954.50980392168"/>
    <n v="2623717.784560224"/>
    <n v="392"/>
    <n v="257"/>
    <n v="100744"/>
    <n v="880744.3456"/>
    <s v="RPSM-00321121(T1-157)"/>
    <n v="702"/>
    <n v="561.6"/>
    <n v="5294203.2"/>
    <x v="10"/>
    <m/>
  </r>
  <r>
    <n v="157"/>
    <x v="10"/>
    <x v="0"/>
    <m/>
    <x v="153"/>
    <x v="153"/>
    <n v="2"/>
    <n v="2"/>
    <n v="1753763.2747563026"/>
    <n v="13"/>
    <n v="807814.90196078434"/>
    <n v="2561578.1767170867"/>
    <n v="358.83"/>
    <n v="257"/>
    <n v="92219.31"/>
    <n v="806218.09574399993"/>
    <s v="RPSM-00321297 (T1-158)"/>
    <n v="702"/>
    <n v="561.6"/>
    <n v="5294203.2"/>
    <x v="10"/>
    <m/>
  </r>
  <r>
    <n v="158"/>
    <x v="11"/>
    <x v="0"/>
    <m/>
    <x v="154"/>
    <x v="154"/>
    <n v="2"/>
    <n v="2"/>
    <n v="1303630.6898823529"/>
    <n v="14"/>
    <n v="720587.17741176474"/>
    <n v="2024217.8672941178"/>
    <n v="388.33"/>
    <n v="257"/>
    <n v="99800.81"/>
    <n v="872498.60134399997"/>
    <s v="REMISION ARGOS RPSM- 00321430_x000a_     T1-159"/>
    <n v="702"/>
    <n v="561.6"/>
    <n v="4666334.4000000004"/>
    <x v="11"/>
    <m/>
  </r>
  <r>
    <n v="159"/>
    <x v="11"/>
    <x v="0"/>
    <m/>
    <x v="155"/>
    <x v="155"/>
    <n v="1"/>
    <n v="1"/>
    <n v="325907.67247058824"/>
    <n v="5"/>
    <n v="285253.09422969189"/>
    <n v="611160.76670028013"/>
    <n v="41.34"/>
    <n v="212.6"/>
    <n v="8788.884"/>
    <n v="76835.939481599999"/>
    <s v="T160"/>
    <n v="400.6"/>
    <n v="320.48"/>
    <n v="2662868.3200000003"/>
    <x v="11"/>
    <m/>
  </r>
  <r>
    <n v="160"/>
    <x v="11"/>
    <x v="0"/>
    <m/>
    <x v="155"/>
    <x v="156"/>
    <n v="1"/>
    <n v="2"/>
    <n v="651815.34494117647"/>
    <n v="14"/>
    <n v="360293.58870588237"/>
    <n v="1012108.9336470589"/>
    <n v="390.5"/>
    <n v="257"/>
    <n v="100358.5"/>
    <n v="877374.15040000004"/>
    <s v="REMISION ARGOS RPSM-00321567                                T1-160"/>
    <n v="702"/>
    <n v="561.6"/>
    <n v="4666334.4000000004"/>
    <x v="11"/>
    <m/>
  </r>
  <r>
    <n v="161"/>
    <x v="11"/>
    <x v="0"/>
    <m/>
    <x v="156"/>
    <x v="157"/>
    <n v="2"/>
    <n v="2"/>
    <n v="1303630.6898823529"/>
    <n v="14"/>
    <n v="720587.17741176474"/>
    <n v="2024217.8672941178"/>
    <n v="388.33"/>
    <n v="257"/>
    <n v="99800.81"/>
    <n v="872498.60134399997"/>
    <s v="REMISION ARGOS RPSM-00321708                               T1-161"/>
    <n v="702"/>
    <n v="561.6"/>
    <n v="4666334.4000000004"/>
    <x v="11"/>
    <m/>
  </r>
  <r>
    <n v="162"/>
    <x v="11"/>
    <x v="0"/>
    <m/>
    <x v="157"/>
    <x v="158"/>
    <n v="2"/>
    <n v="2"/>
    <n v="1303630.6898823529"/>
    <n v="14"/>
    <n v="720587.17741176474"/>
    <n v="2024217.8672941178"/>
    <n v="389.55"/>
    <n v="257"/>
    <n v="100114.35"/>
    <n v="875239.69344000006"/>
    <s v="REMISION ARGOS RPSM-00321827                               T1-162"/>
    <n v="702"/>
    <n v="561.6"/>
    <n v="4666334.4000000004"/>
    <x v="11"/>
    <m/>
  </r>
  <r>
    <n v="163"/>
    <x v="11"/>
    <x v="0"/>
    <m/>
    <x v="158"/>
    <x v="159"/>
    <n v="2"/>
    <n v="2"/>
    <n v="1303630.6898823529"/>
    <n v="14"/>
    <n v="720587.17741176474"/>
    <n v="2024217.8672941178"/>
    <n v="388.05"/>
    <n v="257"/>
    <n v="99728.85"/>
    <n v="871869.4982400001"/>
    <s v="REMISION ARGOS RPSM-00321925                               T1-163"/>
    <n v="702"/>
    <n v="561.6"/>
    <n v="4666334.4000000004"/>
    <x v="11"/>
    <m/>
  </r>
  <r>
    <n v="164"/>
    <x v="11"/>
    <x v="0"/>
    <m/>
    <x v="159"/>
    <x v="160"/>
    <n v="2"/>
    <n v="2"/>
    <n v="1303630.6898823529"/>
    <n v="14"/>
    <n v="720587.17741176474"/>
    <n v="2024217.8672941178"/>
    <n v="388.33"/>
    <n v="257"/>
    <n v="99800.81"/>
    <n v="872498.60134399997"/>
    <s v="REMISION ARGOS RPSM-00322080                               T1-164"/>
    <n v="702"/>
    <n v="561.6"/>
    <n v="4666334.4000000004"/>
    <x v="11"/>
    <m/>
  </r>
  <r>
    <n v="165"/>
    <x v="11"/>
    <x v="0"/>
    <m/>
    <x v="160"/>
    <x v="161"/>
    <n v="2"/>
    <n v="2"/>
    <n v="1303630.6898823529"/>
    <n v="14"/>
    <n v="720587.17741176474"/>
    <n v="2024217.8672941178"/>
    <n v="389.55"/>
    <n v="257"/>
    <n v="100114.35"/>
    <n v="875239.69344000006"/>
    <s v="REMISION ARGOS RPSM-00322211                              T1-165"/>
    <n v="702"/>
    <n v="561.6"/>
    <n v="4666334.4000000004"/>
    <x v="11"/>
    <m/>
  </r>
  <r>
    <n v="166"/>
    <x v="11"/>
    <x v="0"/>
    <m/>
    <x v="161"/>
    <x v="162"/>
    <n v="2"/>
    <n v="2"/>
    <n v="1303630.6898823529"/>
    <n v="14"/>
    <n v="720587.17741176474"/>
    <n v="2024217.8672941178"/>
    <n v="389.55"/>
    <n v="257"/>
    <n v="100114.35"/>
    <n v="875239.69344000006"/>
    <s v="REMISION ARGOS RPSM-00322359                               T1-166"/>
    <n v="702"/>
    <n v="561.6"/>
    <n v="4666334.4000000004"/>
    <x v="11"/>
    <m/>
  </r>
  <r>
    <n v="167"/>
    <x v="0"/>
    <x v="1"/>
    <m/>
    <x v="162"/>
    <x v="163"/>
    <n v="2"/>
    <n v="2"/>
    <n v="1844958.9915966387"/>
    <n v="13"/>
    <n v="849821.27394957992"/>
    <n v="2694780.2655462185"/>
    <n v="358.83"/>
    <n v="257"/>
    <n v="92219.31"/>
    <n v="848141.43672268803"/>
    <s v="REMISION ARGOS RPSM- 00323147_x000a_     T1-167"/>
    <n v="702"/>
    <n v="561.6"/>
    <n v="5669913.6000000006"/>
    <x v="12"/>
    <m/>
  </r>
  <r>
    <n v="168"/>
    <x v="0"/>
    <x v="1"/>
    <m/>
    <x v="163"/>
    <x v="164"/>
    <n v="2"/>
    <n v="2"/>
    <n v="1844958.9915966387"/>
    <n v="14"/>
    <n v="915192.14117647067"/>
    <n v="2760151.1327731092"/>
    <n v="387.33"/>
    <n v="257"/>
    <n v="99543.81"/>
    <n v="915504.89838028804"/>
    <s v="REMISION ARGOS RPSM- 00323512_x000a_     T1-168"/>
    <n v="702"/>
    <n v="561.6"/>
    <n v="5669913.6000000006"/>
    <x v="12"/>
    <m/>
  </r>
  <r>
    <n v="169"/>
    <x v="0"/>
    <x v="1"/>
    <m/>
    <x v="164"/>
    <x v="165"/>
    <n v="2"/>
    <n v="2"/>
    <n v="1844958.9915966387"/>
    <n v="14"/>
    <n v="915192.14117647067"/>
    <n v="2760151.1327731092"/>
    <n v="392"/>
    <n v="257"/>
    <n v="100744"/>
    <n v="926543.05157120002"/>
    <s v="REMISION ARGOS RPSM-00323627                                T1-169"/>
    <n v="702"/>
    <n v="561.6"/>
    <n v="5669913.6000000006"/>
    <x v="12"/>
    <m/>
  </r>
  <r>
    <n v="170"/>
    <x v="0"/>
    <x v="1"/>
    <m/>
    <x v="165"/>
    <x v="166"/>
    <n v="2"/>
    <n v="2"/>
    <n v="1844958.9915966387"/>
    <n v="14"/>
    <n v="915192.14117647067"/>
    <n v="2760151.1327731092"/>
    <n v="383.15"/>
    <n v="257"/>
    <n v="98469.549999999988"/>
    <n v="905624.92400383996"/>
    <s v="REMISION ARGOS RPSM-00323734                              T1-170"/>
    <n v="702"/>
    <n v="561.6"/>
    <n v="5669913.6000000006"/>
    <x v="12"/>
    <m/>
  </r>
  <r>
    <n v="171"/>
    <x v="0"/>
    <x v="1"/>
    <m/>
    <x v="166"/>
    <x v="167"/>
    <n v="2"/>
    <n v="2"/>
    <n v="1844958.9915966387"/>
    <n v="14"/>
    <n v="915192.14117647067"/>
    <n v="2760151.1327731092"/>
    <n v="392"/>
    <n v="257"/>
    <n v="100744"/>
    <n v="926543.05157120002"/>
    <s v="REMISION ARGOS RPSM-00323858                               T1-171"/>
    <n v="702"/>
    <n v="561.6"/>
    <n v="5669913.6000000006"/>
    <x v="12"/>
    <m/>
  </r>
  <r>
    <n v="172"/>
    <x v="0"/>
    <x v="1"/>
    <m/>
    <x v="167"/>
    <x v="168"/>
    <n v="2"/>
    <n v="2"/>
    <n v="1844958.9915966387"/>
    <n v="14"/>
    <n v="915192.14117647067"/>
    <n v="2760151.1327731092"/>
    <n v="388.33"/>
    <n v="257"/>
    <n v="99800.81"/>
    <n v="917868.52861388796"/>
    <s v="REMISION ARGOS RPSM-00323985                               T1-172"/>
    <n v="702"/>
    <n v="561.6"/>
    <n v="5669913.6000000006"/>
    <x v="12"/>
    <m/>
  </r>
  <r>
    <n v="173"/>
    <x v="0"/>
    <x v="1"/>
    <m/>
    <x v="168"/>
    <x v="169"/>
    <n v="2"/>
    <n v="2"/>
    <n v="1844958.9915966387"/>
    <n v="14"/>
    <n v="915192.14117647067"/>
    <n v="2760151.1327731092"/>
    <n v="392"/>
    <n v="257"/>
    <n v="100744"/>
    <n v="926543.05157120002"/>
    <s v="REMISION ARGOS RPSM-00324113                               T1-173"/>
    <n v="702"/>
    <n v="561.6"/>
    <n v="5669913.6000000006"/>
    <x v="12"/>
    <m/>
  </r>
  <r>
    <n v="174"/>
    <x v="1"/>
    <x v="1"/>
    <m/>
    <x v="169"/>
    <x v="170"/>
    <n v="2"/>
    <n v="2"/>
    <n v="1371419.4957983193"/>
    <n v="14"/>
    <n v="758057.70980392152"/>
    <n v="2129477.2056022407"/>
    <n v="388.55"/>
    <n v="257"/>
    <n v="99857.35"/>
    <n v="918388.52726528002"/>
    <s v="REMISION ARGOS RPSM- 00324267_x000a_     T1-174"/>
    <n v="702"/>
    <n v="561.6"/>
    <n v="5669913.6000000006"/>
    <x v="13"/>
    <m/>
  </r>
  <r>
    <n v="175"/>
    <x v="1"/>
    <x v="1"/>
    <m/>
    <x v="170"/>
    <x v="171"/>
    <n v="2"/>
    <n v="2"/>
    <n v="1371419.4957983193"/>
    <n v="14"/>
    <n v="758057.70980392152"/>
    <n v="2129477.2056022407"/>
    <n v="388.33"/>
    <n v="257"/>
    <n v="99800.81"/>
    <n v="917868.52861388796"/>
    <s v="REMISION ARGOS RPSM- 00324550_x000a_     T1-175"/>
    <n v="702"/>
    <n v="561.6"/>
    <n v="5669913.6000000006"/>
    <x v="13"/>
    <m/>
  </r>
  <r>
    <n v="176"/>
    <x v="1"/>
    <x v="1"/>
    <m/>
    <x v="171"/>
    <x v="172"/>
    <n v="2"/>
    <n v="2"/>
    <n v="1371419.4957983193"/>
    <n v="14"/>
    <n v="758057.70980392152"/>
    <n v="2129477.2056022407"/>
    <n v="388.33"/>
    <n v="257"/>
    <n v="99800.81"/>
    <n v="917868.52861388796"/>
    <s v="REMISION ARGOS RPSM-00324848                               T1-176"/>
    <n v="702"/>
    <n v="561.6"/>
    <n v="5669913.6000000006"/>
    <x v="13"/>
    <m/>
  </r>
  <r>
    <n v="177"/>
    <x v="1"/>
    <x v="1"/>
    <m/>
    <x v="172"/>
    <x v="173"/>
    <n v="2"/>
    <n v="2"/>
    <n v="1371419.4957983193"/>
    <n v="14"/>
    <n v="758057.70980392152"/>
    <n v="2129477.2056022407"/>
    <n v="388.33"/>
    <n v="257"/>
    <n v="99800.81"/>
    <n v="917868.52861388796"/>
    <s v="REMISION ARGOS RPSM-00325012                              T1-177"/>
    <n v="702"/>
    <n v="561.6"/>
    <n v="5669913.6000000006"/>
    <x v="13"/>
    <m/>
  </r>
  <r>
    <n v="178"/>
    <x v="1"/>
    <x v="1"/>
    <m/>
    <x v="173"/>
    <x v="174"/>
    <n v="2"/>
    <n v="2"/>
    <n v="1371419.4957983193"/>
    <n v="14"/>
    <n v="758057.70980392152"/>
    <n v="2129477.2056022407"/>
    <n v="390.5"/>
    <n v="257"/>
    <n v="100358.5"/>
    <n v="922997.60622079996"/>
    <s v="REMISION ARGOS RPSM- 00325144                               T1-178"/>
    <n v="702"/>
    <n v="561.6"/>
    <n v="5669913.6000000006"/>
    <x v="13"/>
    <m/>
  </r>
  <r>
    <n v="179"/>
    <x v="1"/>
    <x v="1"/>
    <m/>
    <x v="174"/>
    <x v="175"/>
    <n v="2"/>
    <n v="2"/>
    <n v="1371419.4957983193"/>
    <n v="14"/>
    <n v="758057.70980392152"/>
    <n v="2129477.2056022407"/>
    <n v="388.33"/>
    <n v="257"/>
    <n v="99800.81"/>
    <n v="917868.52861388796"/>
    <s v="REMISION ARGOS RPSM-00325293                               T1-179"/>
    <n v="702"/>
    <n v="561.6"/>
    <n v="5669913.6000000006"/>
    <x v="13"/>
    <m/>
  </r>
  <r>
    <n v="180"/>
    <x v="1"/>
    <x v="1"/>
    <m/>
    <x v="175"/>
    <x v="176"/>
    <n v="1"/>
    <n v="1"/>
    <n v="342854.87394957984"/>
    <n v="20"/>
    <n v="1200345.0980392159"/>
    <n v="1543199.9719887958"/>
    <n v="634.22199999999998"/>
    <n v="29.400000000000006"/>
    <n v="18646.126800000002"/>
    <n v="171488.51768100867"/>
    <s v=" T1-1"/>
    <n v="29.400000000000006"/>
    <n v="23.520000000000007"/>
    <n v="237457.92000000007"/>
    <x v="13"/>
    <m/>
  </r>
  <r>
    <n v="181"/>
    <x v="1"/>
    <x v="1"/>
    <m/>
    <x v="176"/>
    <x v="177"/>
    <n v="1"/>
    <n v="1"/>
    <n v="342854.87394957984"/>
    <n v="9"/>
    <n v="540155.29411764711"/>
    <n v="883010.16806722688"/>
    <n v="293.85000000000002"/>
    <n v="29.400000000000006"/>
    <n v="8639.1900000000023"/>
    <n v="79454.671898112021"/>
    <s v=" T1-2"/>
    <n v="29.400000000000006"/>
    <n v="23.520000000000007"/>
    <n v="237457.92000000007"/>
    <x v="13"/>
    <m/>
  </r>
  <r>
    <n v="182"/>
    <x v="1"/>
    <x v="1"/>
    <m/>
    <x v="177"/>
    <x v="178"/>
    <n v="1"/>
    <n v="1"/>
    <n v="342854.87394957984"/>
    <n v="9"/>
    <n v="540155.29411764711"/>
    <n v="883010.16806722688"/>
    <n v="271.55"/>
    <n v="29.400000000000006"/>
    <n v="7983.5700000000015"/>
    <n v="73424.931611136009"/>
    <s v=" T1-3"/>
    <n v="29.400000000000006"/>
    <n v="23.520000000000007"/>
    <n v="237457.92000000007"/>
    <x v="13"/>
    <m/>
  </r>
  <r>
    <n v="183"/>
    <x v="1"/>
    <x v="1"/>
    <m/>
    <x v="178"/>
    <x v="179"/>
    <n v="2"/>
    <n v="2"/>
    <n v="1371419.4957983193"/>
    <n v="14"/>
    <n v="758057.70980392152"/>
    <n v="2129477.2056022407"/>
    <n v="386.33"/>
    <n v="257"/>
    <n v="99286.81"/>
    <n v="913141.268146688"/>
    <s v="REMISION ARGOS RPSM-00325981                               T1-180"/>
    <n v="702"/>
    <n v="561.6"/>
    <n v="5669913.6000000006"/>
    <x v="13"/>
    <m/>
  </r>
  <r>
    <n v="184"/>
    <x v="2"/>
    <x v="1"/>
    <m/>
    <x v="179"/>
    <x v="180"/>
    <n v="2"/>
    <n v="2"/>
    <n v="1371419.4957983193"/>
    <n v="14"/>
    <n v="758057.70980392152"/>
    <n v="2129477.2056022407"/>
    <n v="388.33"/>
    <n v="257"/>
    <n v="99800.81"/>
    <n v="917868.52861388796"/>
    <s v="REMISION ARGOS RPSM- 00326347_x000a_     T1-181"/>
    <n v="702"/>
    <n v="561.6"/>
    <n v="5669913.6000000006"/>
    <x v="14"/>
    <m/>
  </r>
  <r>
    <n v="185"/>
    <x v="2"/>
    <x v="1"/>
    <m/>
    <x v="180"/>
    <x v="181"/>
    <n v="2"/>
    <n v="2"/>
    <n v="1371419.4957983193"/>
    <n v="14"/>
    <n v="758057.70980392152"/>
    <n v="2129477.2056022407"/>
    <n v="388.33"/>
    <n v="257"/>
    <n v="99800.81"/>
    <n v="917868.52861388796"/>
    <s v="REMISION ARGOS RPSM- 00326496_x000a_     T1-182"/>
    <n v="702"/>
    <n v="561.6"/>
    <n v="5669913.6000000006"/>
    <x v="14"/>
    <m/>
  </r>
  <r>
    <n v="186"/>
    <x v="2"/>
    <x v="1"/>
    <m/>
    <x v="181"/>
    <x v="182"/>
    <n v="2"/>
    <n v="2"/>
    <n v="1371419.4957983193"/>
    <n v="14"/>
    <n v="758057.70980392152"/>
    <n v="2129477.2056022407"/>
    <n v="386.83"/>
    <n v="257"/>
    <n v="99415.31"/>
    <n v="914323.08326348802"/>
    <s v="REMISION ARGOS RPSM-00326666                               T1-183"/>
    <n v="702"/>
    <n v="561.6"/>
    <n v="5669913.6000000006"/>
    <x v="14"/>
    <m/>
  </r>
  <r>
    <n v="187"/>
    <x v="2"/>
    <x v="1"/>
    <m/>
    <x v="182"/>
    <x v="183"/>
    <n v="2"/>
    <n v="2"/>
    <n v="1371419.4957983193"/>
    <n v="14"/>
    <n v="758057.70980392152"/>
    <n v="2129477.2056022407"/>
    <n v="392"/>
    <n v="257"/>
    <n v="100744"/>
    <n v="926543.05157120002"/>
    <s v="REMISION ARGOS RPSM-00326794                             T1-184"/>
    <n v="702"/>
    <n v="561.6"/>
    <n v="5669913.6000000006"/>
    <x v="14"/>
    <m/>
  </r>
  <r>
    <n v="188"/>
    <x v="2"/>
    <x v="1"/>
    <m/>
    <x v="183"/>
    <x v="184"/>
    <n v="2"/>
    <n v="2"/>
    <n v="1371419.4957983193"/>
    <n v="14"/>
    <n v="758057.70980392152"/>
    <n v="2129477.2056022407"/>
    <n v="388.33"/>
    <n v="257"/>
    <n v="99800.81"/>
    <n v="917868.52861388796"/>
    <s v="REMISION ARGOS RPSM- 00326950                               T1-185"/>
    <n v="702"/>
    <n v="561.6"/>
    <n v="5669913.6000000006"/>
    <x v="14"/>
    <m/>
  </r>
  <r>
    <n v="189"/>
    <x v="2"/>
    <x v="1"/>
    <m/>
    <x v="184"/>
    <x v="185"/>
    <n v="2"/>
    <n v="2"/>
    <n v="1371419.4957983193"/>
    <n v="14"/>
    <n v="758057.70980392152"/>
    <n v="2129477.2056022407"/>
    <n v="388.33"/>
    <n v="257"/>
    <n v="99800.81"/>
    <n v="917868.52861388796"/>
    <s v="REMISION ARGOS RPSM-00327095                               T1-186"/>
    <n v="702"/>
    <n v="561.6"/>
    <n v="5669913.6000000006"/>
    <x v="14"/>
    <m/>
  </r>
  <r>
    <n v="190"/>
    <x v="2"/>
    <x v="1"/>
    <m/>
    <x v="185"/>
    <x v="186"/>
    <n v="2"/>
    <n v="2"/>
    <n v="1371419.4957983193"/>
    <n v="14"/>
    <n v="758057.70980392152"/>
    <n v="2129477.2056022407"/>
    <n v="386.33"/>
    <n v="257"/>
    <n v="99286.81"/>
    <n v="913141.268146688"/>
    <s v="REMISION ARGOS RPSM-00327308                               T1-187"/>
    <n v="702"/>
    <n v="561.6"/>
    <n v="5669913.6000000006"/>
    <x v="14"/>
    <m/>
  </r>
  <r>
    <n v="191"/>
    <x v="2"/>
    <x v="1"/>
    <m/>
    <x v="186"/>
    <x v="187"/>
    <n v="2"/>
    <n v="2"/>
    <n v="1371419.4957983193"/>
    <n v="14"/>
    <n v="758057.70980392152"/>
    <n v="2129477.2056022407"/>
    <n v="388.33"/>
    <n v="257"/>
    <n v="99800.81"/>
    <n v="917868.52861388796"/>
    <s v="REMISION ARGOS RPSM-00327474                               T1-188"/>
    <n v="702"/>
    <n v="561.6"/>
    <n v="5669913.6000000006"/>
    <x v="14"/>
    <m/>
  </r>
  <r>
    <n v="192"/>
    <x v="2"/>
    <x v="1"/>
    <m/>
    <x v="187"/>
    <x v="188"/>
    <n v="2"/>
    <n v="2"/>
    <n v="1371419.4957983193"/>
    <n v="14"/>
    <n v="758057.70980392152"/>
    <n v="2129477.2056022407"/>
    <n v="388.33"/>
    <n v="257"/>
    <n v="99800.81"/>
    <n v="917868.52861388796"/>
    <s v="REMISION ARGOS RPSM-00327640                               T1-189"/>
    <n v="702"/>
    <n v="561.6"/>
    <n v="5669913.6000000006"/>
    <x v="14"/>
    <m/>
  </r>
  <r>
    <n v="193"/>
    <x v="2"/>
    <x v="1"/>
    <m/>
    <x v="188"/>
    <x v="189"/>
    <n v="2"/>
    <n v="2"/>
    <n v="1371419.4957983193"/>
    <n v="14"/>
    <n v="758057.70980392152"/>
    <n v="2129477.2056022407"/>
    <n v="383.43"/>
    <n v="257"/>
    <n v="98541.51"/>
    <n v="906286.74046924792"/>
    <s v="REMISION ARGOS RPSM-00328142                              T1-190"/>
    <n v="702"/>
    <n v="561.6"/>
    <n v="5669913.6000000006"/>
    <x v="14"/>
    <m/>
  </r>
  <r>
    <n v="194"/>
    <x v="3"/>
    <x v="1"/>
    <m/>
    <x v="189"/>
    <x v="190"/>
    <n v="2"/>
    <n v="2"/>
    <n v="1371419.4957983193"/>
    <n v="14"/>
    <n v="758057.70980392152"/>
    <n v="2129477.2056022407"/>
    <n v="388.33"/>
    <n v="257"/>
    <n v="99800.81"/>
    <n v="917868.52861388796"/>
    <s v="REMISION ARGOS RPSM- 00328400_x000a_     T1-191"/>
    <n v="702"/>
    <n v="561.6"/>
    <n v="5669913.6000000006"/>
    <x v="15"/>
    <m/>
  </r>
  <r>
    <n v="195"/>
    <x v="3"/>
    <x v="1"/>
    <m/>
    <x v="190"/>
    <x v="191"/>
    <n v="2"/>
    <n v="2"/>
    <n v="1371419.4957983193"/>
    <n v="14"/>
    <n v="758057.70980392152"/>
    <n v="2129477.2056022407"/>
    <n v="386.33"/>
    <n v="257"/>
    <n v="99286.81"/>
    <n v="913141.268146688"/>
    <s v="REMISION ARGOS RPSM- 00328-8_x000a_     T1-192"/>
    <n v="702"/>
    <n v="561.6"/>
    <n v="5669913.6000000006"/>
    <x v="15"/>
    <m/>
  </r>
  <r>
    <n v="196"/>
    <x v="3"/>
    <x v="1"/>
    <m/>
    <x v="191"/>
    <x v="192"/>
    <n v="2"/>
    <n v="2"/>
    <n v="1371419.4957983193"/>
    <n v="14"/>
    <n v="758057.70980392152"/>
    <n v="2129477.2056022407"/>
    <n v="388.33"/>
    <n v="257"/>
    <n v="99800.81"/>
    <n v="917868.52861388796"/>
    <s v="REMISION ARGOS RPSM-00326666                               T1-193"/>
    <n v="702"/>
    <n v="561.6"/>
    <n v="5669913.6000000006"/>
    <x v="15"/>
    <m/>
  </r>
  <r>
    <n v="197"/>
    <x v="3"/>
    <x v="1"/>
    <m/>
    <x v="192"/>
    <x v="193"/>
    <n v="2"/>
    <n v="2"/>
    <n v="1371419.4957983193"/>
    <n v="14"/>
    <n v="758057.70980392152"/>
    <n v="2129477.2056022407"/>
    <n v="386.83"/>
    <n v="257"/>
    <n v="99415.31"/>
    <n v="914323.08326348802"/>
    <s v="REMISION ARGOS RPSM-00328955                                T1-194"/>
    <n v="702"/>
    <n v="561.6"/>
    <n v="5669913.6000000006"/>
    <x v="15"/>
    <m/>
  </r>
  <r>
    <n v="198"/>
    <x v="3"/>
    <x v="1"/>
    <m/>
    <x v="193"/>
    <x v="194"/>
    <n v="2"/>
    <n v="2"/>
    <n v="1371419.4957983193"/>
    <n v="14"/>
    <n v="758057.70980392152"/>
    <n v="2129477.2056022407"/>
    <n v="388.33"/>
    <n v="257"/>
    <n v="99800.81"/>
    <n v="917868.52861388796"/>
    <s v="REMISION ARGOS RPSM- 00329096                               T1-195"/>
    <n v="702"/>
    <n v="561.6"/>
    <n v="5669913.6000000006"/>
    <x v="15"/>
    <m/>
  </r>
  <r>
    <n v="199"/>
    <x v="3"/>
    <x v="1"/>
    <m/>
    <x v="194"/>
    <x v="195"/>
    <n v="2"/>
    <n v="2"/>
    <n v="1371419.4957983193"/>
    <n v="14"/>
    <n v="758057.70980392152"/>
    <n v="2129477.2056022407"/>
    <n v="388.33"/>
    <n v="257"/>
    <n v="99800.81"/>
    <n v="917868.52861388796"/>
    <s v="REMISION ARGOS RPSM-00329147                               T1-196"/>
    <n v="702"/>
    <n v="561.6"/>
    <n v="5669913.6000000006"/>
    <x v="15"/>
    <m/>
  </r>
  <r>
    <n v="200"/>
    <x v="3"/>
    <x v="1"/>
    <m/>
    <x v="195"/>
    <x v="196"/>
    <n v="2"/>
    <n v="2"/>
    <n v="1371419.4957983193"/>
    <n v="14"/>
    <n v="758057.70980392152"/>
    <n v="2129477.2056022407"/>
    <n v="387.1"/>
    <n v="257"/>
    <n v="99484.700000000012"/>
    <n v="914961.26342656009"/>
    <s v="REMISION ARGOS RPSM-00329406                               T1-197"/>
    <n v="702"/>
    <n v="561.6"/>
    <n v="5669913.6000000006"/>
    <x v="15"/>
    <m/>
  </r>
  <r>
    <n v="201"/>
    <x v="3"/>
    <x v="1"/>
    <m/>
    <x v="196"/>
    <x v="197"/>
    <n v="2"/>
    <n v="2"/>
    <n v="1371419.4957983193"/>
    <n v="14"/>
    <n v="758057.70980392152"/>
    <n v="2129477.2056022407"/>
    <n v="388.33"/>
    <n v="257"/>
    <n v="99800.81"/>
    <n v="917868.52861388796"/>
    <s v="REMISION ARGOS RPSM-00329544                               T1-198"/>
    <n v="702"/>
    <n v="561.6"/>
    <n v="5669913.6000000006"/>
    <x v="15"/>
    <m/>
  </r>
  <r>
    <n v="202"/>
    <x v="4"/>
    <x v="1"/>
    <m/>
    <x v="197"/>
    <x v="198"/>
    <n v="2"/>
    <n v="2"/>
    <n v="1371419.4957983193"/>
    <n v="14"/>
    <n v="758057.70980392152"/>
    <n v="2129477.2056022407"/>
    <n v="388.33"/>
    <n v="257"/>
    <n v="99800.81"/>
    <n v="917868.52861388796"/>
    <s v="REMISION ARGOS RPSM- 00330275_x000a_ T1-199"/>
    <n v="702"/>
    <n v="561.6"/>
    <n v="5712033.6000000006"/>
    <x v="16"/>
    <m/>
  </r>
  <r>
    <n v="203"/>
    <x v="4"/>
    <x v="1"/>
    <m/>
    <x v="198"/>
    <x v="199"/>
    <n v="2"/>
    <n v="2"/>
    <n v="1371419.4957983193"/>
    <n v="14"/>
    <n v="758057.70980392152"/>
    <n v="2129477.2056022407"/>
    <n v="386.33"/>
    <n v="257"/>
    <n v="99286.81"/>
    <n v="913141.268146688"/>
    <s v="REMISION ARGOS RPSM- 00330398_x000a_     T1-200"/>
    <n v="702"/>
    <n v="561.6"/>
    <n v="5712033.6000000006"/>
    <x v="16"/>
    <m/>
  </r>
  <r>
    <n v="204"/>
    <x v="4"/>
    <x v="1"/>
    <m/>
    <x v="199"/>
    <x v="200"/>
    <n v="2"/>
    <n v="2"/>
    <n v="1371419.4957983193"/>
    <n v="14"/>
    <n v="758057.70980392152"/>
    <n v="2129477.2056022407"/>
    <n v="387.1"/>
    <n v="257"/>
    <n v="99484.700000000012"/>
    <n v="914961.26342656009"/>
    <s v="REMISION ARGOS     RPSM-00330571         T1-201"/>
    <n v="702"/>
    <n v="561.6"/>
    <n v="5712033.6000000006"/>
    <x v="16"/>
    <m/>
  </r>
  <r>
    <n v="205"/>
    <x v="4"/>
    <x v="1"/>
    <m/>
    <x v="200"/>
    <x v="201"/>
    <n v="2"/>
    <n v="2"/>
    <n v="1371419.4957983193"/>
    <n v="14"/>
    <n v="758057.70980392152"/>
    <n v="2129477.2056022407"/>
    <n v="388.33"/>
    <n v="257"/>
    <n v="99800.81"/>
    <n v="917868.52861388796"/>
    <s v="REMISION ARGOS RPSM-00330724   T1-202"/>
    <n v="702"/>
    <n v="561.6"/>
    <n v="5712033.6000000006"/>
    <x v="16"/>
    <m/>
  </r>
  <r>
    <n v="206"/>
    <x v="4"/>
    <x v="1"/>
    <m/>
    <x v="201"/>
    <x v="202"/>
    <n v="2"/>
    <n v="2"/>
    <n v="1371419.4957983193"/>
    <n v="14"/>
    <n v="758057.70980392152"/>
    <n v="2129477.2056022407"/>
    <n v="388.33"/>
    <n v="257"/>
    <n v="99800.81"/>
    <n v="917868.52861388796"/>
    <s v="REMISION ARGOS RPSM- 0033-08     T1-203"/>
    <n v="702"/>
    <n v="561.6"/>
    <n v="5712033.6000000006"/>
    <x v="16"/>
    <m/>
  </r>
  <r>
    <n v="207"/>
    <x v="4"/>
    <x v="1"/>
    <m/>
    <x v="202"/>
    <x v="203"/>
    <n v="2"/>
    <n v="2"/>
    <n v="1371419.4957983193"/>
    <n v="14"/>
    <n v="758057.70980392152"/>
    <n v="2129477.2056022407"/>
    <n v="387.6"/>
    <n v="257"/>
    <n v="99613.200000000012"/>
    <n v="916143.07854336011"/>
    <s v="REMISION ARGOS    RPSM-00331102      T1-204"/>
    <n v="702"/>
    <n v="561.6"/>
    <n v="5712033.6000000006"/>
    <x v="16"/>
    <m/>
  </r>
  <r>
    <n v="208"/>
    <x v="4"/>
    <x v="1"/>
    <m/>
    <x v="203"/>
    <x v="204"/>
    <n v="2"/>
    <n v="2"/>
    <n v="1371419.4957983193"/>
    <n v="14"/>
    <n v="758057.70980392152"/>
    <n v="2129477.2056022407"/>
    <n v="388.33"/>
    <n v="257"/>
    <n v="99800.81"/>
    <n v="917868.52861388796"/>
    <s v="REMISION ARGOS RPSM-00331222       T1-205"/>
    <n v="702"/>
    <n v="561.6"/>
    <n v="5712033.6000000006"/>
    <x v="16"/>
    <m/>
  </r>
  <r>
    <n v="209"/>
    <x v="4"/>
    <x v="1"/>
    <m/>
    <x v="204"/>
    <x v="205"/>
    <n v="2"/>
    <n v="2"/>
    <n v="1371419.4957983193"/>
    <n v="14"/>
    <n v="758057.70980392152"/>
    <n v="2129477.2056022407"/>
    <n v="388.33"/>
    <n v="257"/>
    <n v="99800.81"/>
    <n v="917868.52861388796"/>
    <s v="REMISION ARGOS    RPSM-00331324       T1-206"/>
    <n v="702"/>
    <n v="561.6"/>
    <n v="5712033.6000000006"/>
    <x v="16"/>
    <m/>
  </r>
  <r>
    <n v="210"/>
    <x v="4"/>
    <x v="1"/>
    <m/>
    <x v="205"/>
    <x v="206"/>
    <n v="2"/>
    <n v="2"/>
    <n v="1371419.4957983193"/>
    <n v="14"/>
    <n v="758057.70980392152"/>
    <n v="2129477.2056022407"/>
    <n v="387.1"/>
    <n v="257"/>
    <n v="99484.700000000012"/>
    <n v="914961.26342656009"/>
    <s v="REMISION ARGOS    RPSM-00331469       T1-207"/>
    <n v="702"/>
    <n v="561.6"/>
    <n v="5712033.6000000006"/>
    <x v="16"/>
    <m/>
  </r>
  <r>
    <n v="211"/>
    <x v="4"/>
    <x v="1"/>
    <m/>
    <x v="206"/>
    <x v="207"/>
    <n v="2"/>
    <n v="2"/>
    <n v="1371419.4957983193"/>
    <n v="14"/>
    <n v="758057.70980392152"/>
    <n v="2129477.2056022407"/>
    <n v="388.33"/>
    <n v="257"/>
    <n v="99800.81"/>
    <n v="917868.52861388796"/>
    <s v="REMISION ARGOS RPSM-00331621       T1-208"/>
    <n v="702"/>
    <n v="561.6"/>
    <n v="5712033.6000000006"/>
    <x v="16"/>
    <m/>
  </r>
  <r>
    <n v="212"/>
    <x v="4"/>
    <x v="1"/>
    <m/>
    <x v="207"/>
    <x v="208"/>
    <n v="1"/>
    <n v="1"/>
    <n v="342854.87394957984"/>
    <n v="10"/>
    <n v="600172.54901960795"/>
    <n v="943027.42296918784"/>
    <n v="250"/>
    <n v="18.47"/>
    <n v="4617.5"/>
    <n v="42467.169664000001"/>
    <s v="T1-001"/>
    <n v="36.94"/>
    <n v="29.552"/>
    <n v="300573.39199999999"/>
    <x v="16"/>
    <m/>
  </r>
  <r>
    <n v="213"/>
    <x v="5"/>
    <x v="1"/>
    <m/>
    <x v="208"/>
    <x v="209"/>
    <n v="1"/>
    <n v="1"/>
    <n v="106085.12605042016"/>
    <n v="8"/>
    <n v="281127.61904761905"/>
    <n v="387212.74509803922"/>
    <n v="204.47"/>
    <n v="30"/>
    <n v="6134.1"/>
    <n v="56415.347143680003"/>
    <s v="T1-001"/>
    <n v="60"/>
    <n v="48"/>
    <m/>
    <x v="17"/>
    <m/>
  </r>
  <r>
    <n v="214"/>
    <x v="5"/>
    <x v="1"/>
    <m/>
    <x v="209"/>
    <x v="210"/>
    <n v="1"/>
    <n v="1"/>
    <n v="106085.12605042016"/>
    <n v="10"/>
    <n v="351409.52380952379"/>
    <n v="457494.64985994395"/>
    <n v="250"/>
    <n v="18.650000000000006"/>
    <n v="4662.5000000000018"/>
    <n v="42881.034880000021"/>
    <s v="T1-002"/>
    <n v="37.300000000000011"/>
    <n v="29.840000000000011"/>
    <m/>
    <x v="17"/>
    <m/>
  </r>
  <r>
    <n v="215"/>
    <x v="5"/>
    <x v="1"/>
    <m/>
    <x v="209"/>
    <x v="211"/>
    <n v="2"/>
    <n v="2"/>
    <n v="424340.50420168065"/>
    <n v="14"/>
    <n v="443789.7490196079"/>
    <n v="868130.25322128856"/>
    <n v="390.78"/>
    <n v="257"/>
    <n v="100430.45999999999"/>
    <n v="923659.42268620792"/>
    <s v="REMISION ARGOS     RPSM-00332279         T1-209"/>
    <n v="702"/>
    <n v="561.6"/>
    <m/>
    <x v="17"/>
    <m/>
  </r>
  <r>
    <n v="216"/>
    <x v="5"/>
    <x v="1"/>
    <m/>
    <x v="210"/>
    <x v="211"/>
    <n v="1"/>
    <n v="1"/>
    <n v="106085.12605042016"/>
    <n v="10"/>
    <n v="351409.52380952379"/>
    <n v="457494.64985994395"/>
    <n v="250"/>
    <n v="18.800000000000011"/>
    <n v="4700.0000000000027"/>
    <n v="43225.922560000028"/>
    <s v="T1-003"/>
    <n v="37.600000000000023"/>
    <n v="30.08000000000002"/>
    <m/>
    <x v="17"/>
    <m/>
  </r>
  <r>
    <n v="217"/>
    <x v="5"/>
    <x v="1"/>
    <m/>
    <x v="211"/>
    <x v="212"/>
    <n v="2"/>
    <n v="2"/>
    <n v="424340.50420168065"/>
    <n v="14"/>
    <n v="443789.7490196079"/>
    <n v="868130.25322128856"/>
    <n v="386.33"/>
    <n v="257"/>
    <n v="99286.81"/>
    <n v="913141.268146688"/>
    <s v="REMISION ARGOS RPSM- 00332436  T1-210"/>
    <n v="702"/>
    <n v="561.6"/>
    <m/>
    <x v="17"/>
    <m/>
  </r>
  <r>
    <n v="218"/>
    <x v="5"/>
    <x v="1"/>
    <m/>
    <x v="211"/>
    <x v="213"/>
    <n v="1"/>
    <n v="1"/>
    <n v="106085.12605042016"/>
    <n v="11"/>
    <n v="386550.47619047621"/>
    <n v="492635.60224089638"/>
    <n v="500"/>
    <n v="38.288000000000011"/>
    <n v="19144.000000000007"/>
    <n v="176067.45989120007"/>
    <s v="T1-004"/>
    <n v="76.576000000000022"/>
    <n v="61.260800000000017"/>
    <m/>
    <x v="17"/>
    <m/>
  </r>
  <r>
    <n v="219"/>
    <x v="5"/>
    <x v="1"/>
    <m/>
    <x v="212"/>
    <x v="212"/>
    <n v="1"/>
    <n v="1"/>
    <n v="106085.12605042016"/>
    <n v="10"/>
    <n v="351409.52380952379"/>
    <n v="457494.64985994395"/>
    <n v="425"/>
    <n v="38.850000000000023"/>
    <n v="16511.250000000011"/>
    <n v="151854.0455040001"/>
    <s v="T1-005"/>
    <n v="77.700000000000045"/>
    <n v="62.160000000000039"/>
    <m/>
    <x v="17"/>
    <m/>
  </r>
  <r>
    <n v="220"/>
    <x v="5"/>
    <x v="1"/>
    <m/>
    <x v="213"/>
    <x v="214"/>
    <n v="2"/>
    <n v="2"/>
    <n v="424340.50420168065"/>
    <n v="14"/>
    <n v="443789.7490196079"/>
    <n v="868130.25322128856"/>
    <n v="388.33"/>
    <n v="257"/>
    <n v="99800.81"/>
    <n v="917868.52861388796"/>
    <s v="REMISION ARGOS    RPSM-00332602       T1-211"/>
    <n v="702"/>
    <n v="561.6"/>
    <m/>
    <x v="17"/>
    <m/>
  </r>
  <r>
    <n v="221"/>
    <x v="5"/>
    <x v="1"/>
    <m/>
    <x v="214"/>
    <x v="215"/>
    <n v="1"/>
    <n v="1"/>
    <n v="106085.12605042016"/>
    <n v="10"/>
    <n v="351409.52380952379"/>
    <n v="457494.64985994395"/>
    <n v="250"/>
    <n v="19.669999999999987"/>
    <n v="4917.4999999999973"/>
    <n v="45226.271103999978"/>
    <s v="T1-006"/>
    <n v="39.339999999999975"/>
    <n v="31.47199999999998"/>
    <m/>
    <x v="17"/>
    <m/>
  </r>
  <r>
    <n v="222"/>
    <x v="5"/>
    <x v="1"/>
    <m/>
    <x v="215"/>
    <x v="216"/>
    <n v="1"/>
    <n v="1"/>
    <n v="106085.12605042016"/>
    <n v="10"/>
    <n v="351409.52380952379"/>
    <n v="457494.64985994395"/>
    <n v="500"/>
    <n v="40.04000000000002"/>
    <n v="20020.000000000011"/>
    <n v="184124.03609600011"/>
    <s v="T1-007"/>
    <n v="80.080000000000041"/>
    <n v="64.064000000000036"/>
    <m/>
    <x v="17"/>
    <m/>
  </r>
  <r>
    <n v="223"/>
    <x v="5"/>
    <x v="1"/>
    <m/>
    <x v="215"/>
    <x v="217"/>
    <n v="2"/>
    <n v="2"/>
    <n v="424340.50420168065"/>
    <n v="14"/>
    <n v="443789.7490196079"/>
    <n v="868130.25322128856"/>
    <n v="388.33"/>
    <n v="257"/>
    <n v="99800.81"/>
    <n v="917868.52861388796"/>
    <s v="REMISION ARGOS    RPSM-00332743       T1-212"/>
    <n v="702"/>
    <n v="561.6"/>
    <m/>
    <x v="17"/>
    <m/>
  </r>
  <r>
    <n v="224"/>
    <x v="5"/>
    <x v="1"/>
    <m/>
    <x v="216"/>
    <x v="217"/>
    <n v="1"/>
    <n v="1"/>
    <n v="106085.12605042016"/>
    <n v="10"/>
    <n v="351409.52380952379"/>
    <n v="457494.64985994395"/>
    <n v="250"/>
    <n v="20.199999999999989"/>
    <n v="5049.9999999999973"/>
    <n v="46444.874239999976"/>
    <s v="T1-008"/>
    <n v="40.399999999999977"/>
    <n v="32.319999999999986"/>
    <m/>
    <x v="17"/>
    <m/>
  </r>
  <r>
    <n v="225"/>
    <x v="5"/>
    <x v="1"/>
    <m/>
    <x v="217"/>
    <x v="218"/>
    <n v="1"/>
    <n v="1"/>
    <n v="106085.12605042016"/>
    <n v="10"/>
    <n v="351409.52380952379"/>
    <n v="457494.64985994395"/>
    <n v="250"/>
    <n v="18.47"/>
    <n v="4617.5"/>
    <n v="42467.169664000001"/>
    <s v="T1-009"/>
    <n v="36.94"/>
    <n v="29.552"/>
    <m/>
    <x v="17"/>
    <m/>
  </r>
  <r>
    <n v="226"/>
    <x v="5"/>
    <x v="1"/>
    <m/>
    <x v="217"/>
    <x v="219"/>
    <n v="2"/>
    <n v="2"/>
    <n v="424340.50420168065"/>
    <n v="14"/>
    <n v="443789.7490196079"/>
    <n v="868130.25322128856"/>
    <n v="388.33"/>
    <n v="257"/>
    <n v="99800.81"/>
    <n v="917868.52861388796"/>
    <s v="REMISION ARGOS    RPSM-00333087       T1-213"/>
    <n v="702"/>
    <n v="561.6"/>
    <m/>
    <x v="17"/>
    <m/>
  </r>
  <r>
    <n v="227"/>
    <x v="5"/>
    <x v="1"/>
    <m/>
    <x v="218"/>
    <x v="219"/>
    <n v="1"/>
    <n v="1"/>
    <n v="106085.12605042016"/>
    <n v="10"/>
    <n v="351409.52380952379"/>
    <n v="457494.64985994395"/>
    <n v="500"/>
    <n v="41.45999999999998"/>
    <n v="20729.999999999989"/>
    <n v="190653.90950399989"/>
    <s v="T1-010"/>
    <n v="82.919999999999959"/>
    <n v="66.33599999999997"/>
    <m/>
    <x v="17"/>
    <m/>
  </r>
  <r>
    <n v="228"/>
    <x v="5"/>
    <x v="1"/>
    <m/>
    <x v="219"/>
    <x v="220"/>
    <n v="1"/>
    <n v="1"/>
    <n v="106085.12605042016"/>
    <n v="7"/>
    <n v="245986.66666666669"/>
    <n v="352071.79271708685"/>
    <n v="350"/>
    <n v="41.660000000000025"/>
    <n v="14581.000000000009"/>
    <n v="134101.52698880009"/>
    <s v="T1-011"/>
    <n v="83.32000000000005"/>
    <n v="66.656000000000049"/>
    <m/>
    <x v="17"/>
    <m/>
  </r>
  <r>
    <n v="229"/>
    <x v="5"/>
    <x v="1"/>
    <m/>
    <x v="219"/>
    <x v="221"/>
    <n v="2"/>
    <n v="1"/>
    <n v="212170.25210084033"/>
    <n v="14"/>
    <n v="443789.7490196079"/>
    <n v="655960.00112044823"/>
    <n v="388.33"/>
    <n v="257"/>
    <n v="99800.81"/>
    <n v="917868.52861388796"/>
    <s v="REMISION ARGOS    RPSM-00333230       T1-214"/>
    <n v="702"/>
    <n v="561.6"/>
    <m/>
    <x v="17"/>
    <m/>
  </r>
  <r>
    <n v="230"/>
    <x v="5"/>
    <x v="1"/>
    <m/>
    <x v="220"/>
    <x v="222"/>
    <n v="1"/>
    <n v="1"/>
    <n v="106085.12605042016"/>
    <n v="7"/>
    <n v="245986.66666666669"/>
    <n v="352071.79271708685"/>
    <n v="350"/>
    <n v="42.084000000000003"/>
    <n v="14729.400000000001"/>
    <n v="135466.36250112002"/>
    <s v="T1-012"/>
    <n v="84.168000000000006"/>
    <n v="67.334400000000002"/>
    <m/>
    <x v="17"/>
    <m/>
  </r>
  <r>
    <n v="231"/>
    <x v="5"/>
    <x v="1"/>
    <m/>
    <x v="220"/>
    <x v="223"/>
    <n v="2"/>
    <n v="1"/>
    <n v="212170.25210084033"/>
    <n v="14"/>
    <n v="443789.7490196079"/>
    <n v="655960.00112044823"/>
    <n v="387.1"/>
    <n v="257"/>
    <n v="99484.700000000012"/>
    <n v="914961.26342656009"/>
    <s v="REMISION ARGOS    RPSM-00333474       T1-215"/>
    <n v="702"/>
    <n v="561.6"/>
    <m/>
    <x v="17"/>
    <m/>
  </r>
  <r>
    <n v="232"/>
    <x v="5"/>
    <x v="1"/>
    <m/>
    <x v="221"/>
    <x v="224"/>
    <n v="1"/>
    <n v="1"/>
    <n v="106085.12605042016"/>
    <n v="7"/>
    <n v="245986.66666666669"/>
    <n v="352071.79271708685"/>
    <n v="350"/>
    <n v="42.54000000000002"/>
    <n v="14889.000000000007"/>
    <n v="136934.20446720006"/>
    <s v="T1-013"/>
    <n v="85.080000000000041"/>
    <n v="68.064000000000036"/>
    <m/>
    <x v="17"/>
    <m/>
  </r>
  <r>
    <n v="233"/>
    <x v="5"/>
    <x v="1"/>
    <m/>
    <x v="222"/>
    <x v="225"/>
    <n v="1"/>
    <n v="1"/>
    <n v="106085.12605042016"/>
    <n v="7"/>
    <n v="245986.66666666669"/>
    <n v="352071.79271708685"/>
    <n v="175"/>
    <n v="21.430000000000007"/>
    <n v="3750.2500000000014"/>
    <n v="34491.067251200016"/>
    <s v="T1-014"/>
    <n v="42.860000000000014"/>
    <n v="34.288000000000011"/>
    <m/>
    <x v="17"/>
    <m/>
  </r>
  <r>
    <n v="234"/>
    <x v="5"/>
    <x v="1"/>
    <m/>
    <x v="223"/>
    <x v="226"/>
    <n v="1"/>
    <n v="1"/>
    <n v="106085.12605042016"/>
    <n v="7"/>
    <n v="245986.66666666669"/>
    <n v="352071.79271708685"/>
    <n v="350"/>
    <n v="45.199999999999989"/>
    <n v="15819.999999999996"/>
    <n v="145496.61593599996"/>
    <s v="T1-015"/>
    <n v="90.399999999999977"/>
    <n v="72.319999999999979"/>
    <m/>
    <x v="17"/>
    <m/>
  </r>
  <r>
    <n v="235"/>
    <x v="5"/>
    <x v="1"/>
    <m/>
    <x v="224"/>
    <x v="227"/>
    <n v="1"/>
    <n v="1"/>
    <n v="106085.12605042016"/>
    <n v="7"/>
    <n v="245986.66666666669"/>
    <n v="352071.79271708685"/>
    <n v="350"/>
    <n v="44.220000000000027"/>
    <n v="15477.000000000009"/>
    <n v="142342.04328960009"/>
    <s v="T1-016"/>
    <n v="88.440000000000055"/>
    <n v="70.752000000000052"/>
    <m/>
    <x v="17"/>
    <m/>
  </r>
  <r>
    <n v="236"/>
    <x v="6"/>
    <x v="1"/>
    <m/>
    <x v="225"/>
    <x v="228"/>
    <n v="1"/>
    <n v="1"/>
    <n v="106085.12605042016"/>
    <n v="7"/>
    <n v="245986.66666666669"/>
    <n v="352071.79271708685"/>
    <n v="175"/>
    <n v="16.240000000000009"/>
    <n v="2842.0000000000018"/>
    <n v="26137.887641600017"/>
    <s v="T1-017"/>
    <n v="32.480000000000018"/>
    <n v="25.984000000000016"/>
    <n v="264283.26400000014"/>
    <x v="18"/>
    <m/>
  </r>
  <r>
    <n v="237"/>
    <x v="6"/>
    <x v="1"/>
    <m/>
    <x v="226"/>
    <x v="229"/>
    <n v="1"/>
    <n v="1"/>
    <n v="106085.12605042016"/>
    <n v="7"/>
    <n v="245986.66666666669"/>
    <n v="352071.79271708685"/>
    <n v="175"/>
    <n v="16.996000000000009"/>
    <n v="2974.3000000000015"/>
    <n v="27354.651376640013"/>
    <s v="T1-018"/>
    <n v="33.992000000000019"/>
    <n v="27.193600000000018"/>
    <n v="276586.10560000018"/>
    <x v="18"/>
    <m/>
  </r>
  <r>
    <n v="238"/>
    <x v="6"/>
    <x v="1"/>
    <m/>
    <x v="227"/>
    <x v="230"/>
    <n v="1"/>
    <n v="1"/>
    <n v="106085.12605042016"/>
    <n v="7"/>
    <n v="245986.66666666669"/>
    <n v="352071.79271708685"/>
    <n v="175"/>
    <n v="22.854000000000013"/>
    <n v="3999.4500000000025"/>
    <n v="36782.960847360024"/>
    <s v="T1-019"/>
    <n v="45.708000000000027"/>
    <n v="36.566400000000023"/>
    <n v="371916.85440000024"/>
    <x v="18"/>
    <m/>
  </r>
  <r>
    <n v="239"/>
    <x v="6"/>
    <x v="1"/>
    <m/>
    <x v="227"/>
    <x v="230"/>
    <m/>
    <m/>
    <m/>
    <m/>
    <m/>
    <m/>
    <n v="175"/>
    <n v="16.240000000000009"/>
    <n v="2842.0000000000018"/>
    <n v="26137.887641600017"/>
    <m/>
    <n v="32.480000000000018"/>
    <n v="25.984000000000016"/>
    <n v="264283.26400000014"/>
    <x v="18"/>
    <m/>
  </r>
  <r>
    <n v="240"/>
    <x v="6"/>
    <x v="1"/>
    <m/>
    <x v="227"/>
    <x v="231"/>
    <n v="2"/>
    <n v="1"/>
    <n v="212170.25210084033"/>
    <n v="14"/>
    <n v="443789.7490196079"/>
    <n v="655960.00112044823"/>
    <n v="388.33"/>
    <n v="257"/>
    <n v="99800.81"/>
    <n v="917868.52861388796"/>
    <s v="REMISION ARGOS RPSM- 00334302  T1-216"/>
    <n v="702"/>
    <n v="561.6"/>
    <n v="5712033.6000000006"/>
    <x v="18"/>
    <m/>
  </r>
  <r>
    <n v="241"/>
    <x v="6"/>
    <x v="1"/>
    <m/>
    <x v="228"/>
    <x v="232"/>
    <n v="1"/>
    <n v="1"/>
    <n v="106085.12605042016"/>
    <n v="7"/>
    <n v="245986.66666666669"/>
    <n v="352071.79271708685"/>
    <n v="175"/>
    <n v="17.240000000000009"/>
    <n v="3017.0000000000018"/>
    <n v="27747.363481600016"/>
    <s v="T1-020"/>
    <n v="34.480000000000018"/>
    <n v="27.584000000000017"/>
    <n v="280556.86400000018"/>
    <x v="18"/>
    <m/>
  </r>
  <r>
    <n v="242"/>
    <x v="6"/>
    <x v="1"/>
    <m/>
    <x v="228"/>
    <x v="232"/>
    <m/>
    <m/>
    <m/>
    <m/>
    <m/>
    <m/>
    <n v="175"/>
    <n v="17.379999999999995"/>
    <n v="3041.4999999999991"/>
    <n v="27972.690099199994"/>
    <m/>
    <n v="34.759999999999991"/>
    <n v="27.807999999999993"/>
    <n v="282835.16799999995"/>
    <x v="18"/>
    <m/>
  </r>
  <r>
    <n v="243"/>
    <x v="6"/>
    <x v="1"/>
    <m/>
    <x v="228"/>
    <x v="233"/>
    <n v="2"/>
    <n v="1"/>
    <n v="212170.25210084033"/>
    <n v="14"/>
    <n v="443789.7490196079"/>
    <n v="655960.00112044823"/>
    <n v="389.55"/>
    <n v="257"/>
    <n v="100114.35"/>
    <n v="920752.15749888006"/>
    <s v="REMISION ARGOS RPSM- 00334556  T1-217"/>
    <n v="702"/>
    <n v="561.6"/>
    <n v="5712033.6000000006"/>
    <x v="18"/>
    <m/>
  </r>
  <r>
    <n v="244"/>
    <x v="6"/>
    <x v="1"/>
    <m/>
    <x v="229"/>
    <x v="234"/>
    <n v="1"/>
    <n v="1"/>
    <n v="106085.12605042016"/>
    <n v="7"/>
    <n v="245986.66666666669"/>
    <n v="352071.79271708685"/>
    <n v="175"/>
    <n v="16.096000000000004"/>
    <n v="2816.8000000000006"/>
    <n v="25906.123120640008"/>
    <s v="T1-021"/>
    <n v="32.192000000000007"/>
    <n v="25.753600000000006"/>
    <n v="261939.86560000005"/>
    <x v="18"/>
    <m/>
  </r>
  <r>
    <n v="245"/>
    <x v="6"/>
    <x v="1"/>
    <m/>
    <x v="229"/>
    <x v="235"/>
    <n v="2"/>
    <n v="1"/>
    <n v="212170.25210084033"/>
    <n v="14"/>
    <n v="443789.7490196079"/>
    <n v="655960.00112044823"/>
    <n v="388.33"/>
    <n v="257"/>
    <n v="99800.81"/>
    <n v="917868.52861388796"/>
    <s v="REMISION ARGOS RPSM- 00334900  T1-218"/>
    <n v="702"/>
    <n v="561.6"/>
    <n v="5712033.6000000006"/>
    <x v="18"/>
    <m/>
  </r>
  <r>
    <n v="246"/>
    <x v="6"/>
    <x v="1"/>
    <m/>
    <x v="230"/>
    <x v="236"/>
    <n v="1"/>
    <n v="1"/>
    <n v="106085.12605042016"/>
    <n v="7"/>
    <n v="245986.66666666669"/>
    <n v="352071.79271708685"/>
    <n v="175"/>
    <n v="16.084000000000003"/>
    <n v="2814.7000000000007"/>
    <n v="25886.809410560007"/>
    <s v="T1-022"/>
    <n v="32.168000000000006"/>
    <n v="25.734400000000008"/>
    <n v="261744.58240000007"/>
    <x v="18"/>
    <m/>
  </r>
  <r>
    <n v="247"/>
    <x v="6"/>
    <x v="1"/>
    <m/>
    <x v="230"/>
    <x v="237"/>
    <n v="2"/>
    <n v="1"/>
    <n v="212170.25210084033"/>
    <n v="14"/>
    <n v="443789.7490196079"/>
    <n v="655960.00112044823"/>
    <n v="388.33"/>
    <n v="257"/>
    <n v="99800.81"/>
    <n v="917868.52861388796"/>
    <s v="REMISION ARGOS RPSM- 00335049  T1-219"/>
    <n v="702"/>
    <n v="561.6"/>
    <n v="5712033.6000000006"/>
    <x v="18"/>
    <m/>
  </r>
  <r>
    <n v="248"/>
    <x v="6"/>
    <x v="1"/>
    <m/>
    <x v="231"/>
    <x v="238"/>
    <n v="1"/>
    <n v="1"/>
    <n v="106085.12605042016"/>
    <n v="7"/>
    <n v="245986.66666666669"/>
    <n v="352071.79271708685"/>
    <n v="175"/>
    <n v="14.789999999999992"/>
    <n v="2588.2499999999986"/>
    <n v="23804.14767359999"/>
    <s v="T1-023"/>
    <n v="29.579999999999984"/>
    <n v="23.663999999999987"/>
    <n v="240686.54399999988"/>
    <x v="18"/>
    <m/>
  </r>
  <r>
    <n v="249"/>
    <x v="6"/>
    <x v="1"/>
    <m/>
    <x v="231"/>
    <x v="239"/>
    <n v="2"/>
    <n v="1"/>
    <n v="212170.25210084033"/>
    <n v="14"/>
    <n v="443789.7490196079"/>
    <n v="655960.00112044823"/>
    <n v="388.33"/>
    <n v="257"/>
    <n v="99800.81"/>
    <n v="917868.52861388796"/>
    <s v="REMISION ARGOS RPSM- 00335169  T1-220"/>
    <n v="702"/>
    <n v="561.6"/>
    <n v="5712033.6000000006"/>
    <x v="18"/>
    <m/>
  </r>
  <r>
    <n v="250"/>
    <x v="6"/>
    <x v="1"/>
    <m/>
    <x v="232"/>
    <x v="240"/>
    <n v="1"/>
    <n v="1"/>
    <n v="106085.12605042016"/>
    <n v="7"/>
    <n v="245986.66666666669"/>
    <n v="352071.79271708685"/>
    <n v="175"/>
    <n v="13.092000000000013"/>
    <n v="2291.1000000000022"/>
    <n v="21071.25769728002"/>
    <s v="T1-024"/>
    <n v="26.184000000000026"/>
    <n v="20.947200000000024"/>
    <n v="213053.97120000023"/>
    <x v="18"/>
    <m/>
  </r>
  <r>
    <n v="251"/>
    <x v="6"/>
    <x v="1"/>
    <m/>
    <x v="232"/>
    <x v="240"/>
    <m/>
    <m/>
    <m/>
    <m/>
    <m/>
    <m/>
    <n v="175"/>
    <n v="17.498999999999995"/>
    <n v="3062.3249999999994"/>
    <n v="28164.217724159997"/>
    <m/>
    <n v="34.99799999999999"/>
    <n v="27.998399999999993"/>
    <n v="284771.72639999993"/>
    <x v="18"/>
    <m/>
  </r>
  <r>
    <n v="252"/>
    <x v="6"/>
    <x v="1"/>
    <m/>
    <x v="232"/>
    <x v="241"/>
    <n v="2"/>
    <n v="1"/>
    <n v="212170.25210084033"/>
    <n v="14"/>
    <n v="443789.7490196079"/>
    <n v="655960.00112044823"/>
    <n v="388.33"/>
    <n v="257"/>
    <n v="99800.81"/>
    <n v="917868.52861388796"/>
    <s v="REMISION ARGOS RPSM- 00335359  T1-221"/>
    <n v="702"/>
    <n v="561.6"/>
    <n v="5712033.6000000006"/>
    <x v="18"/>
    <m/>
  </r>
  <r>
    <n v="253"/>
    <x v="6"/>
    <x v="1"/>
    <m/>
    <x v="233"/>
    <x v="242"/>
    <n v="1"/>
    <n v="1"/>
    <n v="106085.12605042016"/>
    <n v="7"/>
    <n v="245986.66666666669"/>
    <n v="352071.79271708685"/>
    <n v="175"/>
    <n v="17.632000000000005"/>
    <n v="3085.6000000000008"/>
    <n v="28378.278010880007"/>
    <s v="T1-025"/>
    <n v="35.26400000000001"/>
    <n v="28.211200000000009"/>
    <n v="286936.11520000012"/>
    <x v="18"/>
    <m/>
  </r>
  <r>
    <n v="254"/>
    <x v="6"/>
    <x v="1"/>
    <m/>
    <x v="233"/>
    <x v="242"/>
    <m/>
    <m/>
    <m/>
    <m/>
    <m/>
    <m/>
    <n v="175"/>
    <n v="17.75"/>
    <n v="3106.25"/>
    <n v="28568.19616"/>
    <m/>
    <n v="35.5"/>
    <n v="28.400000000000002"/>
    <n v="288856.40000000002"/>
    <x v="18"/>
    <m/>
  </r>
  <r>
    <n v="255"/>
    <x v="6"/>
    <x v="1"/>
    <m/>
    <x v="234"/>
    <x v="243"/>
    <n v="1"/>
    <n v="1"/>
    <n v="106085.12605042016"/>
    <n v="7"/>
    <n v="245986.66666666669"/>
    <n v="352071.79271708685"/>
    <n v="175"/>
    <n v="17.883999999999986"/>
    <n v="3129.6999999999975"/>
    <n v="28783.865922559977"/>
    <s v="T1-026"/>
    <n v="35.767999999999972"/>
    <n v="28.614399999999979"/>
    <n v="291037.06239999976"/>
    <x v="18"/>
    <m/>
  </r>
  <r>
    <n v="256"/>
    <x v="6"/>
    <x v="1"/>
    <m/>
    <x v="234"/>
    <x v="243"/>
    <m/>
    <m/>
    <m/>
    <m/>
    <m/>
    <m/>
    <n v="175"/>
    <n v="18.003999999999991"/>
    <n v="3150.6999999999985"/>
    <n v="28977.003023359986"/>
    <m/>
    <n v="36.007999999999981"/>
    <n v="28.806399999999986"/>
    <n v="292989.89439999987"/>
    <x v="18"/>
    <m/>
  </r>
  <r>
    <n v="257"/>
    <x v="6"/>
    <x v="1"/>
    <m/>
    <x v="235"/>
    <x v="244"/>
    <n v="1"/>
    <n v="1"/>
    <n v="106085.12605042016"/>
    <n v="7"/>
    <n v="245986.66666666669"/>
    <n v="352071.79271708685"/>
    <n v="175"/>
    <n v="18.123999999999995"/>
    <n v="3171.6999999999994"/>
    <n v="29170.140124159996"/>
    <s v="T1-027"/>
    <n v="36.24799999999999"/>
    <n v="28.998399999999993"/>
    <n v="294942.72639999993"/>
    <x v="18"/>
    <m/>
  </r>
  <r>
    <n v="258"/>
    <x v="6"/>
    <x v="1"/>
    <m/>
    <x v="235"/>
    <x v="245"/>
    <n v="2"/>
    <n v="1"/>
    <n v="212170.25210084033"/>
    <n v="14"/>
    <n v="443789.7490196079"/>
    <n v="655960.00112044823"/>
    <n v="388.33"/>
    <n v="257"/>
    <n v="99800.81"/>
    <n v="917868.52861388796"/>
    <s v="REMISION ARGOS RPSM- 00335540  T1-222"/>
    <n v="702"/>
    <n v="561.6"/>
    <n v="5712033.6000000006"/>
    <x v="18"/>
    <m/>
  </r>
  <r>
    <n v="259"/>
    <x v="6"/>
    <x v="1"/>
    <m/>
    <x v="236"/>
    <x v="246"/>
    <n v="1"/>
    <n v="1"/>
    <n v="106085.12605042016"/>
    <n v="13"/>
    <n v="456832.38095238095"/>
    <n v="562917.50700280117"/>
    <n v="325"/>
    <n v="18.003999999999991"/>
    <n v="5851.2999999999965"/>
    <n v="53814.434186239967"/>
    <s v="T1-028"/>
    <n v="36.007999999999981"/>
    <n v="28.806399999999986"/>
    <n v="292989.89439999987"/>
    <x v="18"/>
    <m/>
  </r>
  <r>
    <n v="260"/>
    <x v="6"/>
    <x v="1"/>
    <m/>
    <x v="236"/>
    <x v="246"/>
    <m/>
    <m/>
    <m/>
    <m/>
    <m/>
    <m/>
    <n v="325"/>
    <n v="18.596000000000004"/>
    <n v="6043.7000000000007"/>
    <n v="55583.93790976001"/>
    <m/>
    <n v="37.192000000000007"/>
    <n v="29.753600000000006"/>
    <n v="302623.86560000008"/>
    <x v="18"/>
    <m/>
  </r>
  <r>
    <n v="261"/>
    <x v="6"/>
    <x v="1"/>
    <m/>
    <x v="237"/>
    <x v="247"/>
    <n v="1"/>
    <n v="1"/>
    <n v="106085.12605042016"/>
    <n v="9"/>
    <n v="316268.57142857142"/>
    <n v="422353.69747899158"/>
    <n v="225"/>
    <n v="19.370000000000005"/>
    <n v="4358.2500000000009"/>
    <n v="40082.846169600009"/>
    <s v="T1-029"/>
    <n v="226.74"/>
    <n v="181.39200000000002"/>
    <n v="1844938.0320000004"/>
    <x v="18"/>
    <m/>
  </r>
  <r>
    <n v="262"/>
    <x v="6"/>
    <x v="1"/>
    <m/>
    <x v="237"/>
    <x v="248"/>
    <n v="2"/>
    <n v="1"/>
    <n v="212170.25210084033"/>
    <n v="14"/>
    <n v="443789.7490196079"/>
    <n v="655960.00112044823"/>
    <n v="388.33"/>
    <n v="257"/>
    <n v="99800.81"/>
    <n v="917868.52861388796"/>
    <s v="REMISION ARGOS RPSM- 00335927  T1-223"/>
    <n v="702"/>
    <n v="561.6"/>
    <n v="5712033.6000000006"/>
    <x v="18"/>
    <m/>
  </r>
  <r>
    <n v="263"/>
    <x v="6"/>
    <x v="1"/>
    <m/>
    <x v="238"/>
    <x v="249"/>
    <n v="1"/>
    <n v="1"/>
    <n v="106085.12605042016"/>
    <n v="9"/>
    <n v="316268.57142857142"/>
    <n v="422353.69747899158"/>
    <n v="225"/>
    <n v="18.774000000000001"/>
    <n v="4224.1500000000005"/>
    <n v="38849.527825920006"/>
    <s v="T1-030"/>
    <n v="37.548000000000002"/>
    <n v="30.038400000000003"/>
    <n v="305520.56640000001"/>
    <x v="18"/>
    <m/>
  </r>
  <r>
    <n v="264"/>
    <x v="6"/>
    <x v="1"/>
    <m/>
    <x v="238"/>
    <x v="249"/>
    <m/>
    <m/>
    <m/>
    <m/>
    <m/>
    <m/>
    <n v="225"/>
    <n v="18.930000000000007"/>
    <n v="4259.2500000000018"/>
    <n v="39172.342694400017"/>
    <m/>
    <n v="37.860000000000014"/>
    <n v="30.288000000000011"/>
    <n v="308059.24800000014"/>
    <x v="18"/>
    <m/>
  </r>
  <r>
    <n v="265"/>
    <x v="6"/>
    <x v="1"/>
    <m/>
    <x v="238"/>
    <x v="250"/>
    <n v="2"/>
    <n v="2"/>
    <n v="424340.50420168065"/>
    <n v="14"/>
    <n v="443789.7490196079"/>
    <n v="868130.25322128856"/>
    <n v="388.33"/>
    <n v="257"/>
    <n v="99800.81"/>
    <n v="917868.52861388796"/>
    <s v="REMISION ARGOS RPSM- 00336065  T1-224"/>
    <n v="702"/>
    <n v="561.6"/>
    <n v="5712033.6000000006"/>
    <x v="18"/>
    <m/>
  </r>
  <r>
    <n v="266"/>
    <x v="6"/>
    <x v="1"/>
    <m/>
    <x v="239"/>
    <x v="251"/>
    <n v="1"/>
    <n v="1"/>
    <n v="106085.12605042016"/>
    <n v="9"/>
    <n v="316268.57142857142"/>
    <n v="422353.69747899158"/>
    <n v="225"/>
    <n v="13.259999999999991"/>
    <n v="2983.4999999999982"/>
    <n v="27439.263820799984"/>
    <s v="T1-031"/>
    <n v="26.519999999999982"/>
    <n v="21.215999999999987"/>
    <n v="215787.93599999987"/>
    <x v="18"/>
    <m/>
  </r>
  <r>
    <n v="267"/>
    <x v="6"/>
    <x v="1"/>
    <m/>
    <x v="239"/>
    <x v="251"/>
    <m/>
    <m/>
    <m/>
    <m/>
    <m/>
    <m/>
    <n v="225"/>
    <n v="19.086000000000013"/>
    <n v="4294.3500000000031"/>
    <n v="39495.157562880027"/>
    <m/>
    <n v="38.172000000000025"/>
    <n v="30.537600000000023"/>
    <n v="310597.92960000021"/>
    <x v="18"/>
    <m/>
  </r>
  <r>
    <m/>
    <x v="7"/>
    <x v="1"/>
    <m/>
    <x v="240"/>
    <x v="252"/>
    <n v="1"/>
    <n v="1"/>
    <n v="106085.12605042016"/>
    <n v="9"/>
    <n v="316268.57142857142"/>
    <n v="422353.69747899158"/>
    <n v="225"/>
    <n v="13.569999999999993"/>
    <n v="3053.2499999999986"/>
    <n v="28080.754905599988"/>
    <s v="T1-032"/>
    <n v="27.139999999999986"/>
    <n v="21.711999999999989"/>
    <n v="220832.75199999989"/>
    <x v="19"/>
    <m/>
  </r>
  <r>
    <m/>
    <x v="7"/>
    <x v="1"/>
    <m/>
    <x v="240"/>
    <x v="252"/>
    <m/>
    <m/>
    <m/>
    <m/>
    <m/>
    <m/>
    <n v="225"/>
    <n v="14.090000000000003"/>
    <n v="3170.2500000000009"/>
    <n v="29156.804467200011"/>
    <m/>
    <n v="28.180000000000007"/>
    <n v="22.544000000000008"/>
    <n v="229295.02400000006"/>
    <x v="19"/>
    <m/>
  </r>
  <r>
    <m/>
    <x v="7"/>
    <x v="1"/>
    <m/>
    <x v="240"/>
    <x v="252"/>
    <m/>
    <m/>
    <m/>
    <m/>
    <m/>
    <m/>
    <n v="225"/>
    <n v="19.240000000000009"/>
    <n v="4329.0000000000018"/>
    <n v="39813.833779200017"/>
    <m/>
    <n v="38.480000000000018"/>
    <n v="30.784000000000017"/>
    <n v="313104.06400000019"/>
    <x v="19"/>
    <m/>
  </r>
  <r>
    <m/>
    <x v="7"/>
    <x v="1"/>
    <m/>
    <x v="240"/>
    <x v="252"/>
    <m/>
    <m/>
    <m/>
    <m/>
    <m/>
    <m/>
    <n v="225"/>
    <n v="19.52000000000001"/>
    <n v="4392.0000000000027"/>
    <n v="40393.245081600027"/>
    <m/>
    <n v="39.04000000000002"/>
    <n v="31.232000000000017"/>
    <n v="317660.6720000002"/>
    <x v="19"/>
    <m/>
  </r>
  <r>
    <m/>
    <x v="7"/>
    <x v="1"/>
    <m/>
    <x v="241"/>
    <x v="252"/>
    <n v="1"/>
    <n v="1"/>
    <n v="106085.12605042016"/>
    <n v="9"/>
    <n v="316268.57142857142"/>
    <n v="422353.69747899158"/>
    <n v="275"/>
    <n v="19.699999999999989"/>
    <n v="5417.4999999999973"/>
    <n v="49824.773503999975"/>
    <s v="T1-033"/>
    <n v="39.399999999999977"/>
    <n v="31.519999999999982"/>
    <n v="320589.91999999981"/>
    <x v="19"/>
    <m/>
  </r>
  <r>
    <m/>
    <x v="7"/>
    <x v="1"/>
    <m/>
    <x v="241"/>
    <x v="252"/>
    <m/>
    <m/>
    <m/>
    <m/>
    <m/>
    <m/>
    <n v="275"/>
    <n v="19.854000000000013"/>
    <n v="5459.850000000004"/>
    <n v="50214.266657280037"/>
    <m/>
    <n v="39.708000000000027"/>
    <n v="31.766400000000022"/>
    <n v="323096.0544000002"/>
    <x v="19"/>
    <m/>
  </r>
  <r>
    <m/>
    <x v="7"/>
    <x v="1"/>
    <m/>
    <x v="242"/>
    <x v="253"/>
    <n v="1"/>
    <n v="2"/>
    <n v="212170.25210084033"/>
    <n v="13"/>
    <n v="456832.38095238095"/>
    <n v="669002.63305322127"/>
    <n v="325"/>
    <n v="14.419999999999987"/>
    <n v="4686.4999999999964"/>
    <n v="43101.76299519997"/>
    <s v="T1-034"/>
    <n v="28.839999999999975"/>
    <n v="23.071999999999981"/>
    <n v="234665.3119999998"/>
    <x v="19"/>
    <m/>
  </r>
  <r>
    <m/>
    <x v="7"/>
    <x v="1"/>
    <m/>
    <x v="242"/>
    <x v="254"/>
    <m/>
    <m/>
    <m/>
    <m/>
    <m/>
    <m/>
    <n v="325"/>
    <n v="20.141999999999996"/>
    <n v="6546.1499999999987"/>
    <n v="60204.972971519986"/>
    <m/>
    <n v="40.283999999999992"/>
    <n v="32.227199999999996"/>
    <n v="327782.85119999998"/>
    <x v="19"/>
    <m/>
  </r>
  <r>
    <m/>
    <x v="7"/>
    <x v="1"/>
    <m/>
    <x v="243"/>
    <x v="253"/>
    <n v="1"/>
    <n v="2"/>
    <n v="212170.25210084033"/>
    <n v="13"/>
    <n v="456832.38095238095"/>
    <n v="669002.63305322127"/>
    <n v="325"/>
    <n v="20.346000000000004"/>
    <n v="6612.4500000000007"/>
    <n v="60814.734389760008"/>
    <s v="T1-035"/>
    <n v="40.692000000000007"/>
    <n v="32.55360000000001"/>
    <n v="331102.66560000012"/>
    <x v="19"/>
    <m/>
  </r>
  <r>
    <m/>
    <x v="7"/>
    <x v="1"/>
    <m/>
    <x v="243"/>
    <x v="253"/>
    <m/>
    <m/>
    <m/>
    <m/>
    <m/>
    <m/>
    <n v="325"/>
    <n v="20.574000000000012"/>
    <n v="6686.5500000000038"/>
    <n v="61496.232445440037"/>
    <m/>
    <n v="41.148000000000025"/>
    <n v="32.91840000000002"/>
    <n v="334813.04640000022"/>
    <x v="19"/>
    <m/>
  </r>
  <r>
    <m/>
    <x v="7"/>
    <x v="1"/>
    <m/>
    <x v="244"/>
    <x v="255"/>
    <n v="1"/>
    <n v="1"/>
    <n v="106085.12605042016"/>
    <n v="9"/>
    <n v="316268.57142857142"/>
    <n v="422353.69747899158"/>
    <n v="225"/>
    <n v="20.650000000000006"/>
    <n v="4646.2500000000009"/>
    <n v="42731.583552000011"/>
    <s v="T1-036"/>
    <n v="41.300000000000011"/>
    <n v="33.040000000000013"/>
    <n v="336049.84000000014"/>
    <x v="19"/>
    <m/>
  </r>
  <r>
    <m/>
    <x v="7"/>
    <x v="1"/>
    <m/>
    <x v="245"/>
    <x v="256"/>
    <n v="1"/>
    <n v="1"/>
    <n v="106085.12605042016"/>
    <n v="9"/>
    <n v="316268.57142857142"/>
    <n v="422353.69747899158"/>
    <n v="200"/>
    <n v="20.889999999999986"/>
    <n v="4177.9999999999973"/>
    <n v="38425.086054399973"/>
    <s v="T1-037"/>
    <n v="41.779999999999973"/>
    <n v="33.423999999999978"/>
    <n v="339955.50399999978"/>
    <x v="19"/>
    <m/>
  </r>
  <r>
    <m/>
    <x v="7"/>
    <x v="1"/>
    <m/>
    <x v="245"/>
    <x v="256"/>
    <m/>
    <m/>
    <m/>
    <m/>
    <m/>
    <m/>
    <n v="200"/>
    <n v="23.144000000000005"/>
    <n v="4628.8000000000011"/>
    <n v="42571.095818240014"/>
    <m/>
    <n v="46.288000000000011"/>
    <n v="37.030400000000007"/>
    <n v="376636.19840000005"/>
    <x v="19"/>
    <m/>
  </r>
  <r>
    <m/>
    <x v="7"/>
    <x v="1"/>
    <m/>
    <x v="246"/>
    <x v="257"/>
    <n v="1"/>
    <n v="1"/>
    <n v="106085.12605042016"/>
    <n v="9"/>
    <n v="316268.57142857142"/>
    <n v="422353.69747899158"/>
    <n v="225"/>
    <n v="21.439999999999998"/>
    <n v="4823.9999999999991"/>
    <n v="44366.351155199991"/>
    <s v="T1-038"/>
    <n v="42.879999999999995"/>
    <n v="34.303999999999995"/>
    <n v="348905.98399999994"/>
    <x v="19"/>
    <m/>
  </r>
  <r>
    <m/>
    <x v="7"/>
    <x v="1"/>
    <m/>
    <x v="247"/>
    <x v="258"/>
    <n v="1"/>
    <n v="1"/>
    <n v="106085.12605042016"/>
    <n v="9"/>
    <n v="316268.57142857142"/>
    <n v="422353.69747899158"/>
    <n v="225"/>
    <n v="17.300000000000011"/>
    <n v="3892.5000000000027"/>
    <n v="35799.341184000026"/>
    <s v="T1-039"/>
    <n v="34.600000000000023"/>
    <n v="27.680000000000021"/>
    <n v="281533.2800000002"/>
    <x v="19"/>
    <m/>
  </r>
  <r>
    <m/>
    <x v="7"/>
    <x v="1"/>
    <m/>
    <x v="248"/>
    <x v="259"/>
    <n v="1"/>
    <n v="1"/>
    <n v="106085.12605042016"/>
    <n v="9"/>
    <n v="316268.57142857142"/>
    <n v="422353.69747899158"/>
    <n v="225"/>
    <n v="17.451999999999998"/>
    <n v="3926.7"/>
    <n v="36113.878748160001"/>
    <s v="T1-040"/>
    <n v="34.903999999999996"/>
    <n v="27.923199999999998"/>
    <n v="284006.86719999998"/>
    <x v="19"/>
    <m/>
  </r>
  <r>
    <m/>
    <x v="7"/>
    <x v="1"/>
    <m/>
    <x v="248"/>
    <x v="259"/>
    <m/>
    <m/>
    <m/>
    <m/>
    <m/>
    <m/>
    <n v="225"/>
    <n v="17.77000000000001"/>
    <n v="3998.2500000000023"/>
    <n v="36771.924441600022"/>
    <m/>
    <n v="35.54000000000002"/>
    <n v="28.432000000000016"/>
    <n v="289181.87200000015"/>
    <x v="19"/>
    <m/>
  </r>
  <r>
    <m/>
    <x v="7"/>
    <x v="1"/>
    <m/>
    <x v="248"/>
    <x v="260"/>
    <n v="1"/>
    <n v="2"/>
    <n v="212170.25210084033"/>
    <n v="14"/>
    <n v="221894.87450980395"/>
    <n v="434065.12661064428"/>
    <n v="388.33"/>
    <n v="257"/>
    <n v="99800.81"/>
    <n v="917868.52861388796"/>
    <s v="REMISION ARGOS RPSM- 00336065  T1-224"/>
    <n v="702"/>
    <n v="561.6"/>
    <n v="5712033.6000000006"/>
    <x v="19"/>
    <m/>
  </r>
  <r>
    <m/>
    <x v="7"/>
    <x v="1"/>
    <m/>
    <x v="249"/>
    <x v="261"/>
    <n v="1"/>
    <n v="1"/>
    <n v="106085.12605042016"/>
    <n v="9"/>
    <n v="316268.57142857142"/>
    <n v="422353.69747899158"/>
    <n v="225"/>
    <n v="17.77000000000001"/>
    <n v="3998.2500000000023"/>
    <n v="36771.924441600022"/>
    <s v="T1-041"/>
    <n v="35.54000000000002"/>
    <n v="28.432000000000016"/>
    <n v="289181.87200000015"/>
    <x v="19"/>
    <m/>
  </r>
  <r>
    <m/>
    <x v="7"/>
    <x v="1"/>
    <m/>
    <x v="249"/>
    <x v="262"/>
    <n v="1"/>
    <n v="2"/>
    <n v="212170.25210084033"/>
    <n v="12"/>
    <n v="190195.60672268909"/>
    <n v="402365.85882352944"/>
    <n v="334.78"/>
    <n v="257"/>
    <n v="86038.459999999992"/>
    <n v="791296.12960460794"/>
    <s v="REMISION ARGOS RPSM- 00336065  T1-224"/>
    <n v="702"/>
    <n v="561.6"/>
    <n v="5712033.6000000006"/>
    <x v="19"/>
    <m/>
  </r>
  <r>
    <m/>
    <x v="7"/>
    <x v="1"/>
    <m/>
    <x v="250"/>
    <x v="263"/>
    <n v="1"/>
    <n v="1"/>
    <n v="106085.12605042016"/>
    <n v="9"/>
    <n v="316268.57142857142"/>
    <n v="422353.69747899158"/>
    <n v="225"/>
    <n v="18.352000000000004"/>
    <n v="4129.2000000000007"/>
    <n v="37976.272220160005"/>
    <s v="T1-042"/>
    <n v="36.704000000000008"/>
    <n v="29.363200000000006"/>
    <n v="298653.10720000009"/>
    <x v="19"/>
    <m/>
  </r>
  <r>
    <m/>
    <x v="7"/>
    <x v="1"/>
    <m/>
    <x v="250"/>
    <x v="264"/>
    <n v="1"/>
    <n v="2"/>
    <n v="212170.25210084033"/>
    <n v="14"/>
    <n v="221894.87450980395"/>
    <n v="434065.12661064428"/>
    <n v="389.55"/>
    <n v="257"/>
    <n v="100114.35"/>
    <n v="920752.15749888006"/>
    <s v="REMISION ARGOS RPSM- 00336065  T1-224"/>
    <n v="702"/>
    <n v="561.6"/>
    <n v="5712033.6000000006"/>
    <x v="19"/>
    <m/>
  </r>
  <r>
    <m/>
    <x v="7"/>
    <x v="1"/>
    <m/>
    <x v="251"/>
    <x v="265"/>
    <n v="1"/>
    <n v="1"/>
    <n v="106085.12605042016"/>
    <n v="9"/>
    <n v="316268.57142857142"/>
    <n v="422353.69747899158"/>
    <n v="225"/>
    <n v="5.1129999999999995"/>
    <n v="1150.425"/>
    <n v="10580.464247039999"/>
    <s v="T1-043"/>
    <n v="10.225999999999999"/>
    <n v="8.1807999999999996"/>
    <n v="83206.916799999992"/>
    <x v="19"/>
    <m/>
  </r>
  <r>
    <m/>
    <x v="7"/>
    <x v="1"/>
    <m/>
    <x v="251"/>
    <x v="266"/>
    <n v="1"/>
    <n v="2"/>
    <n v="212170.25210084033"/>
    <n v="12"/>
    <n v="190195.60672268909"/>
    <n v="402365.85882352944"/>
    <n v="332.33"/>
    <n v="257"/>
    <n v="85408.81"/>
    <n v="785505.23553228797"/>
    <s v="REMISION ARGOS RPSM- 00336065  T1-224"/>
    <n v="702"/>
    <n v="561.6"/>
    <n v="5712033.6000000006"/>
    <x v="19"/>
    <m/>
  </r>
  <r>
    <m/>
    <x v="7"/>
    <x v="1"/>
    <m/>
    <x v="252"/>
    <x v="267"/>
    <n v="1"/>
    <n v="1"/>
    <n v="106085.12605042016"/>
    <n v="9"/>
    <n v="316268.57142857142"/>
    <n v="422353.69747899158"/>
    <n v="225"/>
    <n v="2.796999999999997"/>
    <n v="629.32499999999936"/>
    <n v="5787.9050457599942"/>
    <s v="T1-044"/>
    <n v="5.5939999999999941"/>
    <n v="4.4751999999999956"/>
    <n v="45517.259199999957"/>
    <x v="19"/>
    <m/>
  </r>
  <r>
    <m/>
    <x v="7"/>
    <x v="1"/>
    <m/>
    <x v="252"/>
    <x v="268"/>
    <n v="1"/>
    <n v="2"/>
    <n v="212170.25210084033"/>
    <n v="12"/>
    <n v="190195.60672268909"/>
    <n v="402365.85882352944"/>
    <n v="333.55"/>
    <n v="257"/>
    <n v="85722.35"/>
    <n v="788388.86441728007"/>
    <s v="REMISION ARGOS RPSM- 00336065  T1-224"/>
    <n v="702"/>
    <n v="561.6"/>
    <n v="5712033.6000000006"/>
    <x v="19"/>
    <m/>
  </r>
  <r>
    <m/>
    <x v="7"/>
    <x v="1"/>
    <m/>
    <x v="253"/>
    <x v="269"/>
    <n v="1"/>
    <n v="1"/>
    <n v="106085.12605042016"/>
    <n v="9"/>
    <n v="316268.57142857142"/>
    <n v="422353.69747899158"/>
    <n v="225"/>
    <n v="2.65300000000002"/>
    <n v="596.9250000000045"/>
    <n v="5489.9220902400411"/>
    <s v="T1-045"/>
    <n v="5.30600000000004"/>
    <n v="4.2448000000000325"/>
    <n v="43173.86080000033"/>
    <x v="19"/>
    <m/>
  </r>
  <r>
    <m/>
    <x v="7"/>
    <x v="1"/>
    <m/>
    <x v="253"/>
    <x v="270"/>
    <n v="1"/>
    <n v="2"/>
    <n v="212170.25210084033"/>
    <n v="12"/>
    <n v="190195.60672268909"/>
    <n v="402365.85882352944"/>
    <n v="332.33"/>
    <n v="257"/>
    <n v="85408.81"/>
    <n v="785505.23553228797"/>
    <s v="REMISION ARGOS RPSM- 00336065  T1-224"/>
    <n v="702"/>
    <n v="561.6"/>
    <n v="5712033.6000000006"/>
    <x v="19"/>
    <m/>
  </r>
  <r>
    <m/>
    <x v="7"/>
    <x v="1"/>
    <m/>
    <x v="254"/>
    <x v="271"/>
    <n v="1"/>
    <n v="1"/>
    <n v="106085.12605042016"/>
    <n v="9"/>
    <n v="316268.57142857142"/>
    <n v="422353.69747899158"/>
    <n v="225"/>
    <n v="2.65300000000002"/>
    <n v="596.9250000000045"/>
    <n v="5489.9220902400411"/>
    <s v="T1-046"/>
    <n v="5.30600000000004"/>
    <n v="4.2448000000000325"/>
    <n v="43173.86080000033"/>
    <x v="19"/>
    <m/>
  </r>
  <r>
    <m/>
    <x v="7"/>
    <x v="1"/>
    <m/>
    <x v="254"/>
    <x v="272"/>
    <n v="1"/>
    <n v="2"/>
    <n v="212170.25210084033"/>
    <n v="12"/>
    <n v="190195.60672268909"/>
    <n v="402365.85882352944"/>
    <n v="332.33"/>
    <n v="257"/>
    <n v="85408.81"/>
    <n v="785505.23553228797"/>
    <s v="REMISION ARGOS RPSM- 00336065  T1-224"/>
    <n v="702"/>
    <n v="561.6"/>
    <n v="5712033.6000000006"/>
    <x v="19"/>
    <m/>
  </r>
  <r>
    <m/>
    <x v="7"/>
    <x v="1"/>
    <m/>
    <x v="255"/>
    <x v="273"/>
    <n v="2"/>
    <n v="2"/>
    <n v="424340.50420168065"/>
    <n v="12"/>
    <n v="380391.21344537818"/>
    <n v="804731.71764705889"/>
    <n v="333.55"/>
    <n v="257"/>
    <n v="85722.35"/>
    <n v="788388.86441728007"/>
    <s v="REMISION ARGOS RPSM- 00336065  T1-224"/>
    <n v="702"/>
    <n v="561.6"/>
    <n v="5712033.6000000006"/>
    <x v="19"/>
    <m/>
  </r>
  <r>
    <m/>
    <x v="7"/>
    <x v="1"/>
    <m/>
    <x v="256"/>
    <x v="274"/>
    <n v="1"/>
    <n v="1"/>
    <n v="106085.12605042016"/>
    <n v="6"/>
    <n v="210845.71428571429"/>
    <n v="316930.84033613442"/>
    <n v="50"/>
    <n v="10.043000000000006"/>
    <n v="502.15000000000032"/>
    <n v="4618.2759603200029"/>
    <s v="T1-047"/>
    <n v="20.086000000000013"/>
    <n v="16.06880000000001"/>
    <n v="163435.76480000009"/>
    <x v="19"/>
    <m/>
  </r>
  <r>
    <m/>
    <x v="7"/>
    <x v="1"/>
    <m/>
    <x v="256"/>
    <x v="274"/>
    <m/>
    <m/>
    <m/>
    <m/>
    <m/>
    <m/>
    <n v="150"/>
    <n v="14.650000000000006"/>
    <n v="2197.5000000000009"/>
    <n v="20210.41804800001"/>
    <m/>
    <n v="29.300000000000011"/>
    <n v="23.440000000000012"/>
    <n v="238408.24000000011"/>
    <x v="19"/>
    <m/>
  </r>
  <r>
    <m/>
    <x v="7"/>
    <x v="1"/>
    <m/>
    <x v="256"/>
    <x v="275"/>
    <n v="1"/>
    <n v="2"/>
    <n v="212170.25210084033"/>
    <n v="12"/>
    <n v="190195.60672268909"/>
    <n v="402365.85882352944"/>
    <n v="332.33"/>
    <n v="257"/>
    <n v="85408.81"/>
    <n v="785505.23553228797"/>
    <s v="REMISION ARGOS RPSM- 00336065  T1-224"/>
    <n v="702"/>
    <n v="561.6"/>
    <n v="5712033.6000000006"/>
    <x v="19"/>
    <m/>
  </r>
  <r>
    <m/>
    <x v="7"/>
    <x v="1"/>
    <m/>
    <x v="257"/>
    <x v="276"/>
    <n v="1"/>
    <n v="1"/>
    <n v="106085.12605042016"/>
    <n v="6"/>
    <n v="210845.71428571429"/>
    <n v="316930.84033613442"/>
    <n v="150"/>
    <n v="6.1630000000000109"/>
    <n v="924.45000000000164"/>
    <n v="8502.171087360015"/>
    <s v="T1-048"/>
    <n v="12.326000000000022"/>
    <n v="9.8608000000000189"/>
    <n v="100294.19680000019"/>
    <x v="19"/>
    <m/>
  </r>
  <r>
    <m/>
    <x v="7"/>
    <x v="1"/>
    <m/>
    <x v="257"/>
    <x v="276"/>
    <m/>
    <m/>
    <m/>
    <m/>
    <m/>
    <m/>
    <n v="150"/>
    <n v="6.1630000000000109"/>
    <n v="924.45000000000164"/>
    <n v="8502.171087360015"/>
    <m/>
    <n v="12.326000000000022"/>
    <n v="9.8608000000000189"/>
    <n v="100294.19680000019"/>
    <x v="19"/>
    <m/>
  </r>
  <r>
    <m/>
    <x v="7"/>
    <x v="1"/>
    <m/>
    <x v="257"/>
    <x v="277"/>
    <n v="1"/>
    <n v="2"/>
    <n v="212170.25210084033"/>
    <n v="12"/>
    <n v="190195.60672268909"/>
    <n v="402365.85882352944"/>
    <n v="332.32"/>
    <n v="257"/>
    <n v="85406.24"/>
    <n v="785481.59922995209"/>
    <s v="REMISION ARGOS RPSM- 00336065  T1-224"/>
    <n v="702"/>
    <n v="561.6"/>
    <n v="5712033.6000000006"/>
    <x v="19"/>
    <m/>
  </r>
  <r>
    <m/>
    <x v="8"/>
    <x v="1"/>
    <m/>
    <x v="258"/>
    <x v="278"/>
    <n v="1"/>
    <n v="1"/>
    <n v="342854.87394957984"/>
    <n v="6"/>
    <n v="360103.52941176476"/>
    <n v="702958.40336134459"/>
    <n v="150"/>
    <n v="6.4159999999999968"/>
    <n v="962.39999999999952"/>
    <n v="8851.1974195199964"/>
    <s v="T1-49"/>
    <n v="12.831999999999994"/>
    <n v="10.265599999999996"/>
    <n v="104411.41759999996"/>
    <x v="20"/>
    <m/>
  </r>
  <r>
    <m/>
    <x v="8"/>
    <x v="1"/>
    <m/>
    <x v="258"/>
    <x v="278"/>
    <m/>
    <m/>
    <m/>
    <m/>
    <m/>
    <m/>
    <n v="150"/>
    <n v="9.3259999999999934"/>
    <n v="1398.899999999999"/>
    <n v="12865.69001471999"/>
    <m/>
    <n v="18.651999999999987"/>
    <n v="14.921599999999991"/>
    <n v="151767.59359999991"/>
    <x v="20"/>
    <m/>
  </r>
  <r>
    <m/>
    <x v="8"/>
    <x v="1"/>
    <m/>
    <x v="258"/>
    <x v="279"/>
    <n v="1"/>
    <n v="2"/>
    <n v="685709.74789915967"/>
    <n v="12"/>
    <n v="324881.87563025206"/>
    <n v="1010591.6235294117"/>
    <n v="332.33"/>
    <n v="257"/>
    <n v="85408.81"/>
    <n v="785505.23553228797"/>
    <s v="REMISION ARGOS RPSM- 00338473  T1-235"/>
    <n v="702"/>
    <n v="561.6"/>
    <n v="5712033.6000000006"/>
    <x v="20"/>
    <m/>
  </r>
  <r>
    <m/>
    <x v="8"/>
    <x v="1"/>
    <m/>
    <x v="259"/>
    <x v="280"/>
    <n v="1"/>
    <n v="1"/>
    <n v="342854.87394957984"/>
    <n v="6"/>
    <n v="360103.52941176476"/>
    <n v="702958.40336134459"/>
    <n v="150"/>
    <n v="2.9799999999999898"/>
    <n v="446.99999999999847"/>
    <n v="4111.061145599986"/>
    <s v="T1-50"/>
    <n v="5.9599999999999795"/>
    <n v="4.7679999999999838"/>
    <n v="48495.327999999834"/>
    <x v="20"/>
    <m/>
  </r>
  <r>
    <m/>
    <x v="8"/>
    <x v="1"/>
    <m/>
    <x v="259"/>
    <x v="280"/>
    <m/>
    <m/>
    <m/>
    <m/>
    <m/>
    <m/>
    <n v="150"/>
    <n v="10.246000000000009"/>
    <n v="1536.9000000000015"/>
    <n v="14134.876677120013"/>
    <m/>
    <n v="20.492000000000019"/>
    <n v="16.393600000000017"/>
    <n v="166739.30560000017"/>
    <x v="20"/>
    <m/>
  </r>
  <r>
    <m/>
    <x v="8"/>
    <x v="1"/>
    <m/>
    <x v="259"/>
    <x v="280"/>
    <m/>
    <m/>
    <m/>
    <m/>
    <m/>
    <m/>
    <n v="150"/>
    <n v="10.078000000000003"/>
    <n v="1511.7000000000005"/>
    <n v="13903.112156160005"/>
    <m/>
    <n v="20.156000000000006"/>
    <n v="16.124800000000004"/>
    <n v="164005.34080000003"/>
    <x v="20"/>
    <m/>
  </r>
  <r>
    <m/>
    <x v="8"/>
    <x v="1"/>
    <m/>
    <x v="259"/>
    <x v="281"/>
    <n v="1"/>
    <n v="2"/>
    <n v="685709.74789915967"/>
    <n v="12"/>
    <n v="324881.87563025206"/>
    <n v="1010591.6235294117"/>
    <n v="330.33"/>
    <n v="257"/>
    <n v="84894.81"/>
    <n v="780777.97506508802"/>
    <s v="REMISION ARGOS RPSM- 00338643  T1-236"/>
    <n v="702"/>
    <n v="561.6"/>
    <n v="5712033.6000000006"/>
    <x v="20"/>
    <m/>
  </r>
  <r>
    <m/>
    <x v="8"/>
    <x v="1"/>
    <m/>
    <x v="260"/>
    <x v="282"/>
    <n v="1"/>
    <n v="1"/>
    <n v="342854.87394957984"/>
    <n v="6"/>
    <n v="360103.52941176476"/>
    <n v="702958.40336134459"/>
    <n v="150"/>
    <n v="2.8499999999999943"/>
    <n v="427.49999999999915"/>
    <n v="3931.7195519999923"/>
    <s v="T1-51"/>
    <n v="5.6999999999999886"/>
    <n v="4.5599999999999907"/>
    <n v="46379.759999999907"/>
    <x v="20"/>
    <m/>
  </r>
  <r>
    <m/>
    <x v="8"/>
    <x v="1"/>
    <m/>
    <x v="260"/>
    <x v="282"/>
    <m/>
    <m/>
    <m/>
    <m/>
    <m/>
    <m/>
    <n v="150"/>
    <n v="9.9099999999999966"/>
    <n v="1486.4999999999995"/>
    <n v="13671.347635199996"/>
    <m/>
    <n v="19.819999999999993"/>
    <n v="15.855999999999995"/>
    <n v="161271.37599999993"/>
    <x v="20"/>
    <m/>
  </r>
  <r>
    <m/>
    <x v="8"/>
    <x v="1"/>
    <m/>
    <x v="260"/>
    <x v="283"/>
    <n v="1"/>
    <n v="2"/>
    <n v="685709.74789915967"/>
    <n v="12"/>
    <n v="324881.87563025206"/>
    <n v="1010591.6235294117"/>
    <n v="332.33"/>
    <n v="257"/>
    <n v="85408.81"/>
    <n v="785505.23553228797"/>
    <s v="REMISION ARGOS RPSM- 00338764  T1-237"/>
    <n v="702"/>
    <n v="561.6"/>
    <n v="5712033.6000000006"/>
    <x v="20"/>
    <m/>
  </r>
  <r>
    <m/>
    <x v="8"/>
    <x v="1"/>
    <m/>
    <x v="261"/>
    <x v="284"/>
    <n v="1"/>
    <n v="1"/>
    <n v="342854.87394957984"/>
    <n v="6"/>
    <n v="360103.52941176476"/>
    <n v="702958.40336134459"/>
    <n v="150"/>
    <n v="15.53400000000002"/>
    <n v="2330.1000000000031"/>
    <n v="21429.940884480027"/>
    <s v="  T1-52"/>
    <n v="31.06800000000004"/>
    <n v="24.854400000000034"/>
    <n v="252794.10240000035"/>
    <x v="20"/>
    <m/>
  </r>
  <r>
    <m/>
    <x v="8"/>
    <x v="1"/>
    <m/>
    <x v="261"/>
    <x v="285"/>
    <n v="1"/>
    <n v="2"/>
    <n v="685709.74789915967"/>
    <n v="14"/>
    <n v="379028.85490196076"/>
    <n v="1064738.6028011204"/>
    <n v="388.33"/>
    <n v="257"/>
    <n v="99800.81"/>
    <n v="917868.52861388796"/>
    <s v="REMISION ARGOS RPSM- 00338830  T1-238"/>
    <n v="702"/>
    <n v="561.6"/>
    <n v="5712033.6000000006"/>
    <x v="20"/>
    <m/>
  </r>
  <r>
    <m/>
    <x v="8"/>
    <x v="1"/>
    <m/>
    <x v="262"/>
    <x v="286"/>
    <n v="2"/>
    <n v="2"/>
    <n v="1371419.4957983193"/>
    <n v="13"/>
    <n v="703910.73053221288"/>
    <n v="2075330.2263305322"/>
    <n v="360.33"/>
    <n v="257"/>
    <n v="92604.81"/>
    <n v="851686.88207308797"/>
    <s v="REMISION ARGOS RPSM- 00339210  T1-239"/>
    <n v="702"/>
    <n v="561.6"/>
    <n v="5712033.6000000006"/>
    <x v="20"/>
    <m/>
  </r>
  <r>
    <m/>
    <x v="8"/>
    <x v="1"/>
    <m/>
    <x v="263"/>
    <x v="287"/>
    <n v="1"/>
    <n v="1"/>
    <n v="342854.87394957984"/>
    <n v="5"/>
    <n v="300086.27450980397"/>
    <n v="642941.14845938375"/>
    <n v="125"/>
    <n v="3.6080000000000041"/>
    <n v="451.00000000000051"/>
    <n v="4147.8491648000045"/>
    <s v="T1-53"/>
    <n v="7.2160000000000082"/>
    <n v="5.7728000000000073"/>
    <n v="58715.148800000075"/>
    <x v="20"/>
    <m/>
  </r>
  <r>
    <m/>
    <x v="8"/>
    <x v="1"/>
    <m/>
    <x v="263"/>
    <x v="288"/>
    <n v="1"/>
    <n v="2"/>
    <n v="685709.74789915967"/>
    <n v="12"/>
    <n v="324881.87563025206"/>
    <n v="1010591.6235294117"/>
    <n v="331.1"/>
    <n v="257"/>
    <n v="85092.700000000012"/>
    <n v="782597.97034496011"/>
    <s v="REMISION ARGOS RPSM- 00339450  T1-240"/>
    <n v="702"/>
    <n v="561.6"/>
    <n v="5712033.6000000006"/>
    <x v="20"/>
    <m/>
  </r>
  <r>
    <m/>
    <x v="8"/>
    <x v="1"/>
    <m/>
    <x v="264"/>
    <x v="289"/>
    <n v="1"/>
    <n v="1"/>
    <n v="342854.87394957984"/>
    <n v="5"/>
    <n v="300086.27450980397"/>
    <n v="642941.14845938375"/>
    <n v="125"/>
    <n v="15.544000000000011"/>
    <n v="1943.0000000000014"/>
    <n v="17869.780326400014"/>
    <s v="T1-54"/>
    <n v="31.088000000000022"/>
    <n v="24.870400000000018"/>
    <n v="252956.83840000018"/>
    <x v="20"/>
    <m/>
  </r>
  <r>
    <m/>
    <x v="8"/>
    <x v="1"/>
    <m/>
    <x v="264"/>
    <x v="290"/>
    <n v="1"/>
    <n v="2"/>
    <n v="685709.74789915967"/>
    <n v="12"/>
    <n v="324881.87563025206"/>
    <n v="1010591.6235294117"/>
    <n v="331.1"/>
    <n v="257"/>
    <n v="85092.700000000012"/>
    <n v="782597.97034496011"/>
    <s v="REMISION ARGOS RPSM- 00339608  T1-241"/>
    <n v="702"/>
    <n v="561.6"/>
    <n v="5712033.6000000006"/>
    <x v="20"/>
    <m/>
  </r>
  <r>
    <m/>
    <x v="8"/>
    <x v="1"/>
    <m/>
    <x v="265"/>
    <x v="291"/>
    <n v="2"/>
    <n v="2"/>
    <n v="1371419.4957983193"/>
    <n v="12"/>
    <n v="649763.75126050413"/>
    <n v="2021183.2470588235"/>
    <n v="332.3"/>
    <n v="257"/>
    <n v="85401.1"/>
    <n v="785434.32662528008"/>
    <s v="REMISION ARGOS RPSM- 00336632  T1-242"/>
    <n v="702"/>
    <n v="561.6"/>
    <n v="5712033.6000000006"/>
    <x v="20"/>
    <m/>
  </r>
  <r>
    <m/>
    <x v="8"/>
    <x v="1"/>
    <m/>
    <x v="266"/>
    <x v="292"/>
    <n v="1"/>
    <n v="1"/>
    <n v="342854.87394957984"/>
    <n v="6"/>
    <n v="360103.52941176476"/>
    <n v="702958.40336134459"/>
    <n v="150"/>
    <n v="6.8700000000000045"/>
    <n v="1030.5000000000007"/>
    <n v="9477.5134464000057"/>
    <s v="T1-55"/>
    <n v="13.740000000000009"/>
    <n v="10.992000000000008"/>
    <n v="111799.63200000009"/>
    <x v="2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22D7A7-23B5-4975-82F0-7C8BF1CA0332}" name="TablaDinámica1" cacheId="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
  <location ref="A2:C21" firstHeaderRow="0" firstDataRow="1" firstDataCol="1"/>
  <pivotFields count="21">
    <pivotField axis="axisRow" showAll="0">
      <items count="5">
        <item h="1" x="0"/>
        <item h="1" x="1"/>
        <item x="2"/>
        <item h="1" x="3"/>
        <item t="default"/>
      </items>
    </pivotField>
    <pivotField axis="axisRow" showAll="0">
      <items count="13">
        <item x="8"/>
        <item x="9"/>
        <item x="10"/>
        <item x="11"/>
        <item x="0"/>
        <item x="1"/>
        <item x="2"/>
        <item x="3"/>
        <item x="4"/>
        <item x="5"/>
        <item x="6"/>
        <item x="7"/>
        <item t="default"/>
      </items>
    </pivotField>
    <pivotField numFmtId="15"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numFmtId="44" showAll="0"/>
    <pivotField showAll="0"/>
  </pivotFields>
  <rowFields count="2">
    <field x="1"/>
    <field x="0"/>
  </rowFields>
  <rowItems count="19">
    <i>
      <x/>
    </i>
    <i r="1">
      <x v="2"/>
    </i>
    <i>
      <x v="1"/>
    </i>
    <i r="1">
      <x v="2"/>
    </i>
    <i>
      <x v="2"/>
    </i>
    <i r="1">
      <x v="2"/>
    </i>
    <i>
      <x v="3"/>
    </i>
    <i r="1">
      <x v="2"/>
    </i>
    <i>
      <x v="4"/>
    </i>
    <i r="1">
      <x v="2"/>
    </i>
    <i>
      <x v="5"/>
    </i>
    <i r="1">
      <x v="2"/>
    </i>
    <i>
      <x v="6"/>
    </i>
    <i r="1">
      <x v="2"/>
    </i>
    <i>
      <x v="7"/>
    </i>
    <i r="1">
      <x v="2"/>
    </i>
    <i>
      <x v="8"/>
    </i>
    <i r="1">
      <x v="2"/>
    </i>
    <i t="grand">
      <x/>
    </i>
  </rowItems>
  <colFields count="1">
    <field x="-2"/>
  </colFields>
  <colItems count="2">
    <i>
      <x/>
    </i>
    <i i="1">
      <x v="1"/>
    </i>
  </colItems>
  <dataFields count="2">
    <dataField name="Suma de Valor a Consignar a la ANI" fld="14" baseField="0" baseItem="0" numFmtId="164"/>
    <dataField name="Suma de Valor Pagado" fld="15" baseField="0" baseItem="0"/>
  </dataFields>
  <formats count="1">
    <format dxfId="199">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3E314C-C030-4211-9D8D-B0FA3770CAD3}" name="TablaDinámica2" cacheId="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9">
  <location ref="F2:H11" firstHeaderRow="0" firstDataRow="1" firstDataCol="1"/>
  <pivotFields count="21">
    <pivotField axis="axisRow" showAll="0">
      <items count="5">
        <item h="1" x="0"/>
        <item h="1" x="1"/>
        <item x="2"/>
        <item h="1" x="3"/>
        <item t="default"/>
      </items>
    </pivotField>
    <pivotField showAll="0"/>
    <pivotField numFmtId="15" showAll="0"/>
    <pivotField showAll="0"/>
    <pivotField showAll="0"/>
    <pivotField showAll="0"/>
    <pivotField showAll="0"/>
    <pivotField axis="axisRow" showAll="0">
      <items count="7">
        <item x="2"/>
        <item x="1"/>
        <item x="3"/>
        <item x="0"/>
        <item x="4"/>
        <item x="5"/>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numFmtId="44" showAll="0"/>
    <pivotField showAll="0"/>
  </pivotFields>
  <rowFields count="2">
    <field x="7"/>
    <field x="0"/>
  </rowFields>
  <rowItems count="9">
    <i>
      <x/>
    </i>
    <i r="1">
      <x v="2"/>
    </i>
    <i>
      <x v="2"/>
    </i>
    <i r="1">
      <x v="2"/>
    </i>
    <i>
      <x v="4"/>
    </i>
    <i r="1">
      <x v="2"/>
    </i>
    <i>
      <x v="5"/>
    </i>
    <i r="1">
      <x v="2"/>
    </i>
    <i t="grand">
      <x/>
    </i>
  </rowItems>
  <colFields count="1">
    <field x="-2"/>
  </colFields>
  <colItems count="2">
    <i>
      <x/>
    </i>
    <i i="1">
      <x v="1"/>
    </i>
  </colItems>
  <dataFields count="2">
    <dataField name="Suma de Valor a Consignar a la ANI" fld="14" baseField="0" baseItem="0"/>
    <dataField name="Suma de Valor Pagado" fld="15" baseField="0" baseItem="0"/>
  </dataFields>
  <formats count="2">
    <format dxfId="201">
      <pivotArea outline="0" collapsedLevelsAreSubtotals="1" fieldPosition="0"/>
    </format>
    <format dxfId="200">
      <pivotArea dataOnly="0" labelOnly="1" outline="0" fieldPosition="0">
        <references count="1">
          <reference field="4294967294" count="2">
            <x v="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B3A404-58A3-40B6-BBA1-97F31E4FAF9B}" name="TablaDinámica5" cacheId="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K2:L45" firstHeaderRow="1" firstDataRow="1" firstDataCol="1"/>
  <pivotFields count="21">
    <pivotField axis="axisRow" showAll="0">
      <items count="5">
        <item x="0"/>
        <item x="1"/>
        <item x="2"/>
        <item x="3"/>
        <item t="default"/>
      </items>
    </pivotField>
    <pivotField axis="axisRow" showAll="0">
      <items count="13">
        <item x="8"/>
        <item x="9"/>
        <item x="10"/>
        <item x="11"/>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44" showAll="0"/>
    <pivotField showAll="0"/>
  </pivotFields>
  <rowFields count="2">
    <field x="1"/>
    <field x="0"/>
  </rowFields>
  <rowItems count="43">
    <i>
      <x/>
    </i>
    <i r="1">
      <x v="1"/>
    </i>
    <i r="1">
      <x v="2"/>
    </i>
    <i r="1">
      <x v="3"/>
    </i>
    <i>
      <x v="1"/>
    </i>
    <i r="1">
      <x v="1"/>
    </i>
    <i r="1">
      <x v="2"/>
    </i>
    <i>
      <x v="2"/>
    </i>
    <i r="1">
      <x v="1"/>
    </i>
    <i r="1">
      <x v="2"/>
    </i>
    <i>
      <x v="3"/>
    </i>
    <i r="1">
      <x v="1"/>
    </i>
    <i r="1">
      <x v="2"/>
    </i>
    <i>
      <x v="4"/>
    </i>
    <i r="1">
      <x/>
    </i>
    <i r="1">
      <x v="1"/>
    </i>
    <i r="1">
      <x v="2"/>
    </i>
    <i>
      <x v="5"/>
    </i>
    <i r="1">
      <x/>
    </i>
    <i r="1">
      <x v="1"/>
    </i>
    <i r="1">
      <x v="2"/>
    </i>
    <i>
      <x v="6"/>
    </i>
    <i r="1">
      <x/>
    </i>
    <i r="1">
      <x v="1"/>
    </i>
    <i r="1">
      <x v="2"/>
    </i>
    <i>
      <x v="7"/>
    </i>
    <i r="1">
      <x/>
    </i>
    <i r="1">
      <x v="1"/>
    </i>
    <i r="1">
      <x v="2"/>
    </i>
    <i>
      <x v="8"/>
    </i>
    <i r="1">
      <x/>
    </i>
    <i r="1">
      <x v="1"/>
    </i>
    <i r="1">
      <x v="2"/>
    </i>
    <i>
      <x v="9"/>
    </i>
    <i r="1">
      <x/>
    </i>
    <i r="1">
      <x v="1"/>
    </i>
    <i>
      <x v="10"/>
    </i>
    <i r="1">
      <x/>
    </i>
    <i r="1">
      <x v="1"/>
    </i>
    <i>
      <x v="11"/>
    </i>
    <i r="1">
      <x/>
    </i>
    <i r="1">
      <x v="1"/>
    </i>
    <i t="grand">
      <x/>
    </i>
  </rowItems>
  <colItems count="1">
    <i/>
  </colItems>
  <dataFields count="1">
    <dataField name="Suma de Valor Pagado" fld="15" baseField="0" baseItem="0"/>
  </dataFields>
  <formats count="18">
    <format dxfId="219">
      <pivotArea type="all" dataOnly="0" outline="0" fieldPosition="0"/>
    </format>
    <format dxfId="218">
      <pivotArea outline="0" collapsedLevelsAreSubtotals="1" fieldPosition="0"/>
    </format>
    <format dxfId="217">
      <pivotArea field="1" type="button" dataOnly="0" labelOnly="1" outline="0" axis="axisRow" fieldPosition="0"/>
    </format>
    <format dxfId="216">
      <pivotArea dataOnly="0" labelOnly="1" fieldPosition="0">
        <references count="1">
          <reference field="1" count="0"/>
        </references>
      </pivotArea>
    </format>
    <format dxfId="215">
      <pivotArea dataOnly="0" labelOnly="1" grandRow="1" outline="0" fieldPosition="0"/>
    </format>
    <format dxfId="214">
      <pivotArea dataOnly="0" labelOnly="1" fieldPosition="0">
        <references count="2">
          <reference field="0" count="2">
            <x v="1"/>
            <x v="2"/>
          </reference>
          <reference field="1" count="1" selected="0">
            <x v="0"/>
          </reference>
        </references>
      </pivotArea>
    </format>
    <format dxfId="213">
      <pivotArea dataOnly="0" labelOnly="1" fieldPosition="0">
        <references count="2">
          <reference field="0" count="1">
            <x v="1"/>
          </reference>
          <reference field="1" count="1" selected="0">
            <x v="1"/>
          </reference>
        </references>
      </pivotArea>
    </format>
    <format dxfId="212">
      <pivotArea dataOnly="0" labelOnly="1" fieldPosition="0">
        <references count="2">
          <reference field="0" count="1">
            <x v="1"/>
          </reference>
          <reference field="1" count="1" selected="0">
            <x v="2"/>
          </reference>
        </references>
      </pivotArea>
    </format>
    <format dxfId="211">
      <pivotArea dataOnly="0" labelOnly="1" fieldPosition="0">
        <references count="2">
          <reference field="0" count="1">
            <x v="1"/>
          </reference>
          <reference field="1" count="1" selected="0">
            <x v="3"/>
          </reference>
        </references>
      </pivotArea>
    </format>
    <format dxfId="210">
      <pivotArea dataOnly="0" labelOnly="1" fieldPosition="0">
        <references count="2">
          <reference field="0" count="2">
            <x v="0"/>
            <x v="1"/>
          </reference>
          <reference field="1" count="1" selected="0">
            <x v="4"/>
          </reference>
        </references>
      </pivotArea>
    </format>
    <format dxfId="209">
      <pivotArea dataOnly="0" labelOnly="1" fieldPosition="0">
        <references count="2">
          <reference field="0" count="2">
            <x v="0"/>
            <x v="1"/>
          </reference>
          <reference field="1" count="1" selected="0">
            <x v="5"/>
          </reference>
        </references>
      </pivotArea>
    </format>
    <format dxfId="208">
      <pivotArea dataOnly="0" labelOnly="1" fieldPosition="0">
        <references count="2">
          <reference field="0" count="2">
            <x v="0"/>
            <x v="1"/>
          </reference>
          <reference field="1" count="1" selected="0">
            <x v="6"/>
          </reference>
        </references>
      </pivotArea>
    </format>
    <format dxfId="207">
      <pivotArea dataOnly="0" labelOnly="1" fieldPosition="0">
        <references count="2">
          <reference field="0" count="2">
            <x v="0"/>
            <x v="1"/>
          </reference>
          <reference field="1" count="1" selected="0">
            <x v="7"/>
          </reference>
        </references>
      </pivotArea>
    </format>
    <format dxfId="206">
      <pivotArea dataOnly="0" labelOnly="1" fieldPosition="0">
        <references count="2">
          <reference field="0" count="2">
            <x v="0"/>
            <x v="1"/>
          </reference>
          <reference field="1" count="1" selected="0">
            <x v="8"/>
          </reference>
        </references>
      </pivotArea>
    </format>
    <format dxfId="205">
      <pivotArea dataOnly="0" labelOnly="1" fieldPosition="0">
        <references count="2">
          <reference field="0" count="2">
            <x v="0"/>
            <x v="1"/>
          </reference>
          <reference field="1" count="1" selected="0">
            <x v="9"/>
          </reference>
        </references>
      </pivotArea>
    </format>
    <format dxfId="204">
      <pivotArea dataOnly="0" labelOnly="1" fieldPosition="0">
        <references count="2">
          <reference field="0" count="2">
            <x v="0"/>
            <x v="1"/>
          </reference>
          <reference field="1" count="1" selected="0">
            <x v="10"/>
          </reference>
        </references>
      </pivotArea>
    </format>
    <format dxfId="203">
      <pivotArea dataOnly="0" labelOnly="1" fieldPosition="0">
        <references count="2">
          <reference field="0" count="2">
            <x v="0"/>
            <x v="1"/>
          </reference>
          <reference field="1" count="1" selected="0">
            <x v="11"/>
          </reference>
        </references>
      </pivotArea>
    </format>
    <format dxfId="20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0FDCA4-5018-4BC6-B259-EAA32DEAFFCA}" name="TablaDinámica1"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
  <location ref="A3:C10" firstHeaderRow="0" firstDataRow="1" firstDataCol="1"/>
  <pivotFields count="20">
    <pivotField axis="axisRow" showAll="0">
      <items count="4">
        <item x="0"/>
        <item x="1"/>
        <item x="2"/>
        <item t="default"/>
      </items>
    </pivotField>
    <pivotField showAll="0"/>
    <pivotField numFmtId="15" showAll="0"/>
    <pivotField showAll="0"/>
    <pivotField showAll="0"/>
    <pivotField axis="axisRow" showAll="0">
      <items count="2">
        <item x="0"/>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numFmtId="44" showAll="0"/>
  </pivotFields>
  <rowFields count="2">
    <field x="0"/>
    <field x="5"/>
  </rowFields>
  <rowItems count="7">
    <i>
      <x/>
    </i>
    <i r="1">
      <x/>
    </i>
    <i>
      <x v="1"/>
    </i>
    <i r="1">
      <x/>
    </i>
    <i>
      <x v="2"/>
    </i>
    <i r="1">
      <x/>
    </i>
    <i t="grand">
      <x/>
    </i>
  </rowItems>
  <colFields count="1">
    <field x="-2"/>
  </colFields>
  <colItems count="2">
    <i>
      <x/>
    </i>
    <i i="1">
      <x v="1"/>
    </i>
  </colItems>
  <dataFields count="2">
    <dataField name="Suma de Valor a Consignar a la ANI" fld="13" baseField="0" baseItem="0"/>
    <dataField name="Suma de Valor Pagado" fld="15"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45B9D9-CCE6-4D4F-8E5C-8CC065588D9F}" name="TablaDinámica3"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F3:G27" firstHeaderRow="1" firstDataRow="1" firstDataCol="1"/>
  <pivotFields count="20">
    <pivotField axis="axisRow" showAll="0">
      <items count="4">
        <item x="0"/>
        <item x="1"/>
        <item x="2"/>
        <item t="default"/>
      </items>
    </pivotField>
    <pivotField axis="axisRow" showAll="0">
      <items count="13">
        <item x="7"/>
        <item x="8"/>
        <item x="9"/>
        <item x="10"/>
        <item x="11"/>
        <item x="0"/>
        <item x="1"/>
        <item x="2"/>
        <item x="3"/>
        <item x="4"/>
        <item x="5"/>
        <item x="6"/>
        <item t="default"/>
      </items>
    </pivotField>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44" showAll="0"/>
  </pivotFields>
  <rowFields count="2">
    <field x="0"/>
    <field x="1"/>
  </rowFields>
  <rowItems count="24">
    <i>
      <x/>
    </i>
    <i r="1">
      <x v="5"/>
    </i>
    <i r="1">
      <x v="6"/>
    </i>
    <i r="1">
      <x v="7"/>
    </i>
    <i r="1">
      <x v="8"/>
    </i>
    <i r="1">
      <x v="9"/>
    </i>
    <i r="1">
      <x v="10"/>
    </i>
    <i r="1">
      <x v="11"/>
    </i>
    <i>
      <x v="1"/>
    </i>
    <i r="1">
      <x/>
    </i>
    <i r="1">
      <x v="1"/>
    </i>
    <i r="1">
      <x v="2"/>
    </i>
    <i r="1">
      <x v="3"/>
    </i>
    <i r="1">
      <x v="4"/>
    </i>
    <i r="1">
      <x v="5"/>
    </i>
    <i r="1">
      <x v="6"/>
    </i>
    <i r="1">
      <x v="7"/>
    </i>
    <i r="1">
      <x v="8"/>
    </i>
    <i r="1">
      <x v="9"/>
    </i>
    <i r="1">
      <x v="10"/>
    </i>
    <i r="1">
      <x v="11"/>
    </i>
    <i>
      <x v="2"/>
    </i>
    <i r="1">
      <x/>
    </i>
    <i t="grand">
      <x/>
    </i>
  </rowItems>
  <colItems count="1">
    <i/>
  </colItems>
  <dataFields count="1">
    <dataField name="Suma de Valor Pagado" fld="15" baseField="0" baseItem="0"/>
  </dataFields>
  <formats count="9">
    <format dxfId="197">
      <pivotArea type="all" dataOnly="0" outline="0" fieldPosition="0"/>
    </format>
    <format dxfId="196">
      <pivotArea outline="0" collapsedLevelsAreSubtotals="1" fieldPosition="0"/>
    </format>
    <format dxfId="195">
      <pivotArea field="0" type="button" dataOnly="0" labelOnly="1" outline="0" axis="axisRow" fieldPosition="0"/>
    </format>
    <format dxfId="194">
      <pivotArea dataOnly="0" labelOnly="1" fieldPosition="0">
        <references count="1">
          <reference field="0" count="0"/>
        </references>
      </pivotArea>
    </format>
    <format dxfId="193">
      <pivotArea dataOnly="0" labelOnly="1" grandRow="1" outline="0" fieldPosition="0"/>
    </format>
    <format dxfId="192">
      <pivotArea dataOnly="0" labelOnly="1" fieldPosition="0">
        <references count="2">
          <reference field="0" count="1" selected="0">
            <x v="0"/>
          </reference>
          <reference field="1" count="7">
            <x v="5"/>
            <x v="6"/>
            <x v="7"/>
            <x v="8"/>
            <x v="9"/>
            <x v="10"/>
            <x v="11"/>
          </reference>
        </references>
      </pivotArea>
    </format>
    <format dxfId="191">
      <pivotArea dataOnly="0" labelOnly="1" fieldPosition="0">
        <references count="2">
          <reference field="0" count="1" selected="0">
            <x v="1"/>
          </reference>
          <reference field="1" count="0"/>
        </references>
      </pivotArea>
    </format>
    <format dxfId="190">
      <pivotArea dataOnly="0" labelOnly="1" fieldPosition="0">
        <references count="2">
          <reference field="0" count="1" selected="0">
            <x v="2"/>
          </reference>
          <reference field="1" count="1">
            <x v="0"/>
          </reference>
        </references>
      </pivotArea>
    </format>
    <format dxfId="18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98285E-5D32-46BB-88B2-90D4BADFE914}" name="TablaDinámica2" cacheId="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29" firstHeaderRow="1" firstDataRow="1" firstDataCol="1"/>
  <pivotFields count="21">
    <pivotField showAll="0">
      <items count="4">
        <item x="0"/>
        <item x="1"/>
        <item x="2"/>
        <item t="default"/>
      </items>
    </pivotField>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4">
        <item x="0"/>
        <item x="1"/>
        <item x="2"/>
        <item t="default"/>
      </items>
    </pivotField>
    <pivotField axis="axisRow" showAll="0">
      <items count="22">
        <item m="1" x="16"/>
        <item m="1" x="17"/>
        <item m="1" x="18"/>
        <item m="1" x="19"/>
        <item m="1" x="11"/>
        <item m="1" x="12"/>
        <item m="1" x="13"/>
        <item m="1" x="20"/>
        <item m="1" x="14"/>
        <item m="1" x="15"/>
        <item x="5"/>
        <item x="6"/>
        <item x="7"/>
        <item x="8"/>
        <item x="0"/>
        <item x="1"/>
        <item x="2"/>
        <item x="9"/>
        <item x="3"/>
        <item x="4"/>
        <item h="1" x="10"/>
        <item t="default"/>
      </items>
    </pivotField>
    <pivotField showAll="0"/>
    <pivotField numFmtId="44" showAll="0"/>
  </pivotFields>
  <rowFields count="2">
    <field x="18"/>
    <field x="17"/>
  </rowFields>
  <rowItems count="26">
    <i>
      <x v="10"/>
    </i>
    <i r="1">
      <x v="1"/>
    </i>
    <i>
      <x v="11"/>
    </i>
    <i r="1">
      <x v="1"/>
    </i>
    <i>
      <x v="12"/>
    </i>
    <i r="1">
      <x v="1"/>
    </i>
    <i>
      <x v="13"/>
    </i>
    <i r="1">
      <x v="1"/>
    </i>
    <i>
      <x v="14"/>
    </i>
    <i r="1">
      <x/>
    </i>
    <i r="1">
      <x v="1"/>
    </i>
    <i>
      <x v="15"/>
    </i>
    <i r="1">
      <x/>
    </i>
    <i r="1">
      <x v="1"/>
    </i>
    <i>
      <x v="16"/>
    </i>
    <i r="1">
      <x/>
    </i>
    <i r="1">
      <x v="1"/>
    </i>
    <i>
      <x v="17"/>
    </i>
    <i r="1">
      <x v="1"/>
    </i>
    <i>
      <x v="18"/>
    </i>
    <i r="1">
      <x/>
    </i>
    <i r="1">
      <x v="1"/>
    </i>
    <i>
      <x v="19"/>
    </i>
    <i r="1">
      <x/>
    </i>
    <i r="1">
      <x v="1"/>
    </i>
    <i t="grand">
      <x/>
    </i>
  </rowItems>
  <colItems count="1">
    <i/>
  </colItems>
  <dataFields count="1">
    <dataField name="Suma de Valor Pagado"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F6F3E9-424A-489E-9DEC-9BA6EC6BBE65}" name="TablaDinámica6"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1">
  <location ref="X1:Y3" firstHeaderRow="1" firstDataRow="1" firstDataCol="1"/>
  <pivotFields count="26">
    <pivotField showAll="0"/>
    <pivotField axis="axisRow" showAll="0">
      <items count="13">
        <item h="1" x="0"/>
        <item h="1" x="1"/>
        <item h="1" x="2"/>
        <item h="1" x="3"/>
        <item h="1" x="4"/>
        <item h="1" x="5"/>
        <item h="1" x="6"/>
        <item h="1" x="7"/>
        <item x="8"/>
        <item h="1" x="9"/>
        <item h="1" x="10"/>
        <item h="1" x="11"/>
        <item t="default"/>
      </items>
    </pivotField>
    <pivotField showAll="0">
      <items count="3">
        <item h="1" x="0"/>
        <item x="1"/>
        <item t="default"/>
      </items>
    </pivotField>
    <pivotField showAll="0"/>
    <pivotField numFmtId="14" showAll="0">
      <items count="2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6"/>
        <item x="77"/>
        <item x="78"/>
        <item x="79"/>
        <item x="80"/>
        <item x="81"/>
        <item x="82"/>
        <item x="83"/>
        <item x="84"/>
        <item x="85"/>
        <item x="7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t="default"/>
      </items>
    </pivotField>
    <pivotField numFmtId="14" showAll="0">
      <items count="2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6"/>
        <item x="77"/>
        <item x="78"/>
        <item x="79"/>
        <item x="80"/>
        <item x="81"/>
        <item x="82"/>
        <item x="83"/>
        <item x="84"/>
        <item x="85"/>
        <item x="7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t="default"/>
      </items>
    </pivotField>
    <pivotField showAll="0"/>
    <pivotField showAll="0"/>
    <pivotField showAll="0"/>
    <pivotField showAll="0"/>
    <pivotField numFmtId="164" showAll="0"/>
    <pivotField numFmtId="164" showAll="0"/>
    <pivotField showAll="0"/>
    <pivotField showAll="0"/>
    <pivotField showAll="0"/>
    <pivotField dataField="1" numFmtId="164" showAll="0"/>
    <pivotField showAll="0"/>
    <pivotField showAll="0"/>
    <pivotField showAll="0"/>
    <pivotField numFmtId="164"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2">
    <i>
      <x v="8"/>
    </i>
    <i t="grand">
      <x/>
    </i>
  </rowItems>
  <colItems count="1">
    <i/>
  </colItems>
  <dataFields count="1">
    <dataField name="Suma de V/r Importe Uso de Vía" fld="15" baseField="0" baseItem="0"/>
  </dataFields>
  <chartFormats count="11">
    <chartFormat chart="4"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32" format="3"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A28A13-1FEC-4016-B77F-EFE1707EA2D1}" name="TablaDinámica4"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
  <location ref="P1:Q3" firstHeaderRow="1" firstDataRow="1" firstDataCol="1"/>
  <pivotFields count="26">
    <pivotField showAll="0"/>
    <pivotField axis="axisRow" showAll="0">
      <items count="13">
        <item h="1" x="0"/>
        <item h="1" x="1"/>
        <item h="1" x="2"/>
        <item h="1" x="3"/>
        <item h="1" x="4"/>
        <item h="1" x="5"/>
        <item h="1" x="6"/>
        <item h="1" x="7"/>
        <item x="8"/>
        <item h="1" x="9"/>
        <item h="1" x="10"/>
        <item h="1" x="11"/>
        <item t="default"/>
      </items>
    </pivotField>
    <pivotField showAll="0">
      <items count="3">
        <item h="1" x="0"/>
        <item x="1"/>
        <item t="default"/>
      </items>
    </pivotField>
    <pivotField showAll="0"/>
    <pivotField numFmtId="14" showAll="0">
      <items count="2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6"/>
        <item x="77"/>
        <item x="78"/>
        <item x="79"/>
        <item x="80"/>
        <item x="81"/>
        <item x="82"/>
        <item x="83"/>
        <item x="84"/>
        <item x="85"/>
        <item x="7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t="default"/>
      </items>
    </pivotField>
    <pivotField numFmtId="14" showAll="0">
      <items count="2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6"/>
        <item x="77"/>
        <item x="78"/>
        <item x="79"/>
        <item x="80"/>
        <item x="81"/>
        <item x="82"/>
        <item x="83"/>
        <item x="84"/>
        <item x="85"/>
        <item x="7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t="default"/>
      </items>
    </pivotField>
    <pivotField showAll="0"/>
    <pivotField showAll="0"/>
    <pivotField numFmtId="164" showAll="0"/>
    <pivotField showAll="0"/>
    <pivotField numFmtId="164" showAll="0"/>
    <pivotField numFmtId="164" showAll="0"/>
    <pivotField showAll="0"/>
    <pivotField dataField="1" showAll="0"/>
    <pivotField showAll="0"/>
    <pivotField numFmtId="164" showAll="0"/>
    <pivotField showAll="0"/>
    <pivotField showAll="0"/>
    <pivotField showAll="0"/>
    <pivotField numFmtId="164"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2">
    <i>
      <x v="8"/>
    </i>
    <i t="grand">
      <x/>
    </i>
  </rowItems>
  <colItems count="1">
    <i/>
  </colItems>
  <dataFields count="1">
    <dataField name="Suma de Km recorridos" fld="1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B3CE8F-4CFA-4C99-B307-B3424411AEC5}" name="TablaDinámica3"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7">
  <location ref="K1:M3" firstHeaderRow="0" firstDataRow="1" firstDataCol="1"/>
  <pivotFields count="26">
    <pivotField showAll="0"/>
    <pivotField axis="axisRow" showAll="0">
      <items count="13">
        <item h="1" x="0"/>
        <item h="1" x="1"/>
        <item h="1" x="2"/>
        <item h="1" x="3"/>
        <item h="1" x="4"/>
        <item h="1" x="5"/>
        <item h="1" x="6"/>
        <item h="1" x="7"/>
        <item x="8"/>
        <item h="1" x="9"/>
        <item h="1" x="10"/>
        <item h="1" x="11"/>
        <item t="default"/>
      </items>
    </pivotField>
    <pivotField showAll="0">
      <items count="3">
        <item h="1" x="0"/>
        <item x="1"/>
        <item t="default"/>
      </items>
    </pivotField>
    <pivotField showAll="0"/>
    <pivotField numFmtId="14" showAll="0">
      <items count="2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6"/>
        <item x="77"/>
        <item x="78"/>
        <item x="79"/>
        <item x="80"/>
        <item x="81"/>
        <item x="82"/>
        <item x="83"/>
        <item x="84"/>
        <item x="85"/>
        <item x="7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t="default"/>
      </items>
    </pivotField>
    <pivotField numFmtId="14" showAll="0">
      <items count="2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6"/>
        <item x="77"/>
        <item x="78"/>
        <item x="79"/>
        <item x="80"/>
        <item x="81"/>
        <item x="82"/>
        <item x="83"/>
        <item x="84"/>
        <item x="85"/>
        <item x="7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t="default"/>
      </items>
    </pivotField>
    <pivotField showAll="0"/>
    <pivotField showAll="0"/>
    <pivotField dataField="1" numFmtId="164" showAll="0"/>
    <pivotField showAll="0"/>
    <pivotField dataField="1" numFmtId="164" showAll="0"/>
    <pivotField numFmtId="164" showAll="0"/>
    <pivotField showAll="0"/>
    <pivotField showAll="0"/>
    <pivotField showAll="0"/>
    <pivotField numFmtId="164" showAll="0"/>
    <pivotField showAll="0"/>
    <pivotField showAll="0"/>
    <pivotField showAll="0"/>
    <pivotField numFmtId="164"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2">
    <i>
      <x v="8"/>
    </i>
    <i t="grand">
      <x/>
    </i>
  </rowItems>
  <colFields count="1">
    <field x="-2"/>
  </colFields>
  <colItems count="2">
    <i>
      <x/>
    </i>
    <i i="1">
      <x v="1"/>
    </i>
  </colItems>
  <dataFields count="2">
    <dataField name="Suma de V/r Alquiler locomotoras" fld="8" baseField="0" baseItem="0"/>
    <dataField name="Suma de V/r Alquiler plataformas" fld="10" baseField="0" baseItem="0"/>
  </dataFields>
  <formats count="1">
    <format dxfId="151">
      <pivotArea dataOnly="0" outline="0" fieldPosition="0">
        <references count="1">
          <reference field="4294967294" count="2">
            <x v="0"/>
            <x v="1"/>
          </reference>
        </references>
      </pivotArea>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089ACCA-1258-4601-95F7-C6BFD44B46B0}" name="TablaDinámica1"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1">
  <location ref="C1:D3" firstHeaderRow="1" firstDataRow="1" firstDataCol="1"/>
  <pivotFields count="26">
    <pivotField showAll="0"/>
    <pivotField axis="axisRow" showAll="0">
      <items count="13">
        <item h="1" x="0"/>
        <item h="1" x="1"/>
        <item h="1" x="2"/>
        <item h="1" x="3"/>
        <item h="1" x="4"/>
        <item h="1" x="5"/>
        <item h="1" x="6"/>
        <item h="1" x="7"/>
        <item x="8"/>
        <item h="1" x="9"/>
        <item h="1" x="10"/>
        <item h="1" x="11"/>
        <item t="default"/>
      </items>
    </pivotField>
    <pivotField showAll="0">
      <items count="3">
        <item h="1" x="0"/>
        <item x="1"/>
        <item t="default"/>
      </items>
    </pivotField>
    <pivotField showAll="0"/>
    <pivotField numFmtId="14" showAll="0">
      <items count="2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6"/>
        <item x="77"/>
        <item x="78"/>
        <item x="79"/>
        <item x="80"/>
        <item x="81"/>
        <item x="82"/>
        <item x="83"/>
        <item x="84"/>
        <item x="85"/>
        <item x="7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t="default"/>
      </items>
    </pivotField>
    <pivotField numFmtId="14" showAll="0">
      <items count="2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6"/>
        <item x="77"/>
        <item x="78"/>
        <item x="79"/>
        <item x="80"/>
        <item x="81"/>
        <item x="82"/>
        <item x="83"/>
        <item x="84"/>
        <item x="85"/>
        <item x="7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t="default"/>
      </items>
    </pivotField>
    <pivotField showAll="0"/>
    <pivotField showAll="0"/>
    <pivotField numFmtId="164" showAll="0"/>
    <pivotField showAll="0"/>
    <pivotField numFmtId="164" showAll="0"/>
    <pivotField dataField="1" numFmtId="164" showAll="0"/>
    <pivotField showAll="0"/>
    <pivotField showAll="0"/>
    <pivotField showAll="0"/>
    <pivotField numFmtId="164" showAll="0"/>
    <pivotField showAll="0"/>
    <pivotField showAll="0"/>
    <pivotField showAll="0"/>
    <pivotField numFmtId="164"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
    <i>
      <x v="8"/>
    </i>
    <i t="grand">
      <x/>
    </i>
  </rowItems>
  <colItems count="1">
    <i/>
  </colItems>
  <dataFields count="1">
    <dataField name="Suma de V/r Alquiler Mat. Rodante" fld="11" baseField="0" baseItem="0"/>
  </dataFields>
  <formats count="1">
    <format dxfId="152">
      <pivotArea dataOnly="0" outline="0" fieldPosition="0">
        <references count="1">
          <reference field="4294967294" count="1">
            <x v="0"/>
          </reference>
        </references>
      </pivotArea>
    </format>
  </formats>
  <chartFormats count="5">
    <chartFormat chart="2"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B36998B-1E9E-491C-9989-44CBC034C250}" name="TablaDinámica2"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7">
  <location ref="G1:H4" firstHeaderRow="1" firstDataRow="1" firstDataCol="1"/>
  <pivotFields count="26">
    <pivotField showAll="0"/>
    <pivotField axis="axisRow" showAll="0">
      <items count="13">
        <item h="1" x="0"/>
        <item h="1" x="1"/>
        <item h="1" x="2"/>
        <item h="1" x="3"/>
        <item h="1" x="4"/>
        <item h="1" x="5"/>
        <item h="1" x="6"/>
        <item h="1" x="7"/>
        <item x="8"/>
        <item h="1" x="9"/>
        <item h="1" x="10"/>
        <item h="1" x="11"/>
        <item t="default"/>
      </items>
    </pivotField>
    <pivotField showAll="0">
      <items count="3">
        <item h="1" x="0"/>
        <item x="1"/>
        <item t="default"/>
      </items>
    </pivotField>
    <pivotField showAll="0"/>
    <pivotField numFmtId="14" showAll="0">
      <items count="2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6"/>
        <item x="77"/>
        <item x="78"/>
        <item x="79"/>
        <item x="80"/>
        <item x="81"/>
        <item x="82"/>
        <item x="83"/>
        <item x="84"/>
        <item x="85"/>
        <item x="7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t="default"/>
      </items>
    </pivotField>
    <pivotField numFmtId="14" showAll="0">
      <items count="2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6"/>
        <item x="77"/>
        <item x="78"/>
        <item x="79"/>
        <item x="80"/>
        <item x="81"/>
        <item x="82"/>
        <item x="83"/>
        <item x="84"/>
        <item x="85"/>
        <item x="7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t="default"/>
      </items>
    </pivotField>
    <pivotField showAll="0"/>
    <pivotField showAll="0"/>
    <pivotField numFmtId="164" showAll="0"/>
    <pivotField showAll="0"/>
    <pivotField numFmtId="164" showAll="0"/>
    <pivotField numFmtId="164" showAll="0"/>
    <pivotField dataField="1" showAll="0"/>
    <pivotField showAll="0"/>
    <pivotField showAll="0"/>
    <pivotField numFmtId="164" showAll="0"/>
    <pivotField showAll="0"/>
    <pivotField showAll="0"/>
    <pivotField showAll="0"/>
    <pivotField numFmtId="164" showAll="0"/>
    <pivotField axis="axisRow" showAll="0">
      <items count="22">
        <item x="0"/>
        <item x="1"/>
        <item x="2"/>
        <item x="3"/>
        <item x="4"/>
        <item x="5"/>
        <item x="6"/>
        <item x="7"/>
        <item x="8"/>
        <item x="9"/>
        <item x="10"/>
        <item x="11"/>
        <item x="12"/>
        <item x="13"/>
        <item x="14"/>
        <item x="15"/>
        <item x="16"/>
        <item x="17"/>
        <item x="18"/>
        <item x="19"/>
        <item x="20"/>
        <item t="default"/>
      </items>
    </pivotField>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20"/>
    <field x="1"/>
  </rowFields>
  <rowItems count="3">
    <i>
      <x v="20"/>
    </i>
    <i r="1">
      <x v="8"/>
    </i>
    <i t="grand">
      <x/>
    </i>
  </rowItems>
  <colItems count="1">
    <i/>
  </colItems>
  <dataFields count="1">
    <dataField name="Suma de Toneladas Transportad." fld="12" baseField="0" baseItem="0"/>
  </dataFields>
  <chartFormats count="3">
    <chartFormat chart="6"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926A3F3-72AE-4793-9445-B1E7E035E458}" name="TablaDinámica5"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
  <location ref="T1:U3" firstHeaderRow="1" firstDataRow="1" firstDataCol="1"/>
  <pivotFields count="26">
    <pivotField showAll="0"/>
    <pivotField axis="axisRow" showAll="0">
      <items count="13">
        <item h="1" x="0"/>
        <item h="1" x="1"/>
        <item h="1" x="2"/>
        <item h="1" x="3"/>
        <item h="1" x="4"/>
        <item h="1" x="5"/>
        <item h="1" x="6"/>
        <item h="1" x="7"/>
        <item x="8"/>
        <item h="1" x="9"/>
        <item h="1" x="10"/>
        <item h="1" x="11"/>
        <item t="default"/>
      </items>
    </pivotField>
    <pivotField showAll="0">
      <items count="3">
        <item h="1" x="0"/>
        <item x="1"/>
        <item t="default"/>
      </items>
    </pivotField>
    <pivotField showAll="0"/>
    <pivotField numFmtId="14" showAll="0">
      <items count="2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6"/>
        <item x="77"/>
        <item x="78"/>
        <item x="79"/>
        <item x="80"/>
        <item x="81"/>
        <item x="82"/>
        <item x="83"/>
        <item x="84"/>
        <item x="85"/>
        <item x="7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t="default"/>
      </items>
    </pivotField>
    <pivotField numFmtId="14" showAll="0">
      <items count="2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6"/>
        <item x="77"/>
        <item x="78"/>
        <item x="79"/>
        <item x="80"/>
        <item x="81"/>
        <item x="82"/>
        <item x="83"/>
        <item x="84"/>
        <item x="85"/>
        <item x="7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t="default"/>
      </items>
    </pivotField>
    <pivotField showAll="0"/>
    <pivotField showAll="0"/>
    <pivotField numFmtId="164" showAll="0"/>
    <pivotField showAll="0"/>
    <pivotField numFmtId="164" showAll="0"/>
    <pivotField numFmtId="164" showAll="0"/>
    <pivotField showAll="0"/>
    <pivotField showAll="0"/>
    <pivotField dataField="1" showAll="0"/>
    <pivotField numFmtId="164" showAll="0"/>
    <pivotField showAll="0"/>
    <pivotField showAll="0"/>
    <pivotField showAll="0"/>
    <pivotField numFmtId="164"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2">
    <i>
      <x v="8"/>
    </i>
    <i t="grand">
      <x/>
    </i>
  </rowItems>
  <colItems count="1">
    <i/>
  </colItems>
  <dataFields count="1">
    <dataField name="Suma de Ton-km" fld="14" baseField="0" baseItem="0" numFmtId="43"/>
  </dataFields>
  <formats count="2">
    <format dxfId="154">
      <pivotArea outline="0" collapsedLevelsAreSubtotals="1" fieldPosition="0"/>
    </format>
    <format dxfId="153">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CF5189B-FC6B-4575-A9EB-0B421E5DF197}" name="TablaDinámica7"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0">
  <location ref="AA1:AB7" firstHeaderRow="1" firstDataRow="1" firstDataCol="1"/>
  <pivotFields count="19">
    <pivotField numFmtId="14" showAll="0">
      <items count="554">
        <item m="1" x="5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88"/>
        <item x="474"/>
        <item x="489"/>
        <item x="475"/>
        <item x="476"/>
        <item x="477"/>
        <item x="478"/>
        <item x="479"/>
        <item x="480"/>
        <item x="481"/>
        <item x="482"/>
        <item x="483"/>
        <item x="484"/>
        <item x="485"/>
        <item x="486"/>
        <item x="487"/>
        <item m="1" x="551"/>
        <item x="490"/>
        <item x="491"/>
        <item x="492"/>
        <item x="493"/>
        <item x="494"/>
        <item x="495"/>
        <item x="496"/>
        <item x="497"/>
        <item x="498"/>
        <item x="530"/>
        <item x="500"/>
        <item x="501"/>
        <item x="502"/>
        <item x="503"/>
        <item x="504"/>
        <item x="505"/>
        <item x="506"/>
        <item x="507"/>
        <item x="508"/>
        <item x="509"/>
        <item x="510"/>
        <item x="511"/>
        <item x="512"/>
        <item x="513"/>
        <item x="514"/>
        <item x="515"/>
        <item x="516"/>
        <item x="517"/>
        <item x="518"/>
        <item x="519"/>
        <item x="520"/>
        <item x="499"/>
        <item x="521"/>
        <item x="522"/>
        <item x="523"/>
        <item x="524"/>
        <item x="525"/>
        <item x="526"/>
        <item x="527"/>
        <item x="528"/>
        <item x="529"/>
        <item x="531"/>
        <item x="532"/>
        <item x="533"/>
        <item x="534"/>
        <item x="535"/>
        <item x="536"/>
        <item x="537"/>
        <item x="538"/>
        <item x="539"/>
        <item x="540"/>
        <item x="541"/>
        <item x="542"/>
        <item x="543"/>
        <item x="544"/>
        <item x="545"/>
        <item x="546"/>
        <item x="547"/>
        <item x="548"/>
        <item x="549"/>
        <item x="550"/>
        <item t="default"/>
      </items>
    </pivotField>
    <pivotField showAll="0"/>
    <pivotField showAll="0"/>
    <pivotField showAll="0"/>
    <pivotField showAll="0"/>
    <pivotField showAll="0"/>
    <pivotField showAll="0"/>
    <pivotField showAll="0"/>
    <pivotField dataField="1" showAll="0"/>
    <pivotField showAll="0"/>
    <pivotField showAll="0"/>
    <pivotField axis="axisRow" showAll="0">
      <items count="5">
        <item x="0"/>
        <item x="1"/>
        <item m="1" x="3"/>
        <item m="1" x="2"/>
        <item t="default"/>
      </items>
    </pivotField>
    <pivotField showAll="0"/>
    <pivotField showAll="0"/>
    <pivotField showAll="0"/>
    <pivotField axis="axisRow" showAll="0">
      <items count="4">
        <item x="1"/>
        <item x="0"/>
        <item m="1" x="2"/>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x="5"/>
      </items>
    </pivotField>
    <pivotField showAll="0" defaultSubtotal="0">
      <items count="4">
        <item sd="0" x="0"/>
        <item sd="0" x="1"/>
        <item sd="0" x="2"/>
        <item x="3"/>
      </items>
    </pivotField>
  </pivotFields>
  <rowFields count="2">
    <field x="11"/>
    <field x="15"/>
  </rowFields>
  <rowItems count="6">
    <i>
      <x/>
    </i>
    <i r="1">
      <x v="1"/>
    </i>
    <i>
      <x v="1"/>
    </i>
    <i r="1">
      <x/>
    </i>
    <i r="1">
      <x v="1"/>
    </i>
    <i t="grand">
      <x/>
    </i>
  </rowItems>
  <colItems count="1">
    <i/>
  </colItems>
  <dataFields count="1">
    <dataField name="Suma de PASAJEROS" fld="8" baseField="0" baseItem="0"/>
  </dataFields>
  <formats count="4">
    <format dxfId="158">
      <pivotArea collapsedLevelsAreSubtotals="1" fieldPosition="0">
        <references count="1">
          <reference field="11" count="1">
            <x v="0"/>
          </reference>
        </references>
      </pivotArea>
    </format>
    <format dxfId="157">
      <pivotArea collapsedLevelsAreSubtotals="1" fieldPosition="0">
        <references count="2">
          <reference field="11" count="1" selected="0">
            <x v="0"/>
          </reference>
          <reference field="15" count="1">
            <x v="1"/>
          </reference>
        </references>
      </pivotArea>
    </format>
    <format dxfId="156">
      <pivotArea collapsedLevelsAreSubtotals="1" fieldPosition="0">
        <references count="1">
          <reference field="11" count="1">
            <x v="1"/>
          </reference>
        </references>
      </pivotArea>
    </format>
    <format dxfId="155">
      <pivotArea collapsedLevelsAreSubtotals="1" fieldPosition="0">
        <references count="2">
          <reference field="11" count="1" selected="0">
            <x v="1"/>
          </reference>
          <reference field="15" count="0"/>
        </references>
      </pivotArea>
    </format>
  </formats>
  <chartFormats count="4">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EC99088-029F-40CC-8D25-319EF2458DBE}" name="TablaDinámica12"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9">
  <location ref="O2:P4" firstHeaderRow="1" firstDataRow="1" firstDataCol="1"/>
  <pivotFields count="19">
    <pivotField numFmtId="14" showAll="0">
      <items count="5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6"/>
        <item x="37"/>
        <item x="38"/>
        <item x="39"/>
        <item x="40"/>
        <item x="41"/>
        <item x="42"/>
        <item x="43"/>
        <item x="44"/>
        <item x="45"/>
        <item x="46"/>
        <item m="1" x="551"/>
        <item x="47"/>
        <item x="48"/>
        <item x="49"/>
        <item x="50"/>
        <item x="51"/>
        <item x="52"/>
        <item x="53"/>
        <item x="54"/>
        <item x="55"/>
        <item x="56"/>
        <item m="1" x="552"/>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6"/>
        <item x="337"/>
        <item x="338"/>
        <item x="339"/>
        <item x="34"/>
        <item x="57"/>
        <item x="335"/>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24"/>
        <item x="425"/>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530"/>
        <item x="500"/>
        <item x="501"/>
        <item x="502"/>
        <item x="503"/>
        <item x="504"/>
        <item x="505"/>
        <item x="506"/>
        <item x="507"/>
        <item x="508"/>
        <item x="509"/>
        <item x="510"/>
        <item x="511"/>
        <item x="512"/>
        <item x="513"/>
        <item x="514"/>
        <item x="515"/>
        <item x="516"/>
        <item x="517"/>
        <item x="518"/>
        <item x="519"/>
        <item x="520"/>
        <item x="499"/>
        <item x="521"/>
        <item x="522"/>
        <item x="523"/>
        <item x="524"/>
        <item x="525"/>
        <item x="526"/>
        <item x="527"/>
        <item x="528"/>
        <item x="529"/>
        <item x="531"/>
        <item x="532"/>
        <item x="533"/>
        <item x="534"/>
        <item x="535"/>
        <item x="536"/>
        <item x="537"/>
        <item x="538"/>
        <item x="539"/>
        <item x="540"/>
        <item x="541"/>
        <item x="542"/>
        <item x="543"/>
        <item x="544"/>
        <item x="545"/>
        <item x="546"/>
        <item x="547"/>
        <item x="548"/>
        <item x="549"/>
        <item x="550"/>
        <item t="default"/>
      </items>
    </pivotField>
    <pivotField showAll="0"/>
    <pivotField showAll="0"/>
    <pivotField showAll="0"/>
    <pivotField showAll="0"/>
    <pivotField showAll="0"/>
    <pivotField showAll="0"/>
    <pivotField numFmtId="164" showAll="0"/>
    <pivotField showAll="0"/>
    <pivotField dataField="1" showAll="0"/>
    <pivotField axis="axisRow" showAll="0">
      <items count="13">
        <item h="1" x="0"/>
        <item h="1" x="1"/>
        <item h="1" x="2"/>
        <item h="1" x="3"/>
        <item h="1" x="4"/>
        <item h="1" x="5"/>
        <item h="1" x="6"/>
        <item h="1" x="7"/>
        <item x="8"/>
        <item h="1" x="9"/>
        <item h="1" x="10"/>
        <item h="1" x="11"/>
        <item t="default"/>
      </items>
    </pivotField>
    <pivotField numFmtId="1" showAll="0">
      <items count="5">
        <item h="1" x="0"/>
        <item x="1"/>
        <item h="1" m="1" x="3"/>
        <item h="1" m="1" x="2"/>
        <item t="default"/>
      </items>
    </pivotField>
    <pivotField showAll="0">
      <items count="26">
        <item x="0"/>
        <item x="1"/>
        <item x="2"/>
        <item x="3"/>
        <item x="4"/>
        <item x="5"/>
        <item x="6"/>
        <item x="7"/>
        <item x="8"/>
        <item x="9"/>
        <item x="10"/>
        <item x="11"/>
        <item x="12"/>
        <item x="13"/>
        <item x="14"/>
        <item x="15"/>
        <item x="16"/>
        <item x="17"/>
        <item x="18"/>
        <item x="19"/>
        <item m="1" x="24"/>
        <item x="20"/>
        <item x="21"/>
        <item x="23"/>
        <item x="2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1">
    <field x="10"/>
  </rowFields>
  <rowItems count="2">
    <i>
      <x v="8"/>
    </i>
    <i t="grand">
      <x/>
    </i>
  </rowItems>
  <colItems count="1">
    <i/>
  </colItems>
  <dataFields count="1">
    <dataField name="Suma de Ch-Km" fld="9" baseField="0" baseItem="0" numFmtId="168"/>
  </dataFields>
  <formats count="1">
    <format dxfId="104">
      <pivotArea outline="0" collapsedLevelsAreSubtotals="1" fieldPosition="0"/>
    </format>
  </formats>
  <chartFormats count="1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0" count="1" selected="0">
            <x v="0"/>
          </reference>
        </references>
      </pivotArea>
    </chartFormat>
    <chartFormat chart="2" format="6">
      <pivotArea type="data" outline="0" fieldPosition="0">
        <references count="2">
          <reference field="4294967294" count="1" selected="0">
            <x v="0"/>
          </reference>
          <reference field="10" count="1" selected="0">
            <x v="1"/>
          </reference>
        </references>
      </pivotArea>
    </chartFormat>
    <chartFormat chart="2" format="7">
      <pivotArea type="data" outline="0" fieldPosition="0">
        <references count="2">
          <reference field="4294967294" count="1" selected="0">
            <x v="0"/>
          </reference>
          <reference field="10" count="1" selected="0">
            <x v="2"/>
          </reference>
        </references>
      </pivotArea>
    </chartFormat>
    <chartFormat chart="2" format="8">
      <pivotArea type="data" outline="0" fieldPosition="0">
        <references count="2">
          <reference field="4294967294" count="1" selected="0">
            <x v="0"/>
          </reference>
          <reference field="10" count="1" selected="0">
            <x v="3"/>
          </reference>
        </references>
      </pivotArea>
    </chartFormat>
    <chartFormat chart="2" format="9">
      <pivotArea type="data" outline="0" fieldPosition="0">
        <references count="2">
          <reference field="4294967294" count="1" selected="0">
            <x v="0"/>
          </reference>
          <reference field="10" count="1" selected="0">
            <x v="4"/>
          </reference>
        </references>
      </pivotArea>
    </chartFormat>
    <chartFormat chart="2" format="10">
      <pivotArea type="data" outline="0" fieldPosition="0">
        <references count="2">
          <reference field="4294967294" count="1" selected="0">
            <x v="0"/>
          </reference>
          <reference field="10" count="1" selected="0">
            <x v="5"/>
          </reference>
        </references>
      </pivotArea>
    </chartFormat>
    <chartFormat chart="2" format="11">
      <pivotArea type="data" outline="0" fieldPosition="0">
        <references count="2">
          <reference field="4294967294" count="1" selected="0">
            <x v="0"/>
          </reference>
          <reference field="10" count="1" selected="0">
            <x v="6"/>
          </reference>
        </references>
      </pivotArea>
    </chartFormat>
    <chartFormat chart="2" format="12">
      <pivotArea type="data" outline="0" fieldPosition="0">
        <references count="2">
          <reference field="4294967294" count="1" selected="0">
            <x v="0"/>
          </reference>
          <reference field="10" count="1" selected="0">
            <x v="7"/>
          </reference>
        </references>
      </pivotArea>
    </chartFormat>
    <chartFormat chart="2" format="13">
      <pivotArea type="data" outline="0" fieldPosition="0">
        <references count="2">
          <reference field="4294967294" count="1" selected="0">
            <x v="0"/>
          </reference>
          <reference field="10" count="1" selected="0">
            <x v="8"/>
          </reference>
        </references>
      </pivotArea>
    </chartFormat>
    <chartFormat chart="2" format="14">
      <pivotArea type="data" outline="0" fieldPosition="0">
        <references count="2">
          <reference field="4294967294" count="1" selected="0">
            <x v="0"/>
          </reference>
          <reference field="10" count="1" selected="0">
            <x v="9"/>
          </reference>
        </references>
      </pivotArea>
    </chartFormat>
    <chartFormat chart="2" format="15">
      <pivotArea type="data" outline="0" fieldPosition="0">
        <references count="2">
          <reference field="4294967294" count="1" selected="0">
            <x v="0"/>
          </reference>
          <reference field="10" count="1" selected="0">
            <x v="10"/>
          </reference>
        </references>
      </pivotArea>
    </chartFormat>
    <chartFormat chart="2" format="16">
      <pivotArea type="data" outline="0" fieldPosition="0">
        <references count="2">
          <reference field="4294967294" count="1" selected="0">
            <x v="0"/>
          </reference>
          <reference field="1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EBE10DF-420C-42AC-B3AB-AE6684D469DA}" name="TablaDinámica2"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
  <location ref="V3:W30" firstHeaderRow="1" firstDataRow="1" firstDataCol="1" rowPageCount="1" colPageCount="1"/>
  <pivotFields count="19">
    <pivotField numFmtId="14" showAll="0">
      <items count="554">
        <item m="1" x="5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m="1" x="551"/>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24"/>
        <item x="425"/>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530"/>
        <item x="500"/>
        <item x="501"/>
        <item x="502"/>
        <item x="503"/>
        <item x="504"/>
        <item x="505"/>
        <item x="506"/>
        <item x="507"/>
        <item x="508"/>
        <item x="509"/>
        <item x="510"/>
        <item x="511"/>
        <item x="512"/>
        <item x="513"/>
        <item x="514"/>
        <item x="515"/>
        <item x="516"/>
        <item x="517"/>
        <item x="518"/>
        <item x="519"/>
        <item x="520"/>
        <item x="499"/>
        <item x="521"/>
        <item x="522"/>
        <item x="523"/>
        <item x="524"/>
        <item x="525"/>
        <item x="526"/>
        <item x="527"/>
        <item x="528"/>
        <item x="529"/>
        <item x="531"/>
        <item x="532"/>
        <item x="533"/>
        <item x="534"/>
        <item x="535"/>
        <item x="536"/>
        <item x="537"/>
        <item x="538"/>
        <item x="539"/>
        <item x="540"/>
        <item x="541"/>
        <item x="542"/>
        <item x="543"/>
        <item x="544"/>
        <item x="545"/>
        <item x="546"/>
        <item x="547"/>
        <item x="548"/>
        <item x="549"/>
        <item x="550"/>
        <item t="default"/>
      </items>
    </pivotField>
    <pivotField showAll="0"/>
    <pivotField showAll="0"/>
    <pivotField showAll="0"/>
    <pivotField showAll="0"/>
    <pivotField showAll="0"/>
    <pivotField showAll="0"/>
    <pivotField showAll="0"/>
    <pivotField dataField="1" showAll="0"/>
    <pivotField showAll="0"/>
    <pivotField showAll="0"/>
    <pivotField axis="axisPage" numFmtId="1" multipleItemSelectionAllowed="1" showAll="0">
      <items count="5">
        <item x="0"/>
        <item h="1" x="1"/>
        <item h="1" m="1" x="3"/>
        <item h="1" m="1" x="2"/>
        <item t="default"/>
      </items>
    </pivotField>
    <pivotField showAll="0"/>
    <pivotField showAll="0"/>
    <pivotField axis="axisRow" showAll="0">
      <items count="7">
        <item m="1" x="5"/>
        <item m="1" x="4"/>
        <item x="0"/>
        <item x="1"/>
        <item x="2"/>
        <item m="1" x="3"/>
        <item t="default"/>
      </items>
    </pivotField>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2">
    <field x="14"/>
    <field x="16"/>
  </rowFields>
  <rowItems count="27">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t="grand">
      <x/>
    </i>
  </rowItems>
  <colItems count="1">
    <i/>
  </colItems>
  <pageFields count="1">
    <pageField fld="11" hier="-1"/>
  </pageFields>
  <dataFields count="1">
    <dataField name="Suma de PASAJEROS" fld="8" baseField="14" baseItem="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EA29B61-7848-4DE7-87BD-D2FB4DDBEE1C}" name="TablaDinámica11"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94">
  <location ref="K2:L6" firstHeaderRow="1" firstDataRow="1" firstDataCol="1"/>
  <pivotFields count="19">
    <pivotField numFmtId="14" showAll="0">
      <items count="5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6"/>
        <item x="37"/>
        <item x="38"/>
        <item x="39"/>
        <item x="40"/>
        <item x="41"/>
        <item x="42"/>
        <item x="43"/>
        <item x="44"/>
        <item x="45"/>
        <item x="46"/>
        <item m="1" x="551"/>
        <item x="47"/>
        <item x="48"/>
        <item x="49"/>
        <item x="50"/>
        <item x="51"/>
        <item x="52"/>
        <item x="53"/>
        <item x="54"/>
        <item x="55"/>
        <item x="56"/>
        <item m="1" x="552"/>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6"/>
        <item x="337"/>
        <item x="338"/>
        <item x="339"/>
        <item x="34"/>
        <item x="57"/>
        <item x="335"/>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24"/>
        <item x="425"/>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530"/>
        <item x="500"/>
        <item x="501"/>
        <item x="502"/>
        <item x="503"/>
        <item x="504"/>
        <item x="505"/>
        <item x="506"/>
        <item x="507"/>
        <item x="508"/>
        <item x="509"/>
        <item x="510"/>
        <item x="511"/>
        <item x="512"/>
        <item x="513"/>
        <item x="514"/>
        <item x="515"/>
        <item x="516"/>
        <item x="517"/>
        <item x="518"/>
        <item x="519"/>
        <item x="520"/>
        <item x="499"/>
        <item x="521"/>
        <item x="522"/>
        <item x="523"/>
        <item x="524"/>
        <item x="525"/>
        <item x="526"/>
        <item x="527"/>
        <item x="528"/>
        <item x="529"/>
        <item x="531"/>
        <item x="532"/>
        <item x="533"/>
        <item x="534"/>
        <item x="535"/>
        <item x="536"/>
        <item x="537"/>
        <item x="538"/>
        <item x="539"/>
        <item x="540"/>
        <item x="541"/>
        <item x="542"/>
        <item x="543"/>
        <item x="544"/>
        <item x="545"/>
        <item x="546"/>
        <item x="547"/>
        <item x="548"/>
        <item x="549"/>
        <item x="550"/>
        <item t="default"/>
      </items>
    </pivotField>
    <pivotField showAll="0"/>
    <pivotField showAll="0"/>
    <pivotField showAll="0"/>
    <pivotField showAll="0"/>
    <pivotField showAll="0"/>
    <pivotField showAll="0"/>
    <pivotField numFmtId="164" showAll="0"/>
    <pivotField dataField="1" showAll="0"/>
    <pivotField showAll="0"/>
    <pivotField axis="axisRow" showAll="0">
      <items count="13">
        <item h="1" x="0"/>
        <item h="1" x="1"/>
        <item h="1" x="2"/>
        <item h="1" x="3"/>
        <item h="1" x="4"/>
        <item h="1" x="5"/>
        <item h="1" x="6"/>
        <item h="1" x="7"/>
        <item x="8"/>
        <item h="1" x="9"/>
        <item h="1" x="10"/>
        <item h="1" x="11"/>
        <item t="default"/>
      </items>
    </pivotField>
    <pivotField numFmtId="1" showAll="0">
      <items count="5">
        <item h="1" x="0"/>
        <item x="1"/>
        <item h="1" m="1" x="3"/>
        <item h="1" m="1" x="2"/>
        <item t="default"/>
      </items>
    </pivotField>
    <pivotField showAll="0">
      <items count="26">
        <item x="0"/>
        <item x="1"/>
        <item x="2"/>
        <item x="3"/>
        <item x="4"/>
        <item x="5"/>
        <item x="6"/>
        <item x="7"/>
        <item x="8"/>
        <item x="9"/>
        <item x="10"/>
        <item x="11"/>
        <item x="12"/>
        <item x="13"/>
        <item x="14"/>
        <item x="15"/>
        <item x="16"/>
        <item x="17"/>
        <item x="18"/>
        <item x="19"/>
        <item m="1" x="24"/>
        <item x="20"/>
        <item x="21"/>
        <item x="23"/>
        <item x="22"/>
        <item t="default"/>
      </items>
    </pivotField>
    <pivotField showAll="0"/>
    <pivotField showAll="0"/>
    <pivotField axis="axisRow" showAll="0">
      <items count="4">
        <item x="1"/>
        <item x="0"/>
        <item m="1" x="2"/>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2">
    <field x="10"/>
    <field x="15"/>
  </rowFields>
  <rowItems count="4">
    <i>
      <x v="8"/>
    </i>
    <i r="1">
      <x/>
    </i>
    <i r="1">
      <x v="1"/>
    </i>
    <i t="grand">
      <x/>
    </i>
  </rowItems>
  <colItems count="1">
    <i/>
  </colItems>
  <dataFields count="1">
    <dataField name="Suma de PASAJEROS" fld="8" baseField="0" baseItem="0"/>
  </dataFields>
  <formats count="6">
    <format dxfId="110">
      <pivotArea type="all" dataOnly="0" outline="0" fieldPosition="0"/>
    </format>
    <format dxfId="109">
      <pivotArea outline="0" collapsedLevelsAreSubtotals="1" fieldPosition="0"/>
    </format>
    <format dxfId="108">
      <pivotArea field="10" type="button" dataOnly="0" labelOnly="1" outline="0" axis="axisRow" fieldPosition="0"/>
    </format>
    <format dxfId="107">
      <pivotArea dataOnly="0" labelOnly="1" grandRow="1" outline="0" fieldPosition="0"/>
    </format>
    <format dxfId="106">
      <pivotArea dataOnly="0" labelOnly="1" outline="0" axis="axisValues" fieldPosition="0"/>
    </format>
    <format dxfId="105">
      <pivotArea grandRow="1" outline="0" collapsedLevelsAreSubtotals="1" fieldPosition="0"/>
    </format>
  </format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509904D-75E5-47A1-A40A-67757D91AC80}" name="TablaDinámica1"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4">
  <location ref="S3:T12" firstHeaderRow="1" firstDataRow="1" firstDataCol="1"/>
  <pivotFields count="19">
    <pivotField numFmtId="14" showAll="0">
      <items count="554">
        <item m="1" x="5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6"/>
        <item x="37"/>
        <item x="38"/>
        <item x="39"/>
        <item x="40"/>
        <item x="41"/>
        <item x="42"/>
        <item x="43"/>
        <item x="44"/>
        <item x="45"/>
        <item x="46"/>
        <item x="47"/>
        <item x="48"/>
        <item x="49"/>
        <item x="50"/>
        <item x="51"/>
        <item x="52"/>
        <item x="53"/>
        <item x="54"/>
        <item x="55"/>
        <item x="56"/>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m="1" x="551"/>
        <item x="320"/>
        <item x="321"/>
        <item x="322"/>
        <item x="323"/>
        <item x="324"/>
        <item x="325"/>
        <item x="326"/>
        <item x="327"/>
        <item x="328"/>
        <item x="329"/>
        <item x="330"/>
        <item x="331"/>
        <item x="332"/>
        <item x="333"/>
        <item x="334"/>
        <item x="336"/>
        <item x="337"/>
        <item x="338"/>
        <item x="339"/>
        <item x="34"/>
        <item x="57"/>
        <item x="335"/>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24"/>
        <item x="425"/>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530"/>
        <item x="500"/>
        <item x="501"/>
        <item x="502"/>
        <item x="503"/>
        <item x="504"/>
        <item x="505"/>
        <item x="506"/>
        <item x="507"/>
        <item x="508"/>
        <item x="509"/>
        <item x="510"/>
        <item x="511"/>
        <item x="512"/>
        <item x="513"/>
        <item x="514"/>
        <item x="515"/>
        <item x="516"/>
        <item x="517"/>
        <item x="518"/>
        <item x="519"/>
        <item x="520"/>
        <item x="499"/>
        <item x="521"/>
        <item x="522"/>
        <item x="523"/>
        <item x="524"/>
        <item x="525"/>
        <item x="526"/>
        <item x="527"/>
        <item x="528"/>
        <item x="529"/>
        <item x="531"/>
        <item x="532"/>
        <item x="533"/>
        <item x="534"/>
        <item x="535"/>
        <item x="536"/>
        <item x="537"/>
        <item x="538"/>
        <item x="539"/>
        <item x="540"/>
        <item x="541"/>
        <item x="542"/>
        <item x="543"/>
        <item x="544"/>
        <item x="545"/>
        <item x="546"/>
        <item x="547"/>
        <item x="548"/>
        <item x="549"/>
        <item x="550"/>
        <item t="default"/>
      </items>
    </pivotField>
    <pivotField showAll="0"/>
    <pivotField showAll="0"/>
    <pivotField showAll="0"/>
    <pivotField showAll="0"/>
    <pivotField showAll="0"/>
    <pivotField showAll="0"/>
    <pivotField showAll="0"/>
    <pivotField dataField="1" showAll="0"/>
    <pivotField showAll="0"/>
    <pivotField showAll="0"/>
    <pivotField axis="axisRow" numFmtId="1" showAll="0">
      <items count="5">
        <item h="1" x="0"/>
        <item x="1"/>
        <item h="1" m="1" x="3"/>
        <item h="1" m="1" x="2"/>
        <item t="default"/>
      </items>
    </pivotField>
    <pivotField showAll="0">
      <items count="26">
        <item x="0"/>
        <item x="1"/>
        <item x="2"/>
        <item x="3"/>
        <item x="4"/>
        <item x="5"/>
        <item x="6"/>
        <item x="7"/>
        <item x="8"/>
        <item x="9"/>
        <item x="10"/>
        <item x="11"/>
        <item x="12"/>
        <item x="13"/>
        <item x="14"/>
        <item x="15"/>
        <item x="16"/>
        <item x="17"/>
        <item x="18"/>
        <item x="19"/>
        <item m="1" x="24"/>
        <item x="20"/>
        <item x="21"/>
        <item x="23"/>
        <item x="22"/>
        <item t="default"/>
      </items>
    </pivotField>
    <pivotField axis="axisRow" showAll="0">
      <items count="9">
        <item x="5"/>
        <item x="4"/>
        <item x="0"/>
        <item m="1" x="7"/>
        <item x="1"/>
        <item x="3"/>
        <item x="2"/>
        <item m="1" x="6"/>
        <item t="default"/>
      </items>
    </pivotField>
    <pivotField showAll="0"/>
    <pivotField showAll="0"/>
    <pivotField showAll="0" defaultSubtotal="0"/>
    <pivotField showAll="0" defaultSubtotal="0"/>
    <pivotField showAll="0" defaultSubtotal="0">
      <items count="4">
        <item x="1"/>
        <item x="2"/>
        <item x="0"/>
        <item x="3"/>
      </items>
    </pivotField>
  </pivotFields>
  <rowFields count="2">
    <field x="13"/>
    <field x="11"/>
  </rowFields>
  <rowItems count="9">
    <i>
      <x v="2"/>
    </i>
    <i r="1">
      <x v="1"/>
    </i>
    <i>
      <x v="4"/>
    </i>
    <i r="1">
      <x v="1"/>
    </i>
    <i>
      <x v="5"/>
    </i>
    <i r="1">
      <x v="1"/>
    </i>
    <i>
      <x v="6"/>
    </i>
    <i r="1">
      <x v="1"/>
    </i>
    <i t="grand">
      <x/>
    </i>
  </rowItems>
  <colItems count="1">
    <i/>
  </colItems>
  <dataFields count="1">
    <dataField name="Suma de PASAJEROS" fld="8" baseField="0" baseItem="0" numFmtId="1"/>
  </dataFields>
  <formats count="2">
    <format dxfId="112">
      <pivotArea outline="0" collapsedLevelsAreSubtotals="1" fieldPosition="0"/>
    </format>
    <format dxfId="111">
      <pivotArea dataOnly="0" labelOnly="1" outline="0" axis="axisValues" fieldPosition="0"/>
    </format>
  </formats>
  <chartFormats count="3">
    <chartFormat chart="6" format="2"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9407DF7-A926-4E7F-8F09-B695396DF4C8}" name="TablaDinámica10"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6">
  <location ref="G2:H6" firstHeaderRow="1" firstDataRow="1" firstDataCol="1"/>
  <pivotFields count="19">
    <pivotField numFmtId="14" showAll="0">
      <items count="5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6"/>
        <item x="37"/>
        <item x="38"/>
        <item x="39"/>
        <item x="40"/>
        <item x="41"/>
        <item x="42"/>
        <item x="43"/>
        <item x="44"/>
        <item x="45"/>
        <item x="46"/>
        <item m="1" x="551"/>
        <item x="47"/>
        <item x="48"/>
        <item x="49"/>
        <item x="50"/>
        <item x="51"/>
        <item x="52"/>
        <item x="53"/>
        <item x="54"/>
        <item x="55"/>
        <item x="56"/>
        <item m="1" x="552"/>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6"/>
        <item x="337"/>
        <item x="338"/>
        <item x="339"/>
        <item x="34"/>
        <item x="57"/>
        <item x="335"/>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24"/>
        <item x="425"/>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530"/>
        <item x="500"/>
        <item x="501"/>
        <item x="502"/>
        <item x="503"/>
        <item x="504"/>
        <item x="505"/>
        <item x="506"/>
        <item x="507"/>
        <item x="508"/>
        <item x="509"/>
        <item x="510"/>
        <item x="511"/>
        <item x="512"/>
        <item x="513"/>
        <item x="514"/>
        <item x="515"/>
        <item x="516"/>
        <item x="517"/>
        <item x="518"/>
        <item x="519"/>
        <item x="520"/>
        <item x="499"/>
        <item x="521"/>
        <item x="522"/>
        <item x="523"/>
        <item x="524"/>
        <item x="525"/>
        <item x="526"/>
        <item x="527"/>
        <item x="528"/>
        <item x="529"/>
        <item x="531"/>
        <item x="532"/>
        <item x="533"/>
        <item x="534"/>
        <item x="535"/>
        <item x="536"/>
        <item x="537"/>
        <item x="538"/>
        <item x="539"/>
        <item x="540"/>
        <item x="541"/>
        <item x="542"/>
        <item x="543"/>
        <item x="544"/>
        <item x="545"/>
        <item x="546"/>
        <item x="547"/>
        <item x="548"/>
        <item x="549"/>
        <item x="550"/>
        <item t="default"/>
      </items>
    </pivotField>
    <pivotField showAll="0"/>
    <pivotField showAll="0"/>
    <pivotField showAll="0"/>
    <pivotField showAll="0"/>
    <pivotField dataField="1" showAll="0"/>
    <pivotField showAll="0"/>
    <pivotField numFmtId="164" showAll="0"/>
    <pivotField showAll="0"/>
    <pivotField showAll="0"/>
    <pivotField axis="axisRow" showAll="0">
      <items count="13">
        <item h="1" x="0"/>
        <item h="1" x="1"/>
        <item h="1" x="2"/>
        <item h="1" x="3"/>
        <item h="1" x="4"/>
        <item h="1" x="5"/>
        <item h="1" x="6"/>
        <item h="1" x="7"/>
        <item x="8"/>
        <item h="1" x="9"/>
        <item h="1" x="10"/>
        <item h="1" x="11"/>
        <item t="default"/>
      </items>
    </pivotField>
    <pivotField numFmtId="1" showAll="0">
      <items count="5">
        <item h="1" x="0"/>
        <item x="1"/>
        <item h="1" m="1" x="3"/>
        <item h="1" m="1" x="2"/>
        <item t="default"/>
      </items>
    </pivotField>
    <pivotField showAll="0">
      <items count="26">
        <item x="0"/>
        <item x="1"/>
        <item x="2"/>
        <item x="3"/>
        <item x="4"/>
        <item x="5"/>
        <item x="6"/>
        <item x="7"/>
        <item x="8"/>
        <item x="9"/>
        <item x="10"/>
        <item x="11"/>
        <item x="12"/>
        <item x="13"/>
        <item x="14"/>
        <item x="15"/>
        <item x="16"/>
        <item x="17"/>
        <item x="18"/>
        <item x="19"/>
        <item m="1" x="24"/>
        <item x="20"/>
        <item x="21"/>
        <item x="23"/>
        <item x="22"/>
        <item t="default"/>
      </items>
    </pivotField>
    <pivotField showAll="0"/>
    <pivotField showAll="0"/>
    <pivotField axis="axisRow" showAll="0">
      <items count="4">
        <item x="1"/>
        <item x="0"/>
        <item m="1" x="2"/>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2">
    <field x="10"/>
    <field x="15"/>
  </rowFields>
  <rowItems count="4">
    <i>
      <x v="8"/>
    </i>
    <i r="1">
      <x/>
    </i>
    <i r="1">
      <x v="1"/>
    </i>
    <i t="grand">
      <x/>
    </i>
  </rowItems>
  <colItems count="1">
    <i/>
  </colItems>
  <dataFields count="1">
    <dataField name="Suma de N° COCHES"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3697F34-0B3C-42DB-915B-F934AA5D0998}" name="TablaDinámica9"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6">
  <location ref="C2:D6" firstHeaderRow="1" firstDataRow="1" firstDataCol="1"/>
  <pivotFields count="19">
    <pivotField numFmtId="14" showAll="0">
      <items count="5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6"/>
        <item x="37"/>
        <item x="38"/>
        <item x="39"/>
        <item x="40"/>
        <item x="41"/>
        <item x="42"/>
        <item x="43"/>
        <item x="44"/>
        <item x="45"/>
        <item x="46"/>
        <item m="1" x="551"/>
        <item x="47"/>
        <item x="48"/>
        <item x="49"/>
        <item x="50"/>
        <item x="51"/>
        <item x="52"/>
        <item x="53"/>
        <item x="54"/>
        <item x="55"/>
        <item x="56"/>
        <item m="1" x="552"/>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6"/>
        <item x="337"/>
        <item x="338"/>
        <item x="339"/>
        <item x="34"/>
        <item x="57"/>
        <item x="335"/>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24"/>
        <item x="425"/>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530"/>
        <item x="500"/>
        <item x="501"/>
        <item x="502"/>
        <item x="503"/>
        <item x="504"/>
        <item x="505"/>
        <item x="506"/>
        <item x="507"/>
        <item x="508"/>
        <item x="509"/>
        <item x="510"/>
        <item x="511"/>
        <item x="512"/>
        <item x="513"/>
        <item x="514"/>
        <item x="515"/>
        <item x="516"/>
        <item x="517"/>
        <item x="518"/>
        <item x="519"/>
        <item x="520"/>
        <item x="499"/>
        <item x="521"/>
        <item x="522"/>
        <item x="523"/>
        <item x="524"/>
        <item x="525"/>
        <item x="526"/>
        <item x="527"/>
        <item x="528"/>
        <item x="529"/>
        <item x="531"/>
        <item x="532"/>
        <item x="533"/>
        <item x="534"/>
        <item x="535"/>
        <item x="536"/>
        <item x="537"/>
        <item x="538"/>
        <item x="539"/>
        <item x="540"/>
        <item x="541"/>
        <item x="542"/>
        <item x="543"/>
        <item x="544"/>
        <item x="545"/>
        <item x="546"/>
        <item x="547"/>
        <item x="548"/>
        <item x="549"/>
        <item x="550"/>
        <item t="default"/>
      </items>
    </pivotField>
    <pivotField showAll="0"/>
    <pivotField showAll="0"/>
    <pivotField showAll="0"/>
    <pivotField showAll="0"/>
    <pivotField showAll="0"/>
    <pivotField showAll="0"/>
    <pivotField dataField="1" numFmtId="164" showAll="0"/>
    <pivotField showAll="0"/>
    <pivotField showAll="0"/>
    <pivotField axis="axisRow" showAll="0">
      <items count="13">
        <item h="1" x="0"/>
        <item h="1" x="1"/>
        <item h="1" x="2"/>
        <item h="1" x="3"/>
        <item h="1" x="4"/>
        <item h="1" x="5"/>
        <item h="1" x="6"/>
        <item h="1" x="7"/>
        <item x="8"/>
        <item h="1" x="9"/>
        <item h="1" x="10"/>
        <item h="1" x="11"/>
        <item t="default"/>
      </items>
    </pivotField>
    <pivotField numFmtId="1" showAll="0">
      <items count="5">
        <item h="1" x="0"/>
        <item x="1"/>
        <item h="1" m="1" x="3"/>
        <item h="1" m="1" x="2"/>
        <item t="default"/>
      </items>
    </pivotField>
    <pivotField showAll="0">
      <items count="26">
        <item x="0"/>
        <item x="1"/>
        <item x="2"/>
        <item x="3"/>
        <item x="4"/>
        <item x="5"/>
        <item x="6"/>
        <item x="7"/>
        <item x="8"/>
        <item x="9"/>
        <item x="10"/>
        <item x="11"/>
        <item x="12"/>
        <item x="13"/>
        <item x="14"/>
        <item x="15"/>
        <item x="16"/>
        <item x="17"/>
        <item x="18"/>
        <item x="19"/>
        <item m="1" x="24"/>
        <item x="20"/>
        <item x="21"/>
        <item x="23"/>
        <item x="22"/>
        <item t="default"/>
      </items>
    </pivotField>
    <pivotField showAll="0"/>
    <pivotField showAll="0"/>
    <pivotField axis="axisRow" showAll="0">
      <items count="4">
        <item x="1"/>
        <item x="0"/>
        <item m="1" x="2"/>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2">
    <field x="10"/>
    <field x="15"/>
  </rowFields>
  <rowItems count="4">
    <i>
      <x v="8"/>
    </i>
    <i r="1">
      <x/>
    </i>
    <i r="1">
      <x v="1"/>
    </i>
    <i t="grand">
      <x/>
    </i>
  </rowItems>
  <colItems count="1">
    <i/>
  </colItems>
  <dataFields count="1">
    <dataField name="Suma de VALOR TOTAL" fld="7" baseField="0" baseItem="0" numFmtId="164"/>
  </dataFields>
  <formats count="1">
    <format dxfId="113">
      <pivotArea outline="0" collapsedLevelsAreSubtotals="1" fieldPosition="0"/>
    </format>
  </formats>
  <chartFormats count="5">
    <chartFormat chart="2" format="2"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0" count="1" selected="0">
            <x v="1"/>
          </reference>
        </references>
      </pivotArea>
    </chartFormat>
    <chartFormat chart="6"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2" format="5">
      <pivotArea type="data" outline="0" fieldPosition="0">
        <references count="3">
          <reference field="4294967294" count="1" selected="0">
            <x v="0"/>
          </reference>
          <reference field="10" count="1" selected="0">
            <x v="1"/>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Factura" xr10:uid="{48D9D08D-D8B9-4F04-972F-C82AD61A4088}" sourceName="Factura">
  <pivotTables>
    <pivotTable tabId="16" name="TablaDinámica2"/>
    <pivotTable tabId="16" name="TablaDinámica1"/>
    <pivotTable tabId="16" name="TablaDinámica3"/>
    <pivotTable tabId="16" name="TablaDinámica4"/>
    <pivotTable tabId="16" name="TablaDinámica5"/>
    <pivotTable tabId="16" name="TablaDinámica6"/>
  </pivotTables>
  <data>
    <tabular pivotCacheId="1758196735">
      <items count="21">
        <i x="20" s="1"/>
        <i x="0" s="1" nd="1"/>
        <i x="1" s="1" nd="1"/>
        <i x="2" s="1" nd="1"/>
        <i x="3" s="1" nd="1"/>
        <i x="4" s="1" nd="1"/>
        <i x="5" s="1" nd="1"/>
        <i x="6" s="1" nd="1"/>
        <i x="7" s="1" nd="1"/>
        <i x="8" s="1" nd="1"/>
        <i x="9" s="1" nd="1"/>
        <i x="10" s="1" nd="1"/>
        <i x="11" s="1" nd="1"/>
        <i x="12" s="1" nd="1"/>
        <i x="13" s="1" nd="1"/>
        <i x="14" s="1" nd="1"/>
        <i x="15" s="1" nd="1"/>
        <i x="16" s="1" nd="1"/>
        <i x="17" s="1" nd="1"/>
        <i x="18" s="1" nd="1"/>
        <i x="1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Mes" xr10:uid="{24D2C4B0-9162-4F94-8B77-55DFE0D8BC73}" sourceName="Mes">
  <pivotTables>
    <pivotTable tabId="16" name="TablaDinámica2"/>
    <pivotTable tabId="16" name="TablaDinámica1"/>
    <pivotTable tabId="16" name="TablaDinámica3"/>
    <pivotTable tabId="16" name="TablaDinámica4"/>
    <pivotTable tabId="16" name="TablaDinámica5"/>
    <pivotTable tabId="16" name="TablaDinámica6"/>
  </pivotTables>
  <data>
    <tabular pivotCacheId="1758196735">
      <items count="12">
        <i x="0"/>
        <i x="1"/>
        <i x="2"/>
        <i x="3"/>
        <i x="4"/>
        <i x="5"/>
        <i x="6"/>
        <i x="7"/>
        <i x="8" s="1"/>
        <i x="9" nd="1"/>
        <i x="10" nd="1"/>
        <i x="1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MES1" xr10:uid="{A70B43E4-8227-4E94-8CD2-73B1DCB2CA8D}" sourceName="MES">
  <pivotTables>
    <pivotTable tabId="18" name="TablaDinámica9"/>
    <pivotTable tabId="18" name="TablaDinámica10"/>
    <pivotTable tabId="18" name="TablaDinámica11"/>
    <pivotTable tabId="18" name="TablaDinámica12"/>
  </pivotTables>
  <data>
    <tabular pivotCacheId="1482532757">
      <items count="12">
        <i x="0"/>
        <i x="1"/>
        <i x="2"/>
        <i x="3"/>
        <i x="4"/>
        <i x="5"/>
        <i x="6"/>
        <i x="7"/>
        <i x="8" s="1"/>
        <i x="9" nd="1"/>
        <i x="10" nd="1"/>
        <i x="1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Factura1" xr10:uid="{CD749617-57F8-48C2-BDBF-A56C44D77B53}" sourceName="Factura">
  <pivotTables>
    <pivotTable tabId="18" name="TablaDinámica9"/>
    <pivotTable tabId="18" name="TablaDinámica10"/>
    <pivotTable tabId="18" name="TablaDinámica11"/>
    <pivotTable tabId="18" name="TablaDinámica12"/>
    <pivotTable tabId="18" name="TablaDinámica1"/>
  </pivotTables>
  <data>
    <tabular pivotCacheId="1482532757">
      <items count="25">
        <i x="12" s="1"/>
        <i x="13" s="1"/>
        <i x="14" s="1"/>
        <i x="15" s="1"/>
        <i x="16" s="1"/>
        <i x="17" s="1"/>
        <i x="18" s="1"/>
        <i x="19" s="1"/>
        <i x="20" s="1"/>
        <i x="21" s="1"/>
        <i x="23" s="1"/>
        <i x="22" s="1"/>
        <i x="0" s="1" nd="1"/>
        <i x="1" s="1" nd="1"/>
        <i x="2" s="1" nd="1"/>
        <i x="3" s="1" nd="1"/>
        <i x="4" s="1" nd="1"/>
        <i x="5" s="1" nd="1"/>
        <i x="6" s="1" nd="1"/>
        <i x="7" s="1" nd="1"/>
        <i x="8" s="1" nd="1"/>
        <i x="9" s="1" nd="1"/>
        <i x="10" s="1" nd="1"/>
        <i x="11" s="1" nd="1"/>
        <i x="2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ño" xr10:uid="{EC948FAC-D1DC-4666-8A1B-BBDF624BB4B6}" sourceName="Año">
  <pivotTables>
    <pivotTable tabId="20" name="TablaDinámica2"/>
    <pivotTable tabId="20" name="TablaDinámica1"/>
  </pivotTables>
  <data>
    <tabular pivotCacheId="1929232705">
      <items count="4">
        <i x="0"/>
        <i x="1"/>
        <i x="2" s="1"/>
        <i x="3"/>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ÑO1" xr10:uid="{2B33D42A-6326-4774-A918-BDC55092F504}" sourceName="AÑO">
  <pivotTables>
    <pivotTable tabId="16" name="TablaDinámica4"/>
    <pivotTable tabId="16" name="TablaDinámica1"/>
    <pivotTable tabId="16" name="TablaDinámica2"/>
    <pivotTable tabId="16" name="TablaDinámica3"/>
    <pivotTable tabId="16" name="TablaDinámica5"/>
    <pivotTable tabId="16" name="TablaDinámica6"/>
  </pivotTables>
  <data>
    <tabular pivotCacheId="1758196735">
      <items count="2">
        <i x="0"/>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ÑO2" xr10:uid="{B17251D5-B44A-472F-9994-A202C1A5703A}" sourceName="AÑO">
  <pivotTables>
    <pivotTable tabId="18" name="TablaDinámica1"/>
    <pivotTable tabId="18" name="TablaDinámica10"/>
    <pivotTable tabId="18" name="TablaDinámica11"/>
    <pivotTable tabId="18" name="TablaDinámica12"/>
    <pivotTable tabId="18" name="TablaDinámica9"/>
  </pivotTables>
  <data>
    <tabular pivotCacheId="1482532757">
      <items count="4">
        <i x="0"/>
        <i x="1" s="1"/>
        <i x="3"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ño" xr10:uid="{9B7393F8-4B5A-437C-9D65-1C638A58697A}" cache="SegmentaciónDeDatos_Año" caption="Año" startItem="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tura" xr10:uid="{0230852E-6D81-4D72-A191-C316264A7471}" cache="SegmentaciónDeDatos_Factura" caption="Factura" startItem="14" rowHeight="234950"/>
  <slicer name="Mes" xr10:uid="{B63F264E-BEDD-45D4-9B1C-078FE8EEDF96}" cache="SegmentaciónDeDatos_Mes" caption="Mes" startItem="5" rowHeight="234950"/>
  <slicer name="AÑO 1" xr10:uid="{143E1256-F35D-462F-8B22-70306EB4C7E4}" cache="SegmentaciónDeDatos_AÑO1" caption="AÑO"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S 1" xr10:uid="{1AC3629A-E80C-4E15-B1C9-6A0480ACFE4E}" cache="SegmentaciónDeDatos_MES1" caption="MES" startItem="5" rowHeight="234950"/>
  <slicer name="Factura 1" xr10:uid="{9E8A1DC4-7734-4451-BA46-4F281E5DBD83}" cache="SegmentaciónDeDatos_Factura1" caption="Factura" startItem="5" rowHeight="234950"/>
  <slicer name="AÑO 2" xr10:uid="{0D75B06E-E48F-4764-93EE-E945F45341EF}" cache="SegmentaciónDeDatos_AÑO2" caption="AÑO"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E49C2A-C823-4AD3-9E30-E250BBBA36BE}" name="Tabla1" displayName="Tabla1" ref="B4:V251" totalsRowCount="1" headerRowBorderDxfId="222" tableBorderDxfId="221" totalsRowBorderDxfId="220">
  <autoFilter ref="B4:V250" xr:uid="{31E49C2A-C823-4AD3-9E30-E250BBBA36BE}"/>
  <tableColumns count="21">
    <tableColumn id="1" xr3:uid="{119FC7D2-B959-4123-B6A8-4C6CB4EC6EF9}" name="Año" dataDxfId="41" totalsRowDxfId="40"/>
    <tableColumn id="2" xr3:uid="{8BED7392-A7CD-4718-8816-494FF1A52B18}" name="Mes" dataDxfId="39" totalsRowDxfId="38">
      <calculatedColumnFormula>UPPER(TEXT(D5,"MMM"))</calculatedColumnFormula>
    </tableColumn>
    <tableColumn id="3" xr3:uid="{2F5CC137-917D-4CBA-A42F-F2A481177AF7}" name="Fecha" dataDxfId="37" totalsRowDxfId="36"/>
    <tableColumn id="4" xr3:uid="{AACC3A53-13FB-4F0E-8ED8-A0DA9F4C92A6}" name="# Factura_x000a_CTSA - INGERAL" dataDxfId="35" totalsRowDxfId="34"/>
    <tableColumn id="5" xr3:uid="{F04E9EBF-7903-4C22-80BF-768899CDBBEE}" name="NC" dataDxfId="33" totalsRowDxfId="32"/>
    <tableColumn id="6" xr3:uid="{1F85E0AF-80D9-44EF-A0D5-75C338B0506D}" name="Fact" dataDxfId="31" totalsRowDxfId="30"/>
    <tableColumn id="7" xr3:uid="{7A0A72EF-DC7E-4677-9799-5610B6B934C7}" name="Corredor" dataDxfId="29" totalsRowDxfId="28"/>
    <tableColumn id="8" xr3:uid="{43D26EB5-B560-46BE-97EC-205B57A6314B}" name="Tercero" dataDxfId="27" totalsRowDxfId="26"/>
    <tableColumn id="9" xr3:uid="{007B7817-8D47-4A87-9A1C-83E8DBB2A367}" name="Periodo" dataDxfId="25" totalsRowDxfId="24"/>
    <tableColumn id="10" xr3:uid="{CF464183-1B5B-4156-9691-028C31D86B5F}" name="Inmueble - concepto" dataDxfId="23" totalsRowDxfId="22"/>
    <tableColumn id="11" xr3:uid="{662C64B2-A9DF-4639-88E9-1FA6F197EE8D}" name="Valor Facturado" dataDxfId="21" totalsRowDxfId="20"/>
    <tableColumn id="12" xr3:uid="{6BC153D7-5836-477B-8253-03B8DE41473A}" name="IVA" dataDxfId="19" totalsRowDxfId="18"/>
    <tableColumn id="13" xr3:uid="{AF63BDEB-DB7D-494D-BDF0-B7FBB62E6195}" name="Valor bruto" dataDxfId="17" totalsRowDxfId="16">
      <calculatedColumnFormula>+L5-M5</calculatedColumnFormula>
    </tableColumn>
    <tableColumn id="14" xr3:uid="{6B4C72D6-AB5D-444F-9CCB-2769CF4B8AF9}" name="4 X 1000" dataDxfId="15" totalsRowDxfId="14">
      <calculatedColumnFormula>ROUND(N5*0.004,0)</calculatedColumnFormula>
    </tableColumn>
    <tableColumn id="15" xr3:uid="{AF8E7803-BF73-44E3-82B6-376A9564AE35}" name="Valor a Consignar a la ANI" totalsRowFunction="sum" dataDxfId="13" totalsRowDxfId="12">
      <calculatedColumnFormula>N5-O5</calculatedColumnFormula>
    </tableColumn>
    <tableColumn id="16" xr3:uid="{A9345340-10FA-4728-B1DD-87DAC97200EB}" name="Valor Pagado" totalsRowFunction="sum" dataDxfId="11" totalsRowDxfId="10"/>
    <tableColumn id="17" xr3:uid="{4E01A3F2-16D6-4731-A359-9650A242CB47}" name="Año." dataDxfId="9" totalsRowDxfId="8"/>
    <tableColumn id="18" xr3:uid="{9EB074C9-6647-4A2C-BBD7-E4F1C8BC843B}" name="Mes." dataDxfId="7" totalsRowDxfId="6"/>
    <tableColumn id="19" xr3:uid="{5706003B-7F97-4975-871E-AF3E0AF80DEF}" name="Fecha." dataDxfId="5" totalsRowDxfId="4"/>
    <tableColumn id="20" xr3:uid="{15AE6581-EDD1-4685-A15C-8BDF01F3AC21}" name="Valor Por Cobrar" totalsRowFunction="sum" dataDxfId="3" totalsRowDxfId="2">
      <calculatedColumnFormula>P5-Q5</calculatedColumnFormula>
    </tableColumn>
    <tableColumn id="21" xr3:uid="{5F633894-0320-4175-95C8-A757EAB3C5A5}" name="Observaciones " dataDxfId="1" totalsRowDxfId="0" dataCellStyle="Normal"/>
  </tableColumns>
  <tableStyleInfo name="Estilo de tabla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3C63CAC-ABEC-4FC8-AB59-315F41E50F23}" name="Tabla4" displayName="Tabla4" ref="A3:U71" totalsRowCount="1" tableBorderDxfId="198">
  <autoFilter ref="A3:U70" xr:uid="{43C63CAC-ABEC-4FC8-AB59-315F41E50F23}">
    <filterColumn colId="0">
      <filters>
        <filter val="2025"/>
      </filters>
    </filterColumn>
  </autoFilter>
  <tableColumns count="21">
    <tableColumn id="1" xr3:uid="{6A01361B-1DBC-48FA-A036-0D6DD241CE49}" name="Año" totalsRowDxfId="62"/>
    <tableColumn id="2" xr3:uid="{EEF6C38B-B992-49CA-903E-07F958AE4C16}" name="Mes" totalsRowDxfId="61">
      <calculatedColumnFormula>UPPER(TEXT(C4,"MMM"))</calculatedColumnFormula>
    </tableColumn>
    <tableColumn id="3" xr3:uid="{A59E509C-0091-4D2A-8E2A-C98124BDF66C}" name="Fecha" totalsRowDxfId="60"/>
    <tableColumn id="4" xr3:uid="{9B8E1E22-8258-4B42-9922-ED9A47FDD564}" name="# Factura" totalsRowDxfId="59"/>
    <tableColumn id="5" xr3:uid="{4C169055-DFF3-4D6D-985A-BD68AE0ECC35}" name="Corredor" totalsRowDxfId="58"/>
    <tableColumn id="6" xr3:uid="{BD15B8F9-CEFF-4D8C-80B1-2A268C951E50}" name="Tercero" totalsRowDxfId="57"/>
    <tableColumn id="7" xr3:uid="{EE1D24F4-3036-41BB-898C-64008B6C779E}" name="Periodo" totalsRowDxfId="56"/>
    <tableColumn id="8" xr3:uid="{371A4F02-FB09-4E65-AE9F-12AA31556552}" name="Concepto" totalsRowDxfId="55"/>
    <tableColumn id="9" xr3:uid="{F3D47B08-9E25-4B42-88A5-D7B826C7FEAB}" name="# Toneladas -kilometro" totalsRowDxfId="54"/>
    <tableColumn id="10" xr3:uid="{19063148-515B-40F2-9C94-8FBA70269AC3}" name="# coche-kilómetros" totalsRowDxfId="53"/>
    <tableColumn id="11" xr3:uid="{4E6A1DEC-C821-48D8-B9C0-8B0AFFD99370}" name="Tarifas  $/ton-km y/o  tarifa $/coche-km" totalsRowDxfId="52"/>
    <tableColumn id="12" xr3:uid="{BD1D7B2C-1C89-457D-83D6-B2E1133E3713}" name="Valor Facturado" totalsRowDxfId="51"/>
    <tableColumn id="13" xr3:uid="{B962089A-1A81-484A-BD41-59FD55CA7FBC}" name="IVA" totalsRowDxfId="50"/>
    <tableColumn id="14" xr3:uid="{DF3B0B07-5243-4E98-AB82-7A1F9DC48579}" name="Valor bruto" totalsRowDxfId="49"/>
    <tableColumn id="15" xr3:uid="{EA772841-7771-43FF-A2B4-D2D37E7ABADE}" name="4X1000" totalsRowDxfId="48">
      <calculatedColumnFormula>ROUND(N4*0.004,0)</calculatedColumnFormula>
    </tableColumn>
    <tableColumn id="16" xr3:uid="{DF4A2CD3-1721-47DB-9FB1-9676760615FA}" name="Valor a Consignar a la ANI" totalsRowFunction="sum" totalsRowDxfId="47">
      <calculatedColumnFormula>(N4-O4)</calculatedColumnFormula>
    </tableColumn>
    <tableColumn id="17" xr3:uid="{C60902C1-B247-43C7-8305-1422CA5305A0}" name="Valor Pagado" totalsRowFunction="sum" totalsRowDxfId="46"/>
    <tableColumn id="18" xr3:uid="{E460C1E1-3C28-4CF5-993E-EFA10CEFD64E}" name="Año2" totalsRowDxfId="45"/>
    <tableColumn id="19" xr3:uid="{39189024-756D-46FD-BF6C-E0094ACE8E90}" name="Mes3" dataDxfId="63" totalsRowDxfId="44" dataCellStyle="Normal 2"/>
    <tableColumn id="20" xr3:uid="{C6AD145E-5F5E-4DFB-917D-F1900DDF0604}" name="Fecha4" totalsRowDxfId="43"/>
    <tableColumn id="21" xr3:uid="{95535F72-31E5-4D69-A6DB-AF0D44323376}" name="Valor Por Cobrar" totalsRowFunction="sum" totalsRowDxfId="42">
      <calculatedColumnFormula>+P4-Q4</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E81D6B-9192-4FF9-9C42-ECF12A91415A}" name="Tabla2" displayName="Tabla2" ref="A1:T32" totalsRowCount="1" headerRowDxfId="188" dataDxfId="186" totalsRowDxfId="184" headerRowBorderDxfId="187" tableBorderDxfId="185">
  <autoFilter ref="A1:T31" xr:uid="{6DE81D6B-9192-4FF9-9C42-ECF12A91415A}"/>
  <tableColumns count="20">
    <tableColumn id="1" xr3:uid="{00E2416E-9E05-4AD7-9092-E401DC786019}" name="Año" dataDxfId="103" totalsRowDxfId="83" dataCellStyle="Normal 2"/>
    <tableColumn id="2" xr3:uid="{C7738108-F841-4D95-B85E-E2CA66F12904}" name="Mes" dataDxfId="102" totalsRowDxfId="82" dataCellStyle="Normal 2">
      <calculatedColumnFormula>UPPER(TEXT(C2,"MMM"))</calculatedColumnFormula>
    </tableColumn>
    <tableColumn id="3" xr3:uid="{3C3E740B-7D9F-4507-9471-E2852C31B937}" name="Fecha" dataDxfId="101" totalsRowDxfId="81" dataCellStyle="Normal 2"/>
    <tableColumn id="4" xr3:uid="{89D27EBB-64FA-465C-BB37-621031541895}" name="# Factura" dataDxfId="100" totalsRowDxfId="80" dataCellStyle="Normal 2 2 2"/>
    <tableColumn id="5" xr3:uid="{ED58286B-43BC-4118-BD05-CE9B2E6DCC61}" name="Corredor" dataDxfId="99" totalsRowDxfId="79" dataCellStyle="Normal 2"/>
    <tableColumn id="6" xr3:uid="{903421F4-22D8-493B-B8A1-34D54F1CE523}" name="Tercero" dataDxfId="98" totalsRowDxfId="78" dataCellStyle="Normal 2"/>
    <tableColumn id="7" xr3:uid="{680A1548-CA53-4FB4-BABC-F8396F72E53D}" name="Periodo" dataDxfId="97" totalsRowDxfId="77" dataCellStyle="Normal 2"/>
    <tableColumn id="8" xr3:uid="{34150303-2DF2-48CA-8939-2CE5F322A743}" name="Concepto" dataDxfId="96" totalsRowDxfId="76" dataCellStyle="Normal 2"/>
    <tableColumn id="9" xr3:uid="{D4C61539-D99A-4036-8D1F-381E7944335D}" name="# Toneladas" dataDxfId="95" totalsRowDxfId="75" dataCellStyle="Normal 2"/>
    <tableColumn id="10" xr3:uid="{E95C38A9-75EA-4A4B-9604-9E326332405D}" name="Valor Facturado" dataDxfId="94" totalsRowDxfId="74" dataCellStyle="Normal 2"/>
    <tableColumn id="11" xr3:uid="{E3334365-63A7-4286-9DCC-7998B10E7828}" name="IVA" dataDxfId="93" totalsRowDxfId="73" dataCellStyle="Normal 2"/>
    <tableColumn id="12" xr3:uid="{931F265F-B18D-4B48-90A9-AD537D1A957D}" name="Valor bruto" dataDxfId="92" totalsRowDxfId="72" dataCellStyle="Normal 2"/>
    <tableColumn id="13" xr3:uid="{FC37238D-C2A2-4840-86AE-754FB27CB9B8}" name="4 X 1000" dataDxfId="91" totalsRowDxfId="71" dataCellStyle="Normal 2">
      <calculatedColumnFormula>ROUND(L2*0.004,0)</calculatedColumnFormula>
    </tableColumn>
    <tableColumn id="14" xr3:uid="{8D6D3726-8651-4314-82E2-FB6F299A9529}" name="Valor a Consignar a la ANI" totalsRowFunction="sum" dataDxfId="90" totalsRowDxfId="70" dataCellStyle="Normal 2">
      <calculatedColumnFormula>L2-M2</calculatedColumnFormula>
    </tableColumn>
    <tableColumn id="15" xr3:uid="{3A8815CD-F520-48A0-938B-F245002CE5C8}" name="Valor consignado" dataDxfId="89" totalsRowDxfId="69" dataCellStyle="Normal 2"/>
    <tableColumn id="16" xr3:uid="{4FD67AEE-016C-44FD-B00E-280B595520EE}" name="Valor Pagado" totalsRowFunction="sum" dataDxfId="88" totalsRowDxfId="68" dataCellStyle="Normal 2"/>
    <tableColumn id="17" xr3:uid="{6C2B4756-9840-4900-9A4A-4C0548C97A1B}" name="Año2" dataDxfId="87" totalsRowDxfId="67" dataCellStyle="Normal 2 2 2"/>
    <tableColumn id="18" xr3:uid="{28C64DE3-DBB4-4584-BD44-A29EA9AF1BE7}" name="Mes3" dataDxfId="86" totalsRowDxfId="66" dataCellStyle="Normal 2 2 2"/>
    <tableColumn id="19" xr3:uid="{5137C4B5-7337-4971-BC3D-8530C8F02FB3}" name="Fecha4" dataDxfId="85" totalsRowDxfId="65" dataCellStyle="Normal 2"/>
    <tableColumn id="20" xr3:uid="{E29CAEB7-FDFE-4238-B658-F7E4AA85E806}" name="Valor Por Cobrar" totalsRowFunction="custom" dataDxfId="84" totalsRowDxfId="64" dataCellStyle="Normal 2 2 2">
      <calculatedColumnFormula>N2-P2</calculatedColumnFormula>
      <totalsRowFormula>SUM(T2:T31)</totalsRowFormula>
    </tableColumn>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0F3413-C9BF-4BE3-A8CD-2DE2BD38615A}" name="Tabla3" displayName="Tabla3" ref="A1:V324" totalsRowShown="0" headerRowDxfId="183" headerRowBorderDxfId="182" tableBorderDxfId="181" totalsRowBorderDxfId="180">
  <autoFilter ref="A1:V324" xr:uid="{100F3413-C9BF-4BE3-A8CD-2DE2BD38615A}"/>
  <tableColumns count="22">
    <tableColumn id="1" xr3:uid="{6F3C4C2B-1E67-4C05-ACF9-B65EA5303E57}" name="N° Servicio" dataDxfId="179"/>
    <tableColumn id="22" xr3:uid="{20B4410F-0E8F-4B03-A6AA-FBA8074AFC64}" name="Mes" dataDxfId="178">
      <calculatedColumnFormula>UPPER((TEXT(Tabla3[[#This Row],[Fecha llegada]],"MMM")))</calculatedColumnFormula>
    </tableColumn>
    <tableColumn id="4" xr3:uid="{01154F52-36D9-469C-95DF-4493C3593F11}" name="AÑO" dataDxfId="177">
      <calculatedColumnFormula>YEAR(Tabla3[[#This Row],[Fecha llegada]])</calculatedColumnFormula>
    </tableColumn>
    <tableColumn id="2" xr3:uid="{1A976697-7BE4-4CCB-81B4-B0FE4333B63B}" name="Configuración Tren " dataDxfId="176"/>
    <tableColumn id="5" xr3:uid="{24C41610-1084-428D-AB1C-655F2589707D}" name="Fecha Salida" dataDxfId="175"/>
    <tableColumn id="6" xr3:uid="{A00B022C-F7A1-4C8E-A558-32120ED48C15}" name="Fecha llegada" dataDxfId="174"/>
    <tableColumn id="7" xr3:uid="{5A581907-CABF-43E3-88EB-FC9EFC252AB8}" name="Días " dataDxfId="173"/>
    <tableColumn id="8" xr3:uid="{9AD84BBF-727C-4D3C-AFB0-65B417E45F94}" name="Cantidad Locomotoras" dataDxfId="172"/>
    <tableColumn id="9" xr3:uid="{9578839A-60C9-4228-855A-7B48F4DE8376}" name="V/r Alquiler locomotoras" dataDxfId="171" dataCellStyle="Moneda"/>
    <tableColumn id="10" xr3:uid="{6603FF4F-282E-4FB2-BC37-31EBF69E4A0B}" name="Cantidad plataformas" dataDxfId="170"/>
    <tableColumn id="11" xr3:uid="{85040D97-DF5A-445A-85C4-F552663A559F}" name="V/r Alquiler plataformas" dataDxfId="169" dataCellStyle="Moneda"/>
    <tableColumn id="12" xr3:uid="{7B7F196D-E994-4C32-884F-E38CFE81339E}" name="V/r Alquiler Mat. Rodante" dataDxfId="168" dataCellStyle="Moneda"/>
    <tableColumn id="13" xr3:uid="{090C172E-CDBF-4907-90A3-639BCF9D9C34}" name="Toneladas Transportad." dataDxfId="167"/>
    <tableColumn id="14" xr3:uid="{39076C20-6C7E-47FD-BA0E-590F59FB9369}" name="Km recorridos" dataDxfId="166"/>
    <tableColumn id="15" xr3:uid="{D2F5041B-B472-4A5D-ACB3-D3F637043892}" name="Ton-km" dataDxfId="165">
      <calculatedColumnFormula>M2*N2</calculatedColumnFormula>
    </tableColumn>
    <tableColumn id="16" xr3:uid="{8871D7C4-69FC-478B-A976-A07289E0EED3}" name="V/r Importe Uso de Vía" dataDxfId="164" dataCellStyle="Moneda"/>
    <tableColumn id="17" xr3:uid="{A696400D-9800-42A4-BB2D-A85056FA3D24}" name="Remisión No." dataDxfId="163"/>
    <tableColumn id="18" xr3:uid="{203E08E6-6E1B-43D1-8CDF-477D8C7D2EB8}" name="Recorrido Locomotras Trabajando" dataDxfId="162"/>
    <tableColumn id="19" xr3:uid="{54AAFEF4-5A58-4F2D-9023-60487565D154}" name="Cantidad Combustible Consumido" dataDxfId="161"/>
    <tableColumn id="20" xr3:uid="{148323C3-6D97-4891-AECD-AC613B460918}" name="V/r Combustible " dataDxfId="160" dataCellStyle="Moneda"/>
    <tableColumn id="21" xr3:uid="{F37A9F0F-3D66-40E1-B762-DDF4FE209094}" name="Factura" dataDxfId="159"/>
    <tableColumn id="3" xr3:uid="{BE346AA8-1C8F-4316-AEE2-6B5243273880}" name="Columna1"/>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A7F2F15-6DF9-4BE3-861C-63F9167A1CB0}" name="Tabla5" displayName="Tabla5" ref="A1:P1229" totalsRowCount="1" headerRowDxfId="150" dataDxfId="148" headerRowBorderDxfId="149" tableBorderDxfId="147" totalsRowBorderDxfId="146">
  <autoFilter ref="A1:P1228" xr:uid="{2A7F2F15-6DF9-4BE3-861C-63F9167A1CB0}"/>
  <tableColumns count="16">
    <tableColumn id="1" xr3:uid="{84B2BDDE-5149-4BE0-9774-60ECAEBB79A5}" name="FECHA" dataDxfId="145" totalsRowDxfId="144"/>
    <tableColumn id="2" xr3:uid="{0DA7EFAA-CEA7-4040-8DE2-41AC27D9AB4D}" name="IDA" dataDxfId="143" totalsRowDxfId="142"/>
    <tableColumn id="3" xr3:uid="{A0680028-3670-4E43-844D-112899A8A890}" name="REGRESO" dataDxfId="141" totalsRowDxfId="140"/>
    <tableColumn id="4" xr3:uid="{0A321DBC-942C-430D-97D7-0FF3A5CA1286}" name="TRAYECTO" dataDxfId="139" totalsRowDxfId="138"/>
    <tableColumn id="5" xr3:uid="{BCAA5602-1648-4D99-9EE2-CFB772FC03EE}" name="KM- REC" dataDxfId="137" totalsRowDxfId="136"/>
    <tableColumn id="6" xr3:uid="{7D5F0F72-02F7-4F2E-8736-ADEA137312FB}" name="N° COCHES" dataDxfId="135" totalsRowDxfId="134"/>
    <tableColumn id="7" xr3:uid="{010C35D6-9CB0-4974-9A67-40B54A4DD0DA}" name="VL CH KM" dataDxfId="133" totalsRowDxfId="132"/>
    <tableColumn id="8" xr3:uid="{2AF77647-DE80-49DC-A443-ED8C98C08EE0}" name="VALOR TOTAL" dataDxfId="131" totalsRowDxfId="130">
      <calculatedColumnFormula>E2*F2*G2</calculatedColumnFormula>
    </tableColumn>
    <tableColumn id="9" xr3:uid="{A5F9184C-60AD-4F2B-A188-EDCC5391D72C}" name="PASAJEROS" totalsRowFunction="sum" dataDxfId="129" totalsRowDxfId="128"/>
    <tableColumn id="10" xr3:uid="{A986183D-405F-4E61-BE76-C5A01F900E7F}" name="Ch-Km" dataDxfId="127" totalsRowDxfId="126">
      <calculatedColumnFormula>E2*F2</calculatedColumnFormula>
    </tableColumn>
    <tableColumn id="12" xr3:uid="{7E4B6F2A-7F37-4004-A414-5EB5B2B112CB}" name="MES" dataDxfId="125" totalsRowDxfId="124">
      <calculatedColumnFormula>UPPER((TEXT(Tabla5[[#This Row],[FECHA]],"MMM")))</calculatedColumnFormula>
    </tableColumn>
    <tableColumn id="14" xr3:uid="{3840190E-A158-49CF-951D-FED33D3AD38D}" name="AÑO" dataDxfId="123" totalsRowDxfId="122">
      <calculatedColumnFormula>YEAR(Tabla5[[#This Row],[FECHA]])</calculatedColumnFormula>
    </tableColumn>
    <tableColumn id="11" xr3:uid="{62036761-022C-43F2-9454-60B7FC84305F}" name="Factura" dataDxfId="121" totalsRowDxfId="120"/>
    <tableColumn id="13" xr3:uid="{069E576B-8F19-4DE2-8EF3-05D8AA9A0DA7}" name="Usuario" dataDxfId="119" totalsRowDxfId="118"/>
    <tableColumn id="15" xr3:uid="{4A6A976C-65B4-40FC-AC1D-080559AEE056}" name="Columna1" dataDxfId="117" totalsRowDxfId="116"/>
    <tableColumn id="16" xr3:uid="{FC70BE05-A2D4-4DE7-86F3-9FDA427847C0}" name="Empresa prestadora de servicios" dataDxfId="115" totalsRowDxfId="114"/>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16.xml"/><Relationship Id="rId7" Type="http://schemas.openxmlformats.org/officeDocument/2006/relationships/drawing" Target="../drawings/drawing6.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39979247413556324"/>
    <pageSetUpPr fitToPage="1"/>
  </sheetPr>
  <dimension ref="A1:Y283"/>
  <sheetViews>
    <sheetView topLeftCell="K255" zoomScale="64" workbookViewId="0">
      <selection activeCell="P254" sqref="P254"/>
    </sheetView>
  </sheetViews>
  <sheetFormatPr baseColWidth="10" defaultColWidth="10.88671875" defaultRowHeight="15" customHeight="1"/>
  <cols>
    <col min="1" max="1" width="2.44140625" style="101" customWidth="1"/>
    <col min="2" max="3" width="8.109375" style="101" customWidth="1"/>
    <col min="4" max="4" width="13.109375" style="101" customWidth="1"/>
    <col min="5" max="5" width="19.6640625" style="101" customWidth="1"/>
    <col min="6" max="6" width="15.109375" style="101" customWidth="1"/>
    <col min="7" max="7" width="17.6640625" style="101" customWidth="1"/>
    <col min="8" max="8" width="18.33203125" style="101" customWidth="1"/>
    <col min="9" max="9" width="20.44140625" style="110" customWidth="1"/>
    <col min="10" max="10" width="20.6640625" style="101" customWidth="1"/>
    <col min="11" max="11" width="31.109375" style="273" customWidth="1"/>
    <col min="12" max="12" width="17.6640625" style="274" customWidth="1"/>
    <col min="13" max="13" width="19" style="101" customWidth="1"/>
    <col min="14" max="14" width="29.21875" style="101" customWidth="1"/>
    <col min="15" max="15" width="30.44140625" style="101" customWidth="1"/>
    <col min="16" max="16" width="24.33203125" style="101" customWidth="1"/>
    <col min="17" max="17" width="30.109375" style="101" customWidth="1"/>
    <col min="18" max="18" width="26.6640625" style="101" customWidth="1"/>
    <col min="19" max="19" width="63.44140625" style="101" customWidth="1"/>
    <col min="20" max="20" width="28.44140625" style="101" customWidth="1"/>
    <col min="21" max="21" width="19.6640625" style="101" customWidth="1"/>
    <col min="22" max="22" width="50.77734375" style="279" customWidth="1"/>
    <col min="23" max="23" width="19.44140625" style="101" customWidth="1"/>
    <col min="24" max="24" width="13.5546875" style="101" bestFit="1" customWidth="1"/>
    <col min="25" max="25" width="13.77734375" style="101" bestFit="1" customWidth="1"/>
    <col min="26" max="258" width="10.88671875" style="101"/>
    <col min="259" max="259" width="5.6640625" style="101" customWidth="1"/>
    <col min="260" max="261" width="8.109375" style="101" customWidth="1"/>
    <col min="262" max="262" width="9" style="101" customWidth="1"/>
    <col min="263" max="263" width="8.6640625" style="101" customWidth="1"/>
    <col min="264" max="264" width="18.33203125" style="101" customWidth="1"/>
    <col min="265" max="265" width="65.6640625" style="101" customWidth="1"/>
    <col min="266" max="266" width="27" style="101" customWidth="1"/>
    <col min="267" max="267" width="27.109375" style="101" customWidth="1"/>
    <col min="268" max="268" width="17.6640625" style="101" customWidth="1"/>
    <col min="269" max="269" width="13.6640625" style="101" customWidth="1"/>
    <col min="270" max="270" width="14.6640625" style="101" customWidth="1"/>
    <col min="271" max="272" width="17.109375" style="101" customWidth="1"/>
    <col min="273" max="273" width="14.6640625" style="101" customWidth="1"/>
    <col min="274" max="275" width="8.109375" style="101" customWidth="1"/>
    <col min="276" max="276" width="9" style="101" customWidth="1"/>
    <col min="277" max="277" width="12.33203125" style="101" customWidth="1"/>
    <col min="278" max="278" width="11" style="101" customWidth="1"/>
    <col min="279" max="279" width="12.88671875" style="101" customWidth="1"/>
    <col min="280" max="514" width="10.88671875" style="101"/>
    <col min="515" max="515" width="5.6640625" style="101" customWidth="1"/>
    <col min="516" max="517" width="8.109375" style="101" customWidth="1"/>
    <col min="518" max="518" width="9" style="101" customWidth="1"/>
    <col min="519" max="519" width="8.6640625" style="101" customWidth="1"/>
    <col min="520" max="520" width="18.33203125" style="101" customWidth="1"/>
    <col min="521" max="521" width="65.6640625" style="101" customWidth="1"/>
    <col min="522" max="522" width="27" style="101" customWidth="1"/>
    <col min="523" max="523" width="27.109375" style="101" customWidth="1"/>
    <col min="524" max="524" width="17.6640625" style="101" customWidth="1"/>
    <col min="525" max="525" width="13.6640625" style="101" customWidth="1"/>
    <col min="526" max="526" width="14.6640625" style="101" customWidth="1"/>
    <col min="527" max="528" width="17.109375" style="101" customWidth="1"/>
    <col min="529" max="529" width="14.6640625" style="101" customWidth="1"/>
    <col min="530" max="531" width="8.109375" style="101" customWidth="1"/>
    <col min="532" max="532" width="9" style="101" customWidth="1"/>
    <col min="533" max="533" width="12.33203125" style="101" customWidth="1"/>
    <col min="534" max="534" width="11" style="101" customWidth="1"/>
    <col min="535" max="535" width="12.88671875" style="101" customWidth="1"/>
    <col min="536" max="770" width="10.88671875" style="101"/>
    <col min="771" max="771" width="5.6640625" style="101" customWidth="1"/>
    <col min="772" max="773" width="8.109375" style="101" customWidth="1"/>
    <col min="774" max="774" width="9" style="101" customWidth="1"/>
    <col min="775" max="775" width="8.6640625" style="101" customWidth="1"/>
    <col min="776" max="776" width="18.33203125" style="101" customWidth="1"/>
    <col min="777" max="777" width="65.6640625" style="101" customWidth="1"/>
    <col min="778" max="778" width="27" style="101" customWidth="1"/>
    <col min="779" max="779" width="27.109375" style="101" customWidth="1"/>
    <col min="780" max="780" width="17.6640625" style="101" customWidth="1"/>
    <col min="781" max="781" width="13.6640625" style="101" customWidth="1"/>
    <col min="782" max="782" width="14.6640625" style="101" customWidth="1"/>
    <col min="783" max="784" width="17.109375" style="101" customWidth="1"/>
    <col min="785" max="785" width="14.6640625" style="101" customWidth="1"/>
    <col min="786" max="787" width="8.109375" style="101" customWidth="1"/>
    <col min="788" max="788" width="9" style="101" customWidth="1"/>
    <col min="789" max="789" width="12.33203125" style="101" customWidth="1"/>
    <col min="790" max="790" width="11" style="101" customWidth="1"/>
    <col min="791" max="791" width="12.88671875" style="101" customWidth="1"/>
    <col min="792" max="1026" width="10.88671875" style="101"/>
    <col min="1027" max="1027" width="5.6640625" style="101" customWidth="1"/>
    <col min="1028" max="1029" width="8.109375" style="101" customWidth="1"/>
    <col min="1030" max="1030" width="9" style="101" customWidth="1"/>
    <col min="1031" max="1031" width="8.6640625" style="101" customWidth="1"/>
    <col min="1032" max="1032" width="18.33203125" style="101" customWidth="1"/>
    <col min="1033" max="1033" width="65.6640625" style="101" customWidth="1"/>
    <col min="1034" max="1034" width="27" style="101" customWidth="1"/>
    <col min="1035" max="1035" width="27.109375" style="101" customWidth="1"/>
    <col min="1036" max="1036" width="17.6640625" style="101" customWidth="1"/>
    <col min="1037" max="1037" width="13.6640625" style="101" customWidth="1"/>
    <col min="1038" max="1038" width="14.6640625" style="101" customWidth="1"/>
    <col min="1039" max="1040" width="17.109375" style="101" customWidth="1"/>
    <col min="1041" max="1041" width="14.6640625" style="101" customWidth="1"/>
    <col min="1042" max="1043" width="8.109375" style="101" customWidth="1"/>
    <col min="1044" max="1044" width="9" style="101" customWidth="1"/>
    <col min="1045" max="1045" width="12.33203125" style="101" customWidth="1"/>
    <col min="1046" max="1046" width="11" style="101" customWidth="1"/>
    <col min="1047" max="1047" width="12.88671875" style="101" customWidth="1"/>
    <col min="1048" max="1282" width="10.88671875" style="101"/>
    <col min="1283" max="1283" width="5.6640625" style="101" customWidth="1"/>
    <col min="1284" max="1285" width="8.109375" style="101" customWidth="1"/>
    <col min="1286" max="1286" width="9" style="101" customWidth="1"/>
    <col min="1287" max="1287" width="8.6640625" style="101" customWidth="1"/>
    <col min="1288" max="1288" width="18.33203125" style="101" customWidth="1"/>
    <col min="1289" max="1289" width="65.6640625" style="101" customWidth="1"/>
    <col min="1290" max="1290" width="27" style="101" customWidth="1"/>
    <col min="1291" max="1291" width="27.109375" style="101" customWidth="1"/>
    <col min="1292" max="1292" width="17.6640625" style="101" customWidth="1"/>
    <col min="1293" max="1293" width="13.6640625" style="101" customWidth="1"/>
    <col min="1294" max="1294" width="14.6640625" style="101" customWidth="1"/>
    <col min="1295" max="1296" width="17.109375" style="101" customWidth="1"/>
    <col min="1297" max="1297" width="14.6640625" style="101" customWidth="1"/>
    <col min="1298" max="1299" width="8.109375" style="101" customWidth="1"/>
    <col min="1300" max="1300" width="9" style="101" customWidth="1"/>
    <col min="1301" max="1301" width="12.33203125" style="101" customWidth="1"/>
    <col min="1302" max="1302" width="11" style="101" customWidth="1"/>
    <col min="1303" max="1303" width="12.88671875" style="101" customWidth="1"/>
    <col min="1304" max="1538" width="10.88671875" style="101"/>
    <col min="1539" max="1539" width="5.6640625" style="101" customWidth="1"/>
    <col min="1540" max="1541" width="8.109375" style="101" customWidth="1"/>
    <col min="1542" max="1542" width="9" style="101" customWidth="1"/>
    <col min="1543" max="1543" width="8.6640625" style="101" customWidth="1"/>
    <col min="1544" max="1544" width="18.33203125" style="101" customWidth="1"/>
    <col min="1545" max="1545" width="65.6640625" style="101" customWidth="1"/>
    <col min="1546" max="1546" width="27" style="101" customWidth="1"/>
    <col min="1547" max="1547" width="27.109375" style="101" customWidth="1"/>
    <col min="1548" max="1548" width="17.6640625" style="101" customWidth="1"/>
    <col min="1549" max="1549" width="13.6640625" style="101" customWidth="1"/>
    <col min="1550" max="1550" width="14.6640625" style="101" customWidth="1"/>
    <col min="1551" max="1552" width="17.109375" style="101" customWidth="1"/>
    <col min="1553" max="1553" width="14.6640625" style="101" customWidth="1"/>
    <col min="1554" max="1555" width="8.109375" style="101" customWidth="1"/>
    <col min="1556" max="1556" width="9" style="101" customWidth="1"/>
    <col min="1557" max="1557" width="12.33203125" style="101" customWidth="1"/>
    <col min="1558" max="1558" width="11" style="101" customWidth="1"/>
    <col min="1559" max="1559" width="12.88671875" style="101" customWidth="1"/>
    <col min="1560" max="1794" width="10.88671875" style="101"/>
    <col min="1795" max="1795" width="5.6640625" style="101" customWidth="1"/>
    <col min="1796" max="1797" width="8.109375" style="101" customWidth="1"/>
    <col min="1798" max="1798" width="9" style="101" customWidth="1"/>
    <col min="1799" max="1799" width="8.6640625" style="101" customWidth="1"/>
    <col min="1800" max="1800" width="18.33203125" style="101" customWidth="1"/>
    <col min="1801" max="1801" width="65.6640625" style="101" customWidth="1"/>
    <col min="1802" max="1802" width="27" style="101" customWidth="1"/>
    <col min="1803" max="1803" width="27.109375" style="101" customWidth="1"/>
    <col min="1804" max="1804" width="17.6640625" style="101" customWidth="1"/>
    <col min="1805" max="1805" width="13.6640625" style="101" customWidth="1"/>
    <col min="1806" max="1806" width="14.6640625" style="101" customWidth="1"/>
    <col min="1807" max="1808" width="17.109375" style="101" customWidth="1"/>
    <col min="1809" max="1809" width="14.6640625" style="101" customWidth="1"/>
    <col min="1810" max="1811" width="8.109375" style="101" customWidth="1"/>
    <col min="1812" max="1812" width="9" style="101" customWidth="1"/>
    <col min="1813" max="1813" width="12.33203125" style="101" customWidth="1"/>
    <col min="1814" max="1814" width="11" style="101" customWidth="1"/>
    <col min="1815" max="1815" width="12.88671875" style="101" customWidth="1"/>
    <col min="1816" max="2050" width="10.88671875" style="101"/>
    <col min="2051" max="2051" width="5.6640625" style="101" customWidth="1"/>
    <col min="2052" max="2053" width="8.109375" style="101" customWidth="1"/>
    <col min="2054" max="2054" width="9" style="101" customWidth="1"/>
    <col min="2055" max="2055" width="8.6640625" style="101" customWidth="1"/>
    <col min="2056" max="2056" width="18.33203125" style="101" customWidth="1"/>
    <col min="2057" max="2057" width="65.6640625" style="101" customWidth="1"/>
    <col min="2058" max="2058" width="27" style="101" customWidth="1"/>
    <col min="2059" max="2059" width="27.109375" style="101" customWidth="1"/>
    <col min="2060" max="2060" width="17.6640625" style="101" customWidth="1"/>
    <col min="2061" max="2061" width="13.6640625" style="101" customWidth="1"/>
    <col min="2062" max="2062" width="14.6640625" style="101" customWidth="1"/>
    <col min="2063" max="2064" width="17.109375" style="101" customWidth="1"/>
    <col min="2065" max="2065" width="14.6640625" style="101" customWidth="1"/>
    <col min="2066" max="2067" width="8.109375" style="101" customWidth="1"/>
    <col min="2068" max="2068" width="9" style="101" customWidth="1"/>
    <col min="2069" max="2069" width="12.33203125" style="101" customWidth="1"/>
    <col min="2070" max="2070" width="11" style="101" customWidth="1"/>
    <col min="2071" max="2071" width="12.88671875" style="101" customWidth="1"/>
    <col min="2072" max="2306" width="10.88671875" style="101"/>
    <col min="2307" max="2307" width="5.6640625" style="101" customWidth="1"/>
    <col min="2308" max="2309" width="8.109375" style="101" customWidth="1"/>
    <col min="2310" max="2310" width="9" style="101" customWidth="1"/>
    <col min="2311" max="2311" width="8.6640625" style="101" customWidth="1"/>
    <col min="2312" max="2312" width="18.33203125" style="101" customWidth="1"/>
    <col min="2313" max="2313" width="65.6640625" style="101" customWidth="1"/>
    <col min="2314" max="2314" width="27" style="101" customWidth="1"/>
    <col min="2315" max="2315" width="27.109375" style="101" customWidth="1"/>
    <col min="2316" max="2316" width="17.6640625" style="101" customWidth="1"/>
    <col min="2317" max="2317" width="13.6640625" style="101" customWidth="1"/>
    <col min="2318" max="2318" width="14.6640625" style="101" customWidth="1"/>
    <col min="2319" max="2320" width="17.109375" style="101" customWidth="1"/>
    <col min="2321" max="2321" width="14.6640625" style="101" customWidth="1"/>
    <col min="2322" max="2323" width="8.109375" style="101" customWidth="1"/>
    <col min="2324" max="2324" width="9" style="101" customWidth="1"/>
    <col min="2325" max="2325" width="12.33203125" style="101" customWidth="1"/>
    <col min="2326" max="2326" width="11" style="101" customWidth="1"/>
    <col min="2327" max="2327" width="12.88671875" style="101" customWidth="1"/>
    <col min="2328" max="2562" width="10.88671875" style="101"/>
    <col min="2563" max="2563" width="5.6640625" style="101" customWidth="1"/>
    <col min="2564" max="2565" width="8.109375" style="101" customWidth="1"/>
    <col min="2566" max="2566" width="9" style="101" customWidth="1"/>
    <col min="2567" max="2567" width="8.6640625" style="101" customWidth="1"/>
    <col min="2568" max="2568" width="18.33203125" style="101" customWidth="1"/>
    <col min="2569" max="2569" width="65.6640625" style="101" customWidth="1"/>
    <col min="2570" max="2570" width="27" style="101" customWidth="1"/>
    <col min="2571" max="2571" width="27.109375" style="101" customWidth="1"/>
    <col min="2572" max="2572" width="17.6640625" style="101" customWidth="1"/>
    <col min="2573" max="2573" width="13.6640625" style="101" customWidth="1"/>
    <col min="2574" max="2574" width="14.6640625" style="101" customWidth="1"/>
    <col min="2575" max="2576" width="17.109375" style="101" customWidth="1"/>
    <col min="2577" max="2577" width="14.6640625" style="101" customWidth="1"/>
    <col min="2578" max="2579" width="8.109375" style="101" customWidth="1"/>
    <col min="2580" max="2580" width="9" style="101" customWidth="1"/>
    <col min="2581" max="2581" width="12.33203125" style="101" customWidth="1"/>
    <col min="2582" max="2582" width="11" style="101" customWidth="1"/>
    <col min="2583" max="2583" width="12.88671875" style="101" customWidth="1"/>
    <col min="2584" max="2818" width="10.88671875" style="101"/>
    <col min="2819" max="2819" width="5.6640625" style="101" customWidth="1"/>
    <col min="2820" max="2821" width="8.109375" style="101" customWidth="1"/>
    <col min="2822" max="2822" width="9" style="101" customWidth="1"/>
    <col min="2823" max="2823" width="8.6640625" style="101" customWidth="1"/>
    <col min="2824" max="2824" width="18.33203125" style="101" customWidth="1"/>
    <col min="2825" max="2825" width="65.6640625" style="101" customWidth="1"/>
    <col min="2826" max="2826" width="27" style="101" customWidth="1"/>
    <col min="2827" max="2827" width="27.109375" style="101" customWidth="1"/>
    <col min="2828" max="2828" width="17.6640625" style="101" customWidth="1"/>
    <col min="2829" max="2829" width="13.6640625" style="101" customWidth="1"/>
    <col min="2830" max="2830" width="14.6640625" style="101" customWidth="1"/>
    <col min="2831" max="2832" width="17.109375" style="101" customWidth="1"/>
    <col min="2833" max="2833" width="14.6640625" style="101" customWidth="1"/>
    <col min="2834" max="2835" width="8.109375" style="101" customWidth="1"/>
    <col min="2836" max="2836" width="9" style="101" customWidth="1"/>
    <col min="2837" max="2837" width="12.33203125" style="101" customWidth="1"/>
    <col min="2838" max="2838" width="11" style="101" customWidth="1"/>
    <col min="2839" max="2839" width="12.88671875" style="101" customWidth="1"/>
    <col min="2840" max="3074" width="10.88671875" style="101"/>
    <col min="3075" max="3075" width="5.6640625" style="101" customWidth="1"/>
    <col min="3076" max="3077" width="8.109375" style="101" customWidth="1"/>
    <col min="3078" max="3078" width="9" style="101" customWidth="1"/>
    <col min="3079" max="3079" width="8.6640625" style="101" customWidth="1"/>
    <col min="3080" max="3080" width="18.33203125" style="101" customWidth="1"/>
    <col min="3081" max="3081" width="65.6640625" style="101" customWidth="1"/>
    <col min="3082" max="3082" width="27" style="101" customWidth="1"/>
    <col min="3083" max="3083" width="27.109375" style="101" customWidth="1"/>
    <col min="3084" max="3084" width="17.6640625" style="101" customWidth="1"/>
    <col min="3085" max="3085" width="13.6640625" style="101" customWidth="1"/>
    <col min="3086" max="3086" width="14.6640625" style="101" customWidth="1"/>
    <col min="3087" max="3088" width="17.109375" style="101" customWidth="1"/>
    <col min="3089" max="3089" width="14.6640625" style="101" customWidth="1"/>
    <col min="3090" max="3091" width="8.109375" style="101" customWidth="1"/>
    <col min="3092" max="3092" width="9" style="101" customWidth="1"/>
    <col min="3093" max="3093" width="12.33203125" style="101" customWidth="1"/>
    <col min="3094" max="3094" width="11" style="101" customWidth="1"/>
    <col min="3095" max="3095" width="12.88671875" style="101" customWidth="1"/>
    <col min="3096" max="3330" width="10.88671875" style="101"/>
    <col min="3331" max="3331" width="5.6640625" style="101" customWidth="1"/>
    <col min="3332" max="3333" width="8.109375" style="101" customWidth="1"/>
    <col min="3334" max="3334" width="9" style="101" customWidth="1"/>
    <col min="3335" max="3335" width="8.6640625" style="101" customWidth="1"/>
    <col min="3336" max="3336" width="18.33203125" style="101" customWidth="1"/>
    <col min="3337" max="3337" width="65.6640625" style="101" customWidth="1"/>
    <col min="3338" max="3338" width="27" style="101" customWidth="1"/>
    <col min="3339" max="3339" width="27.109375" style="101" customWidth="1"/>
    <col min="3340" max="3340" width="17.6640625" style="101" customWidth="1"/>
    <col min="3341" max="3341" width="13.6640625" style="101" customWidth="1"/>
    <col min="3342" max="3342" width="14.6640625" style="101" customWidth="1"/>
    <col min="3343" max="3344" width="17.109375" style="101" customWidth="1"/>
    <col min="3345" max="3345" width="14.6640625" style="101" customWidth="1"/>
    <col min="3346" max="3347" width="8.109375" style="101" customWidth="1"/>
    <col min="3348" max="3348" width="9" style="101" customWidth="1"/>
    <col min="3349" max="3349" width="12.33203125" style="101" customWidth="1"/>
    <col min="3350" max="3350" width="11" style="101" customWidth="1"/>
    <col min="3351" max="3351" width="12.88671875" style="101" customWidth="1"/>
    <col min="3352" max="3586" width="10.88671875" style="101"/>
    <col min="3587" max="3587" width="5.6640625" style="101" customWidth="1"/>
    <col min="3588" max="3589" width="8.109375" style="101" customWidth="1"/>
    <col min="3590" max="3590" width="9" style="101" customWidth="1"/>
    <col min="3591" max="3591" width="8.6640625" style="101" customWidth="1"/>
    <col min="3592" max="3592" width="18.33203125" style="101" customWidth="1"/>
    <col min="3593" max="3593" width="65.6640625" style="101" customWidth="1"/>
    <col min="3594" max="3594" width="27" style="101" customWidth="1"/>
    <col min="3595" max="3595" width="27.109375" style="101" customWidth="1"/>
    <col min="3596" max="3596" width="17.6640625" style="101" customWidth="1"/>
    <col min="3597" max="3597" width="13.6640625" style="101" customWidth="1"/>
    <col min="3598" max="3598" width="14.6640625" style="101" customWidth="1"/>
    <col min="3599" max="3600" width="17.109375" style="101" customWidth="1"/>
    <col min="3601" max="3601" width="14.6640625" style="101" customWidth="1"/>
    <col min="3602" max="3603" width="8.109375" style="101" customWidth="1"/>
    <col min="3604" max="3604" width="9" style="101" customWidth="1"/>
    <col min="3605" max="3605" width="12.33203125" style="101" customWidth="1"/>
    <col min="3606" max="3606" width="11" style="101" customWidth="1"/>
    <col min="3607" max="3607" width="12.88671875" style="101" customWidth="1"/>
    <col min="3608" max="3842" width="10.88671875" style="101"/>
    <col min="3843" max="3843" width="5.6640625" style="101" customWidth="1"/>
    <col min="3844" max="3845" width="8.109375" style="101" customWidth="1"/>
    <col min="3846" max="3846" width="9" style="101" customWidth="1"/>
    <col min="3847" max="3847" width="8.6640625" style="101" customWidth="1"/>
    <col min="3848" max="3848" width="18.33203125" style="101" customWidth="1"/>
    <col min="3849" max="3849" width="65.6640625" style="101" customWidth="1"/>
    <col min="3850" max="3850" width="27" style="101" customWidth="1"/>
    <col min="3851" max="3851" width="27.109375" style="101" customWidth="1"/>
    <col min="3852" max="3852" width="17.6640625" style="101" customWidth="1"/>
    <col min="3853" max="3853" width="13.6640625" style="101" customWidth="1"/>
    <col min="3854" max="3854" width="14.6640625" style="101" customWidth="1"/>
    <col min="3855" max="3856" width="17.109375" style="101" customWidth="1"/>
    <col min="3857" max="3857" width="14.6640625" style="101" customWidth="1"/>
    <col min="3858" max="3859" width="8.109375" style="101" customWidth="1"/>
    <col min="3860" max="3860" width="9" style="101" customWidth="1"/>
    <col min="3861" max="3861" width="12.33203125" style="101" customWidth="1"/>
    <col min="3862" max="3862" width="11" style="101" customWidth="1"/>
    <col min="3863" max="3863" width="12.88671875" style="101" customWidth="1"/>
    <col min="3864" max="4098" width="10.88671875" style="101"/>
    <col min="4099" max="4099" width="5.6640625" style="101" customWidth="1"/>
    <col min="4100" max="4101" width="8.109375" style="101" customWidth="1"/>
    <col min="4102" max="4102" width="9" style="101" customWidth="1"/>
    <col min="4103" max="4103" width="8.6640625" style="101" customWidth="1"/>
    <col min="4104" max="4104" width="18.33203125" style="101" customWidth="1"/>
    <col min="4105" max="4105" width="65.6640625" style="101" customWidth="1"/>
    <col min="4106" max="4106" width="27" style="101" customWidth="1"/>
    <col min="4107" max="4107" width="27.109375" style="101" customWidth="1"/>
    <col min="4108" max="4108" width="17.6640625" style="101" customWidth="1"/>
    <col min="4109" max="4109" width="13.6640625" style="101" customWidth="1"/>
    <col min="4110" max="4110" width="14.6640625" style="101" customWidth="1"/>
    <col min="4111" max="4112" width="17.109375" style="101" customWidth="1"/>
    <col min="4113" max="4113" width="14.6640625" style="101" customWidth="1"/>
    <col min="4114" max="4115" width="8.109375" style="101" customWidth="1"/>
    <col min="4116" max="4116" width="9" style="101" customWidth="1"/>
    <col min="4117" max="4117" width="12.33203125" style="101" customWidth="1"/>
    <col min="4118" max="4118" width="11" style="101" customWidth="1"/>
    <col min="4119" max="4119" width="12.88671875" style="101" customWidth="1"/>
    <col min="4120" max="4354" width="10.88671875" style="101"/>
    <col min="4355" max="4355" width="5.6640625" style="101" customWidth="1"/>
    <col min="4356" max="4357" width="8.109375" style="101" customWidth="1"/>
    <col min="4358" max="4358" width="9" style="101" customWidth="1"/>
    <col min="4359" max="4359" width="8.6640625" style="101" customWidth="1"/>
    <col min="4360" max="4360" width="18.33203125" style="101" customWidth="1"/>
    <col min="4361" max="4361" width="65.6640625" style="101" customWidth="1"/>
    <col min="4362" max="4362" width="27" style="101" customWidth="1"/>
    <col min="4363" max="4363" width="27.109375" style="101" customWidth="1"/>
    <col min="4364" max="4364" width="17.6640625" style="101" customWidth="1"/>
    <col min="4365" max="4365" width="13.6640625" style="101" customWidth="1"/>
    <col min="4366" max="4366" width="14.6640625" style="101" customWidth="1"/>
    <col min="4367" max="4368" width="17.109375" style="101" customWidth="1"/>
    <col min="4369" max="4369" width="14.6640625" style="101" customWidth="1"/>
    <col min="4370" max="4371" width="8.109375" style="101" customWidth="1"/>
    <col min="4372" max="4372" width="9" style="101" customWidth="1"/>
    <col min="4373" max="4373" width="12.33203125" style="101" customWidth="1"/>
    <col min="4374" max="4374" width="11" style="101" customWidth="1"/>
    <col min="4375" max="4375" width="12.88671875" style="101" customWidth="1"/>
    <col min="4376" max="4610" width="10.88671875" style="101"/>
    <col min="4611" max="4611" width="5.6640625" style="101" customWidth="1"/>
    <col min="4612" max="4613" width="8.109375" style="101" customWidth="1"/>
    <col min="4614" max="4614" width="9" style="101" customWidth="1"/>
    <col min="4615" max="4615" width="8.6640625" style="101" customWidth="1"/>
    <col min="4616" max="4616" width="18.33203125" style="101" customWidth="1"/>
    <col min="4617" max="4617" width="65.6640625" style="101" customWidth="1"/>
    <col min="4618" max="4618" width="27" style="101" customWidth="1"/>
    <col min="4619" max="4619" width="27.109375" style="101" customWidth="1"/>
    <col min="4620" max="4620" width="17.6640625" style="101" customWidth="1"/>
    <col min="4621" max="4621" width="13.6640625" style="101" customWidth="1"/>
    <col min="4622" max="4622" width="14.6640625" style="101" customWidth="1"/>
    <col min="4623" max="4624" width="17.109375" style="101" customWidth="1"/>
    <col min="4625" max="4625" width="14.6640625" style="101" customWidth="1"/>
    <col min="4626" max="4627" width="8.109375" style="101" customWidth="1"/>
    <col min="4628" max="4628" width="9" style="101" customWidth="1"/>
    <col min="4629" max="4629" width="12.33203125" style="101" customWidth="1"/>
    <col min="4630" max="4630" width="11" style="101" customWidth="1"/>
    <col min="4631" max="4631" width="12.88671875" style="101" customWidth="1"/>
    <col min="4632" max="4866" width="10.88671875" style="101"/>
    <col min="4867" max="4867" width="5.6640625" style="101" customWidth="1"/>
    <col min="4868" max="4869" width="8.109375" style="101" customWidth="1"/>
    <col min="4870" max="4870" width="9" style="101" customWidth="1"/>
    <col min="4871" max="4871" width="8.6640625" style="101" customWidth="1"/>
    <col min="4872" max="4872" width="18.33203125" style="101" customWidth="1"/>
    <col min="4873" max="4873" width="65.6640625" style="101" customWidth="1"/>
    <col min="4874" max="4874" width="27" style="101" customWidth="1"/>
    <col min="4875" max="4875" width="27.109375" style="101" customWidth="1"/>
    <col min="4876" max="4876" width="17.6640625" style="101" customWidth="1"/>
    <col min="4877" max="4877" width="13.6640625" style="101" customWidth="1"/>
    <col min="4878" max="4878" width="14.6640625" style="101" customWidth="1"/>
    <col min="4879" max="4880" width="17.109375" style="101" customWidth="1"/>
    <col min="4881" max="4881" width="14.6640625" style="101" customWidth="1"/>
    <col min="4882" max="4883" width="8.109375" style="101" customWidth="1"/>
    <col min="4884" max="4884" width="9" style="101" customWidth="1"/>
    <col min="4885" max="4885" width="12.33203125" style="101" customWidth="1"/>
    <col min="4886" max="4886" width="11" style="101" customWidth="1"/>
    <col min="4887" max="4887" width="12.88671875" style="101" customWidth="1"/>
    <col min="4888" max="5122" width="10.88671875" style="101"/>
    <col min="5123" max="5123" width="5.6640625" style="101" customWidth="1"/>
    <col min="5124" max="5125" width="8.109375" style="101" customWidth="1"/>
    <col min="5126" max="5126" width="9" style="101" customWidth="1"/>
    <col min="5127" max="5127" width="8.6640625" style="101" customWidth="1"/>
    <col min="5128" max="5128" width="18.33203125" style="101" customWidth="1"/>
    <col min="5129" max="5129" width="65.6640625" style="101" customWidth="1"/>
    <col min="5130" max="5130" width="27" style="101" customWidth="1"/>
    <col min="5131" max="5131" width="27.109375" style="101" customWidth="1"/>
    <col min="5132" max="5132" width="17.6640625" style="101" customWidth="1"/>
    <col min="5133" max="5133" width="13.6640625" style="101" customWidth="1"/>
    <col min="5134" max="5134" width="14.6640625" style="101" customWidth="1"/>
    <col min="5135" max="5136" width="17.109375" style="101" customWidth="1"/>
    <col min="5137" max="5137" width="14.6640625" style="101" customWidth="1"/>
    <col min="5138" max="5139" width="8.109375" style="101" customWidth="1"/>
    <col min="5140" max="5140" width="9" style="101" customWidth="1"/>
    <col min="5141" max="5141" width="12.33203125" style="101" customWidth="1"/>
    <col min="5142" max="5142" width="11" style="101" customWidth="1"/>
    <col min="5143" max="5143" width="12.88671875" style="101" customWidth="1"/>
    <col min="5144" max="5378" width="10.88671875" style="101"/>
    <col min="5379" max="5379" width="5.6640625" style="101" customWidth="1"/>
    <col min="5380" max="5381" width="8.109375" style="101" customWidth="1"/>
    <col min="5382" max="5382" width="9" style="101" customWidth="1"/>
    <col min="5383" max="5383" width="8.6640625" style="101" customWidth="1"/>
    <col min="5384" max="5384" width="18.33203125" style="101" customWidth="1"/>
    <col min="5385" max="5385" width="65.6640625" style="101" customWidth="1"/>
    <col min="5386" max="5386" width="27" style="101" customWidth="1"/>
    <col min="5387" max="5387" width="27.109375" style="101" customWidth="1"/>
    <col min="5388" max="5388" width="17.6640625" style="101" customWidth="1"/>
    <col min="5389" max="5389" width="13.6640625" style="101" customWidth="1"/>
    <col min="5390" max="5390" width="14.6640625" style="101" customWidth="1"/>
    <col min="5391" max="5392" width="17.109375" style="101" customWidth="1"/>
    <col min="5393" max="5393" width="14.6640625" style="101" customWidth="1"/>
    <col min="5394" max="5395" width="8.109375" style="101" customWidth="1"/>
    <col min="5396" max="5396" width="9" style="101" customWidth="1"/>
    <col min="5397" max="5397" width="12.33203125" style="101" customWidth="1"/>
    <col min="5398" max="5398" width="11" style="101" customWidth="1"/>
    <col min="5399" max="5399" width="12.88671875" style="101" customWidth="1"/>
    <col min="5400" max="5634" width="10.88671875" style="101"/>
    <col min="5635" max="5635" width="5.6640625" style="101" customWidth="1"/>
    <col min="5636" max="5637" width="8.109375" style="101" customWidth="1"/>
    <col min="5638" max="5638" width="9" style="101" customWidth="1"/>
    <col min="5639" max="5639" width="8.6640625" style="101" customWidth="1"/>
    <col min="5640" max="5640" width="18.33203125" style="101" customWidth="1"/>
    <col min="5641" max="5641" width="65.6640625" style="101" customWidth="1"/>
    <col min="5642" max="5642" width="27" style="101" customWidth="1"/>
    <col min="5643" max="5643" width="27.109375" style="101" customWidth="1"/>
    <col min="5644" max="5644" width="17.6640625" style="101" customWidth="1"/>
    <col min="5645" max="5645" width="13.6640625" style="101" customWidth="1"/>
    <col min="5646" max="5646" width="14.6640625" style="101" customWidth="1"/>
    <col min="5647" max="5648" width="17.109375" style="101" customWidth="1"/>
    <col min="5649" max="5649" width="14.6640625" style="101" customWidth="1"/>
    <col min="5650" max="5651" width="8.109375" style="101" customWidth="1"/>
    <col min="5652" max="5652" width="9" style="101" customWidth="1"/>
    <col min="5653" max="5653" width="12.33203125" style="101" customWidth="1"/>
    <col min="5654" max="5654" width="11" style="101" customWidth="1"/>
    <col min="5655" max="5655" width="12.88671875" style="101" customWidth="1"/>
    <col min="5656" max="5890" width="10.88671875" style="101"/>
    <col min="5891" max="5891" width="5.6640625" style="101" customWidth="1"/>
    <col min="5892" max="5893" width="8.109375" style="101" customWidth="1"/>
    <col min="5894" max="5894" width="9" style="101" customWidth="1"/>
    <col min="5895" max="5895" width="8.6640625" style="101" customWidth="1"/>
    <col min="5896" max="5896" width="18.33203125" style="101" customWidth="1"/>
    <col min="5897" max="5897" width="65.6640625" style="101" customWidth="1"/>
    <col min="5898" max="5898" width="27" style="101" customWidth="1"/>
    <col min="5899" max="5899" width="27.109375" style="101" customWidth="1"/>
    <col min="5900" max="5900" width="17.6640625" style="101" customWidth="1"/>
    <col min="5901" max="5901" width="13.6640625" style="101" customWidth="1"/>
    <col min="5902" max="5902" width="14.6640625" style="101" customWidth="1"/>
    <col min="5903" max="5904" width="17.109375" style="101" customWidth="1"/>
    <col min="5905" max="5905" width="14.6640625" style="101" customWidth="1"/>
    <col min="5906" max="5907" width="8.109375" style="101" customWidth="1"/>
    <col min="5908" max="5908" width="9" style="101" customWidth="1"/>
    <col min="5909" max="5909" width="12.33203125" style="101" customWidth="1"/>
    <col min="5910" max="5910" width="11" style="101" customWidth="1"/>
    <col min="5911" max="5911" width="12.88671875" style="101" customWidth="1"/>
    <col min="5912" max="6146" width="10.88671875" style="101"/>
    <col min="6147" max="6147" width="5.6640625" style="101" customWidth="1"/>
    <col min="6148" max="6149" width="8.109375" style="101" customWidth="1"/>
    <col min="6150" max="6150" width="9" style="101" customWidth="1"/>
    <col min="6151" max="6151" width="8.6640625" style="101" customWidth="1"/>
    <col min="6152" max="6152" width="18.33203125" style="101" customWidth="1"/>
    <col min="6153" max="6153" width="65.6640625" style="101" customWidth="1"/>
    <col min="6154" max="6154" width="27" style="101" customWidth="1"/>
    <col min="6155" max="6155" width="27.109375" style="101" customWidth="1"/>
    <col min="6156" max="6156" width="17.6640625" style="101" customWidth="1"/>
    <col min="6157" max="6157" width="13.6640625" style="101" customWidth="1"/>
    <col min="6158" max="6158" width="14.6640625" style="101" customWidth="1"/>
    <col min="6159" max="6160" width="17.109375" style="101" customWidth="1"/>
    <col min="6161" max="6161" width="14.6640625" style="101" customWidth="1"/>
    <col min="6162" max="6163" width="8.109375" style="101" customWidth="1"/>
    <col min="6164" max="6164" width="9" style="101" customWidth="1"/>
    <col min="6165" max="6165" width="12.33203125" style="101" customWidth="1"/>
    <col min="6166" max="6166" width="11" style="101" customWidth="1"/>
    <col min="6167" max="6167" width="12.88671875" style="101" customWidth="1"/>
    <col min="6168" max="6402" width="10.88671875" style="101"/>
    <col min="6403" max="6403" width="5.6640625" style="101" customWidth="1"/>
    <col min="6404" max="6405" width="8.109375" style="101" customWidth="1"/>
    <col min="6406" max="6406" width="9" style="101" customWidth="1"/>
    <col min="6407" max="6407" width="8.6640625" style="101" customWidth="1"/>
    <col min="6408" max="6408" width="18.33203125" style="101" customWidth="1"/>
    <col min="6409" max="6409" width="65.6640625" style="101" customWidth="1"/>
    <col min="6410" max="6410" width="27" style="101" customWidth="1"/>
    <col min="6411" max="6411" width="27.109375" style="101" customWidth="1"/>
    <col min="6412" max="6412" width="17.6640625" style="101" customWidth="1"/>
    <col min="6413" max="6413" width="13.6640625" style="101" customWidth="1"/>
    <col min="6414" max="6414" width="14.6640625" style="101" customWidth="1"/>
    <col min="6415" max="6416" width="17.109375" style="101" customWidth="1"/>
    <col min="6417" max="6417" width="14.6640625" style="101" customWidth="1"/>
    <col min="6418" max="6419" width="8.109375" style="101" customWidth="1"/>
    <col min="6420" max="6420" width="9" style="101" customWidth="1"/>
    <col min="6421" max="6421" width="12.33203125" style="101" customWidth="1"/>
    <col min="6422" max="6422" width="11" style="101" customWidth="1"/>
    <col min="6423" max="6423" width="12.88671875" style="101" customWidth="1"/>
    <col min="6424" max="6658" width="10.88671875" style="101"/>
    <col min="6659" max="6659" width="5.6640625" style="101" customWidth="1"/>
    <col min="6660" max="6661" width="8.109375" style="101" customWidth="1"/>
    <col min="6662" max="6662" width="9" style="101" customWidth="1"/>
    <col min="6663" max="6663" width="8.6640625" style="101" customWidth="1"/>
    <col min="6664" max="6664" width="18.33203125" style="101" customWidth="1"/>
    <col min="6665" max="6665" width="65.6640625" style="101" customWidth="1"/>
    <col min="6666" max="6666" width="27" style="101" customWidth="1"/>
    <col min="6667" max="6667" width="27.109375" style="101" customWidth="1"/>
    <col min="6668" max="6668" width="17.6640625" style="101" customWidth="1"/>
    <col min="6669" max="6669" width="13.6640625" style="101" customWidth="1"/>
    <col min="6670" max="6670" width="14.6640625" style="101" customWidth="1"/>
    <col min="6671" max="6672" width="17.109375" style="101" customWidth="1"/>
    <col min="6673" max="6673" width="14.6640625" style="101" customWidth="1"/>
    <col min="6674" max="6675" width="8.109375" style="101" customWidth="1"/>
    <col min="6676" max="6676" width="9" style="101" customWidth="1"/>
    <col min="6677" max="6677" width="12.33203125" style="101" customWidth="1"/>
    <col min="6678" max="6678" width="11" style="101" customWidth="1"/>
    <col min="6679" max="6679" width="12.88671875" style="101" customWidth="1"/>
    <col min="6680" max="6914" width="10.88671875" style="101"/>
    <col min="6915" max="6915" width="5.6640625" style="101" customWidth="1"/>
    <col min="6916" max="6917" width="8.109375" style="101" customWidth="1"/>
    <col min="6918" max="6918" width="9" style="101" customWidth="1"/>
    <col min="6919" max="6919" width="8.6640625" style="101" customWidth="1"/>
    <col min="6920" max="6920" width="18.33203125" style="101" customWidth="1"/>
    <col min="6921" max="6921" width="65.6640625" style="101" customWidth="1"/>
    <col min="6922" max="6922" width="27" style="101" customWidth="1"/>
    <col min="6923" max="6923" width="27.109375" style="101" customWidth="1"/>
    <col min="6924" max="6924" width="17.6640625" style="101" customWidth="1"/>
    <col min="6925" max="6925" width="13.6640625" style="101" customWidth="1"/>
    <col min="6926" max="6926" width="14.6640625" style="101" customWidth="1"/>
    <col min="6927" max="6928" width="17.109375" style="101" customWidth="1"/>
    <col min="6929" max="6929" width="14.6640625" style="101" customWidth="1"/>
    <col min="6930" max="6931" width="8.109375" style="101" customWidth="1"/>
    <col min="6932" max="6932" width="9" style="101" customWidth="1"/>
    <col min="6933" max="6933" width="12.33203125" style="101" customWidth="1"/>
    <col min="6934" max="6934" width="11" style="101" customWidth="1"/>
    <col min="6935" max="6935" width="12.88671875" style="101" customWidth="1"/>
    <col min="6936" max="7170" width="10.88671875" style="101"/>
    <col min="7171" max="7171" width="5.6640625" style="101" customWidth="1"/>
    <col min="7172" max="7173" width="8.109375" style="101" customWidth="1"/>
    <col min="7174" max="7174" width="9" style="101" customWidth="1"/>
    <col min="7175" max="7175" width="8.6640625" style="101" customWidth="1"/>
    <col min="7176" max="7176" width="18.33203125" style="101" customWidth="1"/>
    <col min="7177" max="7177" width="65.6640625" style="101" customWidth="1"/>
    <col min="7178" max="7178" width="27" style="101" customWidth="1"/>
    <col min="7179" max="7179" width="27.109375" style="101" customWidth="1"/>
    <col min="7180" max="7180" width="17.6640625" style="101" customWidth="1"/>
    <col min="7181" max="7181" width="13.6640625" style="101" customWidth="1"/>
    <col min="7182" max="7182" width="14.6640625" style="101" customWidth="1"/>
    <col min="7183" max="7184" width="17.109375" style="101" customWidth="1"/>
    <col min="7185" max="7185" width="14.6640625" style="101" customWidth="1"/>
    <col min="7186" max="7187" width="8.109375" style="101" customWidth="1"/>
    <col min="7188" max="7188" width="9" style="101" customWidth="1"/>
    <col min="7189" max="7189" width="12.33203125" style="101" customWidth="1"/>
    <col min="7190" max="7190" width="11" style="101" customWidth="1"/>
    <col min="7191" max="7191" width="12.88671875" style="101" customWidth="1"/>
    <col min="7192" max="7426" width="10.88671875" style="101"/>
    <col min="7427" max="7427" width="5.6640625" style="101" customWidth="1"/>
    <col min="7428" max="7429" width="8.109375" style="101" customWidth="1"/>
    <col min="7430" max="7430" width="9" style="101" customWidth="1"/>
    <col min="7431" max="7431" width="8.6640625" style="101" customWidth="1"/>
    <col min="7432" max="7432" width="18.33203125" style="101" customWidth="1"/>
    <col min="7433" max="7433" width="65.6640625" style="101" customWidth="1"/>
    <col min="7434" max="7434" width="27" style="101" customWidth="1"/>
    <col min="7435" max="7435" width="27.109375" style="101" customWidth="1"/>
    <col min="7436" max="7436" width="17.6640625" style="101" customWidth="1"/>
    <col min="7437" max="7437" width="13.6640625" style="101" customWidth="1"/>
    <col min="7438" max="7438" width="14.6640625" style="101" customWidth="1"/>
    <col min="7439" max="7440" width="17.109375" style="101" customWidth="1"/>
    <col min="7441" max="7441" width="14.6640625" style="101" customWidth="1"/>
    <col min="7442" max="7443" width="8.109375" style="101" customWidth="1"/>
    <col min="7444" max="7444" width="9" style="101" customWidth="1"/>
    <col min="7445" max="7445" width="12.33203125" style="101" customWidth="1"/>
    <col min="7446" max="7446" width="11" style="101" customWidth="1"/>
    <col min="7447" max="7447" width="12.88671875" style="101" customWidth="1"/>
    <col min="7448" max="7682" width="10.88671875" style="101"/>
    <col min="7683" max="7683" width="5.6640625" style="101" customWidth="1"/>
    <col min="7684" max="7685" width="8.109375" style="101" customWidth="1"/>
    <col min="7686" max="7686" width="9" style="101" customWidth="1"/>
    <col min="7687" max="7687" width="8.6640625" style="101" customWidth="1"/>
    <col min="7688" max="7688" width="18.33203125" style="101" customWidth="1"/>
    <col min="7689" max="7689" width="65.6640625" style="101" customWidth="1"/>
    <col min="7690" max="7690" width="27" style="101" customWidth="1"/>
    <col min="7691" max="7691" width="27.109375" style="101" customWidth="1"/>
    <col min="7692" max="7692" width="17.6640625" style="101" customWidth="1"/>
    <col min="7693" max="7693" width="13.6640625" style="101" customWidth="1"/>
    <col min="7694" max="7694" width="14.6640625" style="101" customWidth="1"/>
    <col min="7695" max="7696" width="17.109375" style="101" customWidth="1"/>
    <col min="7697" max="7697" width="14.6640625" style="101" customWidth="1"/>
    <col min="7698" max="7699" width="8.109375" style="101" customWidth="1"/>
    <col min="7700" max="7700" width="9" style="101" customWidth="1"/>
    <col min="7701" max="7701" width="12.33203125" style="101" customWidth="1"/>
    <col min="7702" max="7702" width="11" style="101" customWidth="1"/>
    <col min="7703" max="7703" width="12.88671875" style="101" customWidth="1"/>
    <col min="7704" max="7938" width="10.88671875" style="101"/>
    <col min="7939" max="7939" width="5.6640625" style="101" customWidth="1"/>
    <col min="7940" max="7941" width="8.109375" style="101" customWidth="1"/>
    <col min="7942" max="7942" width="9" style="101" customWidth="1"/>
    <col min="7943" max="7943" width="8.6640625" style="101" customWidth="1"/>
    <col min="7944" max="7944" width="18.33203125" style="101" customWidth="1"/>
    <col min="7945" max="7945" width="65.6640625" style="101" customWidth="1"/>
    <col min="7946" max="7946" width="27" style="101" customWidth="1"/>
    <col min="7947" max="7947" width="27.109375" style="101" customWidth="1"/>
    <col min="7948" max="7948" width="17.6640625" style="101" customWidth="1"/>
    <col min="7949" max="7949" width="13.6640625" style="101" customWidth="1"/>
    <col min="7950" max="7950" width="14.6640625" style="101" customWidth="1"/>
    <col min="7951" max="7952" width="17.109375" style="101" customWidth="1"/>
    <col min="7953" max="7953" width="14.6640625" style="101" customWidth="1"/>
    <col min="7954" max="7955" width="8.109375" style="101" customWidth="1"/>
    <col min="7956" max="7956" width="9" style="101" customWidth="1"/>
    <col min="7957" max="7957" width="12.33203125" style="101" customWidth="1"/>
    <col min="7958" max="7958" width="11" style="101" customWidth="1"/>
    <col min="7959" max="7959" width="12.88671875" style="101" customWidth="1"/>
    <col min="7960" max="8194" width="10.88671875" style="101"/>
    <col min="8195" max="8195" width="5.6640625" style="101" customWidth="1"/>
    <col min="8196" max="8197" width="8.109375" style="101" customWidth="1"/>
    <col min="8198" max="8198" width="9" style="101" customWidth="1"/>
    <col min="8199" max="8199" width="8.6640625" style="101" customWidth="1"/>
    <col min="8200" max="8200" width="18.33203125" style="101" customWidth="1"/>
    <col min="8201" max="8201" width="65.6640625" style="101" customWidth="1"/>
    <col min="8202" max="8202" width="27" style="101" customWidth="1"/>
    <col min="8203" max="8203" width="27.109375" style="101" customWidth="1"/>
    <col min="8204" max="8204" width="17.6640625" style="101" customWidth="1"/>
    <col min="8205" max="8205" width="13.6640625" style="101" customWidth="1"/>
    <col min="8206" max="8206" width="14.6640625" style="101" customWidth="1"/>
    <col min="8207" max="8208" width="17.109375" style="101" customWidth="1"/>
    <col min="8209" max="8209" width="14.6640625" style="101" customWidth="1"/>
    <col min="8210" max="8211" width="8.109375" style="101" customWidth="1"/>
    <col min="8212" max="8212" width="9" style="101" customWidth="1"/>
    <col min="8213" max="8213" width="12.33203125" style="101" customWidth="1"/>
    <col min="8214" max="8214" width="11" style="101" customWidth="1"/>
    <col min="8215" max="8215" width="12.88671875" style="101" customWidth="1"/>
    <col min="8216" max="8450" width="10.88671875" style="101"/>
    <col min="8451" max="8451" width="5.6640625" style="101" customWidth="1"/>
    <col min="8452" max="8453" width="8.109375" style="101" customWidth="1"/>
    <col min="8454" max="8454" width="9" style="101" customWidth="1"/>
    <col min="8455" max="8455" width="8.6640625" style="101" customWidth="1"/>
    <col min="8456" max="8456" width="18.33203125" style="101" customWidth="1"/>
    <col min="8457" max="8457" width="65.6640625" style="101" customWidth="1"/>
    <col min="8458" max="8458" width="27" style="101" customWidth="1"/>
    <col min="8459" max="8459" width="27.109375" style="101" customWidth="1"/>
    <col min="8460" max="8460" width="17.6640625" style="101" customWidth="1"/>
    <col min="8461" max="8461" width="13.6640625" style="101" customWidth="1"/>
    <col min="8462" max="8462" width="14.6640625" style="101" customWidth="1"/>
    <col min="8463" max="8464" width="17.109375" style="101" customWidth="1"/>
    <col min="8465" max="8465" width="14.6640625" style="101" customWidth="1"/>
    <col min="8466" max="8467" width="8.109375" style="101" customWidth="1"/>
    <col min="8468" max="8468" width="9" style="101" customWidth="1"/>
    <col min="8469" max="8469" width="12.33203125" style="101" customWidth="1"/>
    <col min="8470" max="8470" width="11" style="101" customWidth="1"/>
    <col min="8471" max="8471" width="12.88671875" style="101" customWidth="1"/>
    <col min="8472" max="8706" width="10.88671875" style="101"/>
    <col min="8707" max="8707" width="5.6640625" style="101" customWidth="1"/>
    <col min="8708" max="8709" width="8.109375" style="101" customWidth="1"/>
    <col min="8710" max="8710" width="9" style="101" customWidth="1"/>
    <col min="8711" max="8711" width="8.6640625" style="101" customWidth="1"/>
    <col min="8712" max="8712" width="18.33203125" style="101" customWidth="1"/>
    <col min="8713" max="8713" width="65.6640625" style="101" customWidth="1"/>
    <col min="8714" max="8714" width="27" style="101" customWidth="1"/>
    <col min="8715" max="8715" width="27.109375" style="101" customWidth="1"/>
    <col min="8716" max="8716" width="17.6640625" style="101" customWidth="1"/>
    <col min="8717" max="8717" width="13.6640625" style="101" customWidth="1"/>
    <col min="8718" max="8718" width="14.6640625" style="101" customWidth="1"/>
    <col min="8719" max="8720" width="17.109375" style="101" customWidth="1"/>
    <col min="8721" max="8721" width="14.6640625" style="101" customWidth="1"/>
    <col min="8722" max="8723" width="8.109375" style="101" customWidth="1"/>
    <col min="8724" max="8724" width="9" style="101" customWidth="1"/>
    <col min="8725" max="8725" width="12.33203125" style="101" customWidth="1"/>
    <col min="8726" max="8726" width="11" style="101" customWidth="1"/>
    <col min="8727" max="8727" width="12.88671875" style="101" customWidth="1"/>
    <col min="8728" max="8962" width="10.88671875" style="101"/>
    <col min="8963" max="8963" width="5.6640625" style="101" customWidth="1"/>
    <col min="8964" max="8965" width="8.109375" style="101" customWidth="1"/>
    <col min="8966" max="8966" width="9" style="101" customWidth="1"/>
    <col min="8967" max="8967" width="8.6640625" style="101" customWidth="1"/>
    <col min="8968" max="8968" width="18.33203125" style="101" customWidth="1"/>
    <col min="8969" max="8969" width="65.6640625" style="101" customWidth="1"/>
    <col min="8970" max="8970" width="27" style="101" customWidth="1"/>
    <col min="8971" max="8971" width="27.109375" style="101" customWidth="1"/>
    <col min="8972" max="8972" width="17.6640625" style="101" customWidth="1"/>
    <col min="8973" max="8973" width="13.6640625" style="101" customWidth="1"/>
    <col min="8974" max="8974" width="14.6640625" style="101" customWidth="1"/>
    <col min="8975" max="8976" width="17.109375" style="101" customWidth="1"/>
    <col min="8977" max="8977" width="14.6640625" style="101" customWidth="1"/>
    <col min="8978" max="8979" width="8.109375" style="101" customWidth="1"/>
    <col min="8980" max="8980" width="9" style="101" customWidth="1"/>
    <col min="8981" max="8981" width="12.33203125" style="101" customWidth="1"/>
    <col min="8982" max="8982" width="11" style="101" customWidth="1"/>
    <col min="8983" max="8983" width="12.88671875" style="101" customWidth="1"/>
    <col min="8984" max="9218" width="10.88671875" style="101"/>
    <col min="9219" max="9219" width="5.6640625" style="101" customWidth="1"/>
    <col min="9220" max="9221" width="8.109375" style="101" customWidth="1"/>
    <col min="9222" max="9222" width="9" style="101" customWidth="1"/>
    <col min="9223" max="9223" width="8.6640625" style="101" customWidth="1"/>
    <col min="9224" max="9224" width="18.33203125" style="101" customWidth="1"/>
    <col min="9225" max="9225" width="65.6640625" style="101" customWidth="1"/>
    <col min="9226" max="9226" width="27" style="101" customWidth="1"/>
    <col min="9227" max="9227" width="27.109375" style="101" customWidth="1"/>
    <col min="9228" max="9228" width="17.6640625" style="101" customWidth="1"/>
    <col min="9229" max="9229" width="13.6640625" style="101" customWidth="1"/>
    <col min="9230" max="9230" width="14.6640625" style="101" customWidth="1"/>
    <col min="9231" max="9232" width="17.109375" style="101" customWidth="1"/>
    <col min="9233" max="9233" width="14.6640625" style="101" customWidth="1"/>
    <col min="9234" max="9235" width="8.109375" style="101" customWidth="1"/>
    <col min="9236" max="9236" width="9" style="101" customWidth="1"/>
    <col min="9237" max="9237" width="12.33203125" style="101" customWidth="1"/>
    <col min="9238" max="9238" width="11" style="101" customWidth="1"/>
    <col min="9239" max="9239" width="12.88671875" style="101" customWidth="1"/>
    <col min="9240" max="9474" width="10.88671875" style="101"/>
    <col min="9475" max="9475" width="5.6640625" style="101" customWidth="1"/>
    <col min="9476" max="9477" width="8.109375" style="101" customWidth="1"/>
    <col min="9478" max="9478" width="9" style="101" customWidth="1"/>
    <col min="9479" max="9479" width="8.6640625" style="101" customWidth="1"/>
    <col min="9480" max="9480" width="18.33203125" style="101" customWidth="1"/>
    <col min="9481" max="9481" width="65.6640625" style="101" customWidth="1"/>
    <col min="9482" max="9482" width="27" style="101" customWidth="1"/>
    <col min="9483" max="9483" width="27.109375" style="101" customWidth="1"/>
    <col min="9484" max="9484" width="17.6640625" style="101" customWidth="1"/>
    <col min="9485" max="9485" width="13.6640625" style="101" customWidth="1"/>
    <col min="9486" max="9486" width="14.6640625" style="101" customWidth="1"/>
    <col min="9487" max="9488" width="17.109375" style="101" customWidth="1"/>
    <col min="9489" max="9489" width="14.6640625" style="101" customWidth="1"/>
    <col min="9490" max="9491" width="8.109375" style="101" customWidth="1"/>
    <col min="9492" max="9492" width="9" style="101" customWidth="1"/>
    <col min="9493" max="9493" width="12.33203125" style="101" customWidth="1"/>
    <col min="9494" max="9494" width="11" style="101" customWidth="1"/>
    <col min="9495" max="9495" width="12.88671875" style="101" customWidth="1"/>
    <col min="9496" max="9730" width="10.88671875" style="101"/>
    <col min="9731" max="9731" width="5.6640625" style="101" customWidth="1"/>
    <col min="9732" max="9733" width="8.109375" style="101" customWidth="1"/>
    <col min="9734" max="9734" width="9" style="101" customWidth="1"/>
    <col min="9735" max="9735" width="8.6640625" style="101" customWidth="1"/>
    <col min="9736" max="9736" width="18.33203125" style="101" customWidth="1"/>
    <col min="9737" max="9737" width="65.6640625" style="101" customWidth="1"/>
    <col min="9738" max="9738" width="27" style="101" customWidth="1"/>
    <col min="9739" max="9739" width="27.109375" style="101" customWidth="1"/>
    <col min="9740" max="9740" width="17.6640625" style="101" customWidth="1"/>
    <col min="9741" max="9741" width="13.6640625" style="101" customWidth="1"/>
    <col min="9742" max="9742" width="14.6640625" style="101" customWidth="1"/>
    <col min="9743" max="9744" width="17.109375" style="101" customWidth="1"/>
    <col min="9745" max="9745" width="14.6640625" style="101" customWidth="1"/>
    <col min="9746" max="9747" width="8.109375" style="101" customWidth="1"/>
    <col min="9748" max="9748" width="9" style="101" customWidth="1"/>
    <col min="9749" max="9749" width="12.33203125" style="101" customWidth="1"/>
    <col min="9750" max="9750" width="11" style="101" customWidth="1"/>
    <col min="9751" max="9751" width="12.88671875" style="101" customWidth="1"/>
    <col min="9752" max="9986" width="10.88671875" style="101"/>
    <col min="9987" max="9987" width="5.6640625" style="101" customWidth="1"/>
    <col min="9988" max="9989" width="8.109375" style="101" customWidth="1"/>
    <col min="9990" max="9990" width="9" style="101" customWidth="1"/>
    <col min="9991" max="9991" width="8.6640625" style="101" customWidth="1"/>
    <col min="9992" max="9992" width="18.33203125" style="101" customWidth="1"/>
    <col min="9993" max="9993" width="65.6640625" style="101" customWidth="1"/>
    <col min="9994" max="9994" width="27" style="101" customWidth="1"/>
    <col min="9995" max="9995" width="27.109375" style="101" customWidth="1"/>
    <col min="9996" max="9996" width="17.6640625" style="101" customWidth="1"/>
    <col min="9997" max="9997" width="13.6640625" style="101" customWidth="1"/>
    <col min="9998" max="9998" width="14.6640625" style="101" customWidth="1"/>
    <col min="9999" max="10000" width="17.109375" style="101" customWidth="1"/>
    <col min="10001" max="10001" width="14.6640625" style="101" customWidth="1"/>
    <col min="10002" max="10003" width="8.109375" style="101" customWidth="1"/>
    <col min="10004" max="10004" width="9" style="101" customWidth="1"/>
    <col min="10005" max="10005" width="12.33203125" style="101" customWidth="1"/>
    <col min="10006" max="10006" width="11" style="101" customWidth="1"/>
    <col min="10007" max="10007" width="12.88671875" style="101" customWidth="1"/>
    <col min="10008" max="10242" width="10.88671875" style="101"/>
    <col min="10243" max="10243" width="5.6640625" style="101" customWidth="1"/>
    <col min="10244" max="10245" width="8.109375" style="101" customWidth="1"/>
    <col min="10246" max="10246" width="9" style="101" customWidth="1"/>
    <col min="10247" max="10247" width="8.6640625" style="101" customWidth="1"/>
    <col min="10248" max="10248" width="18.33203125" style="101" customWidth="1"/>
    <col min="10249" max="10249" width="65.6640625" style="101" customWidth="1"/>
    <col min="10250" max="10250" width="27" style="101" customWidth="1"/>
    <col min="10251" max="10251" width="27.109375" style="101" customWidth="1"/>
    <col min="10252" max="10252" width="17.6640625" style="101" customWidth="1"/>
    <col min="10253" max="10253" width="13.6640625" style="101" customWidth="1"/>
    <col min="10254" max="10254" width="14.6640625" style="101" customWidth="1"/>
    <col min="10255" max="10256" width="17.109375" style="101" customWidth="1"/>
    <col min="10257" max="10257" width="14.6640625" style="101" customWidth="1"/>
    <col min="10258" max="10259" width="8.109375" style="101" customWidth="1"/>
    <col min="10260" max="10260" width="9" style="101" customWidth="1"/>
    <col min="10261" max="10261" width="12.33203125" style="101" customWidth="1"/>
    <col min="10262" max="10262" width="11" style="101" customWidth="1"/>
    <col min="10263" max="10263" width="12.88671875" style="101" customWidth="1"/>
    <col min="10264" max="10498" width="10.88671875" style="101"/>
    <col min="10499" max="10499" width="5.6640625" style="101" customWidth="1"/>
    <col min="10500" max="10501" width="8.109375" style="101" customWidth="1"/>
    <col min="10502" max="10502" width="9" style="101" customWidth="1"/>
    <col min="10503" max="10503" width="8.6640625" style="101" customWidth="1"/>
    <col min="10504" max="10504" width="18.33203125" style="101" customWidth="1"/>
    <col min="10505" max="10505" width="65.6640625" style="101" customWidth="1"/>
    <col min="10506" max="10506" width="27" style="101" customWidth="1"/>
    <col min="10507" max="10507" width="27.109375" style="101" customWidth="1"/>
    <col min="10508" max="10508" width="17.6640625" style="101" customWidth="1"/>
    <col min="10509" max="10509" width="13.6640625" style="101" customWidth="1"/>
    <col min="10510" max="10510" width="14.6640625" style="101" customWidth="1"/>
    <col min="10511" max="10512" width="17.109375" style="101" customWidth="1"/>
    <col min="10513" max="10513" width="14.6640625" style="101" customWidth="1"/>
    <col min="10514" max="10515" width="8.109375" style="101" customWidth="1"/>
    <col min="10516" max="10516" width="9" style="101" customWidth="1"/>
    <col min="10517" max="10517" width="12.33203125" style="101" customWidth="1"/>
    <col min="10518" max="10518" width="11" style="101" customWidth="1"/>
    <col min="10519" max="10519" width="12.88671875" style="101" customWidth="1"/>
    <col min="10520" max="10754" width="10.88671875" style="101"/>
    <col min="10755" max="10755" width="5.6640625" style="101" customWidth="1"/>
    <col min="10756" max="10757" width="8.109375" style="101" customWidth="1"/>
    <col min="10758" max="10758" width="9" style="101" customWidth="1"/>
    <col min="10759" max="10759" width="8.6640625" style="101" customWidth="1"/>
    <col min="10760" max="10760" width="18.33203125" style="101" customWidth="1"/>
    <col min="10761" max="10761" width="65.6640625" style="101" customWidth="1"/>
    <col min="10762" max="10762" width="27" style="101" customWidth="1"/>
    <col min="10763" max="10763" width="27.109375" style="101" customWidth="1"/>
    <col min="10764" max="10764" width="17.6640625" style="101" customWidth="1"/>
    <col min="10765" max="10765" width="13.6640625" style="101" customWidth="1"/>
    <col min="10766" max="10766" width="14.6640625" style="101" customWidth="1"/>
    <col min="10767" max="10768" width="17.109375" style="101" customWidth="1"/>
    <col min="10769" max="10769" width="14.6640625" style="101" customWidth="1"/>
    <col min="10770" max="10771" width="8.109375" style="101" customWidth="1"/>
    <col min="10772" max="10772" width="9" style="101" customWidth="1"/>
    <col min="10773" max="10773" width="12.33203125" style="101" customWidth="1"/>
    <col min="10774" max="10774" width="11" style="101" customWidth="1"/>
    <col min="10775" max="10775" width="12.88671875" style="101" customWidth="1"/>
    <col min="10776" max="11010" width="10.88671875" style="101"/>
    <col min="11011" max="11011" width="5.6640625" style="101" customWidth="1"/>
    <col min="11012" max="11013" width="8.109375" style="101" customWidth="1"/>
    <col min="11014" max="11014" width="9" style="101" customWidth="1"/>
    <col min="11015" max="11015" width="8.6640625" style="101" customWidth="1"/>
    <col min="11016" max="11016" width="18.33203125" style="101" customWidth="1"/>
    <col min="11017" max="11017" width="65.6640625" style="101" customWidth="1"/>
    <col min="11018" max="11018" width="27" style="101" customWidth="1"/>
    <col min="11019" max="11019" width="27.109375" style="101" customWidth="1"/>
    <col min="11020" max="11020" width="17.6640625" style="101" customWidth="1"/>
    <col min="11021" max="11021" width="13.6640625" style="101" customWidth="1"/>
    <col min="11022" max="11022" width="14.6640625" style="101" customWidth="1"/>
    <col min="11023" max="11024" width="17.109375" style="101" customWidth="1"/>
    <col min="11025" max="11025" width="14.6640625" style="101" customWidth="1"/>
    <col min="11026" max="11027" width="8.109375" style="101" customWidth="1"/>
    <col min="11028" max="11028" width="9" style="101" customWidth="1"/>
    <col min="11029" max="11029" width="12.33203125" style="101" customWidth="1"/>
    <col min="11030" max="11030" width="11" style="101" customWidth="1"/>
    <col min="11031" max="11031" width="12.88671875" style="101" customWidth="1"/>
    <col min="11032" max="11266" width="10.88671875" style="101"/>
    <col min="11267" max="11267" width="5.6640625" style="101" customWidth="1"/>
    <col min="11268" max="11269" width="8.109375" style="101" customWidth="1"/>
    <col min="11270" max="11270" width="9" style="101" customWidth="1"/>
    <col min="11271" max="11271" width="8.6640625" style="101" customWidth="1"/>
    <col min="11272" max="11272" width="18.33203125" style="101" customWidth="1"/>
    <col min="11273" max="11273" width="65.6640625" style="101" customWidth="1"/>
    <col min="11274" max="11274" width="27" style="101" customWidth="1"/>
    <col min="11275" max="11275" width="27.109375" style="101" customWidth="1"/>
    <col min="11276" max="11276" width="17.6640625" style="101" customWidth="1"/>
    <col min="11277" max="11277" width="13.6640625" style="101" customWidth="1"/>
    <col min="11278" max="11278" width="14.6640625" style="101" customWidth="1"/>
    <col min="11279" max="11280" width="17.109375" style="101" customWidth="1"/>
    <col min="11281" max="11281" width="14.6640625" style="101" customWidth="1"/>
    <col min="11282" max="11283" width="8.109375" style="101" customWidth="1"/>
    <col min="11284" max="11284" width="9" style="101" customWidth="1"/>
    <col min="11285" max="11285" width="12.33203125" style="101" customWidth="1"/>
    <col min="11286" max="11286" width="11" style="101" customWidth="1"/>
    <col min="11287" max="11287" width="12.88671875" style="101" customWidth="1"/>
    <col min="11288" max="11522" width="10.88671875" style="101"/>
    <col min="11523" max="11523" width="5.6640625" style="101" customWidth="1"/>
    <col min="11524" max="11525" width="8.109375" style="101" customWidth="1"/>
    <col min="11526" max="11526" width="9" style="101" customWidth="1"/>
    <col min="11527" max="11527" width="8.6640625" style="101" customWidth="1"/>
    <col min="11528" max="11528" width="18.33203125" style="101" customWidth="1"/>
    <col min="11529" max="11529" width="65.6640625" style="101" customWidth="1"/>
    <col min="11530" max="11530" width="27" style="101" customWidth="1"/>
    <col min="11531" max="11531" width="27.109375" style="101" customWidth="1"/>
    <col min="11532" max="11532" width="17.6640625" style="101" customWidth="1"/>
    <col min="11533" max="11533" width="13.6640625" style="101" customWidth="1"/>
    <col min="11534" max="11534" width="14.6640625" style="101" customWidth="1"/>
    <col min="11535" max="11536" width="17.109375" style="101" customWidth="1"/>
    <col min="11537" max="11537" width="14.6640625" style="101" customWidth="1"/>
    <col min="11538" max="11539" width="8.109375" style="101" customWidth="1"/>
    <col min="11540" max="11540" width="9" style="101" customWidth="1"/>
    <col min="11541" max="11541" width="12.33203125" style="101" customWidth="1"/>
    <col min="11542" max="11542" width="11" style="101" customWidth="1"/>
    <col min="11543" max="11543" width="12.88671875" style="101" customWidth="1"/>
    <col min="11544" max="11778" width="10.88671875" style="101"/>
    <col min="11779" max="11779" width="5.6640625" style="101" customWidth="1"/>
    <col min="11780" max="11781" width="8.109375" style="101" customWidth="1"/>
    <col min="11782" max="11782" width="9" style="101" customWidth="1"/>
    <col min="11783" max="11783" width="8.6640625" style="101" customWidth="1"/>
    <col min="11784" max="11784" width="18.33203125" style="101" customWidth="1"/>
    <col min="11785" max="11785" width="65.6640625" style="101" customWidth="1"/>
    <col min="11786" max="11786" width="27" style="101" customWidth="1"/>
    <col min="11787" max="11787" width="27.109375" style="101" customWidth="1"/>
    <col min="11788" max="11788" width="17.6640625" style="101" customWidth="1"/>
    <col min="11789" max="11789" width="13.6640625" style="101" customWidth="1"/>
    <col min="11790" max="11790" width="14.6640625" style="101" customWidth="1"/>
    <col min="11791" max="11792" width="17.109375" style="101" customWidth="1"/>
    <col min="11793" max="11793" width="14.6640625" style="101" customWidth="1"/>
    <col min="11794" max="11795" width="8.109375" style="101" customWidth="1"/>
    <col min="11796" max="11796" width="9" style="101" customWidth="1"/>
    <col min="11797" max="11797" width="12.33203125" style="101" customWidth="1"/>
    <col min="11798" max="11798" width="11" style="101" customWidth="1"/>
    <col min="11799" max="11799" width="12.88671875" style="101" customWidth="1"/>
    <col min="11800" max="12034" width="10.88671875" style="101"/>
    <col min="12035" max="12035" width="5.6640625" style="101" customWidth="1"/>
    <col min="12036" max="12037" width="8.109375" style="101" customWidth="1"/>
    <col min="12038" max="12038" width="9" style="101" customWidth="1"/>
    <col min="12039" max="12039" width="8.6640625" style="101" customWidth="1"/>
    <col min="12040" max="12040" width="18.33203125" style="101" customWidth="1"/>
    <col min="12041" max="12041" width="65.6640625" style="101" customWidth="1"/>
    <col min="12042" max="12042" width="27" style="101" customWidth="1"/>
    <col min="12043" max="12043" width="27.109375" style="101" customWidth="1"/>
    <col min="12044" max="12044" width="17.6640625" style="101" customWidth="1"/>
    <col min="12045" max="12045" width="13.6640625" style="101" customWidth="1"/>
    <col min="12046" max="12046" width="14.6640625" style="101" customWidth="1"/>
    <col min="12047" max="12048" width="17.109375" style="101" customWidth="1"/>
    <col min="12049" max="12049" width="14.6640625" style="101" customWidth="1"/>
    <col min="12050" max="12051" width="8.109375" style="101" customWidth="1"/>
    <col min="12052" max="12052" width="9" style="101" customWidth="1"/>
    <col min="12053" max="12053" width="12.33203125" style="101" customWidth="1"/>
    <col min="12054" max="12054" width="11" style="101" customWidth="1"/>
    <col min="12055" max="12055" width="12.88671875" style="101" customWidth="1"/>
    <col min="12056" max="12290" width="10.88671875" style="101"/>
    <col min="12291" max="12291" width="5.6640625" style="101" customWidth="1"/>
    <col min="12292" max="12293" width="8.109375" style="101" customWidth="1"/>
    <col min="12294" max="12294" width="9" style="101" customWidth="1"/>
    <col min="12295" max="12295" width="8.6640625" style="101" customWidth="1"/>
    <col min="12296" max="12296" width="18.33203125" style="101" customWidth="1"/>
    <col min="12297" max="12297" width="65.6640625" style="101" customWidth="1"/>
    <col min="12298" max="12298" width="27" style="101" customWidth="1"/>
    <col min="12299" max="12299" width="27.109375" style="101" customWidth="1"/>
    <col min="12300" max="12300" width="17.6640625" style="101" customWidth="1"/>
    <col min="12301" max="12301" width="13.6640625" style="101" customWidth="1"/>
    <col min="12302" max="12302" width="14.6640625" style="101" customWidth="1"/>
    <col min="12303" max="12304" width="17.109375" style="101" customWidth="1"/>
    <col min="12305" max="12305" width="14.6640625" style="101" customWidth="1"/>
    <col min="12306" max="12307" width="8.109375" style="101" customWidth="1"/>
    <col min="12308" max="12308" width="9" style="101" customWidth="1"/>
    <col min="12309" max="12309" width="12.33203125" style="101" customWidth="1"/>
    <col min="12310" max="12310" width="11" style="101" customWidth="1"/>
    <col min="12311" max="12311" width="12.88671875" style="101" customWidth="1"/>
    <col min="12312" max="12546" width="10.88671875" style="101"/>
    <col min="12547" max="12547" width="5.6640625" style="101" customWidth="1"/>
    <col min="12548" max="12549" width="8.109375" style="101" customWidth="1"/>
    <col min="12550" max="12550" width="9" style="101" customWidth="1"/>
    <col min="12551" max="12551" width="8.6640625" style="101" customWidth="1"/>
    <col min="12552" max="12552" width="18.33203125" style="101" customWidth="1"/>
    <col min="12553" max="12553" width="65.6640625" style="101" customWidth="1"/>
    <col min="12554" max="12554" width="27" style="101" customWidth="1"/>
    <col min="12555" max="12555" width="27.109375" style="101" customWidth="1"/>
    <col min="12556" max="12556" width="17.6640625" style="101" customWidth="1"/>
    <col min="12557" max="12557" width="13.6640625" style="101" customWidth="1"/>
    <col min="12558" max="12558" width="14.6640625" style="101" customWidth="1"/>
    <col min="12559" max="12560" width="17.109375" style="101" customWidth="1"/>
    <col min="12561" max="12561" width="14.6640625" style="101" customWidth="1"/>
    <col min="12562" max="12563" width="8.109375" style="101" customWidth="1"/>
    <col min="12564" max="12564" width="9" style="101" customWidth="1"/>
    <col min="12565" max="12565" width="12.33203125" style="101" customWidth="1"/>
    <col min="12566" max="12566" width="11" style="101" customWidth="1"/>
    <col min="12567" max="12567" width="12.88671875" style="101" customWidth="1"/>
    <col min="12568" max="12802" width="10.88671875" style="101"/>
    <col min="12803" max="12803" width="5.6640625" style="101" customWidth="1"/>
    <col min="12804" max="12805" width="8.109375" style="101" customWidth="1"/>
    <col min="12806" max="12806" width="9" style="101" customWidth="1"/>
    <col min="12807" max="12807" width="8.6640625" style="101" customWidth="1"/>
    <col min="12808" max="12808" width="18.33203125" style="101" customWidth="1"/>
    <col min="12809" max="12809" width="65.6640625" style="101" customWidth="1"/>
    <col min="12810" max="12810" width="27" style="101" customWidth="1"/>
    <col min="12811" max="12811" width="27.109375" style="101" customWidth="1"/>
    <col min="12812" max="12812" width="17.6640625" style="101" customWidth="1"/>
    <col min="12813" max="12813" width="13.6640625" style="101" customWidth="1"/>
    <col min="12814" max="12814" width="14.6640625" style="101" customWidth="1"/>
    <col min="12815" max="12816" width="17.109375" style="101" customWidth="1"/>
    <col min="12817" max="12817" width="14.6640625" style="101" customWidth="1"/>
    <col min="12818" max="12819" width="8.109375" style="101" customWidth="1"/>
    <col min="12820" max="12820" width="9" style="101" customWidth="1"/>
    <col min="12821" max="12821" width="12.33203125" style="101" customWidth="1"/>
    <col min="12822" max="12822" width="11" style="101" customWidth="1"/>
    <col min="12823" max="12823" width="12.88671875" style="101" customWidth="1"/>
    <col min="12824" max="13058" width="10.88671875" style="101"/>
    <col min="13059" max="13059" width="5.6640625" style="101" customWidth="1"/>
    <col min="13060" max="13061" width="8.109375" style="101" customWidth="1"/>
    <col min="13062" max="13062" width="9" style="101" customWidth="1"/>
    <col min="13063" max="13063" width="8.6640625" style="101" customWidth="1"/>
    <col min="13064" max="13064" width="18.33203125" style="101" customWidth="1"/>
    <col min="13065" max="13065" width="65.6640625" style="101" customWidth="1"/>
    <col min="13066" max="13066" width="27" style="101" customWidth="1"/>
    <col min="13067" max="13067" width="27.109375" style="101" customWidth="1"/>
    <col min="13068" max="13068" width="17.6640625" style="101" customWidth="1"/>
    <col min="13069" max="13069" width="13.6640625" style="101" customWidth="1"/>
    <col min="13070" max="13070" width="14.6640625" style="101" customWidth="1"/>
    <col min="13071" max="13072" width="17.109375" style="101" customWidth="1"/>
    <col min="13073" max="13073" width="14.6640625" style="101" customWidth="1"/>
    <col min="13074" max="13075" width="8.109375" style="101" customWidth="1"/>
    <col min="13076" max="13076" width="9" style="101" customWidth="1"/>
    <col min="13077" max="13077" width="12.33203125" style="101" customWidth="1"/>
    <col min="13078" max="13078" width="11" style="101" customWidth="1"/>
    <col min="13079" max="13079" width="12.88671875" style="101" customWidth="1"/>
    <col min="13080" max="13314" width="10.88671875" style="101"/>
    <col min="13315" max="13315" width="5.6640625" style="101" customWidth="1"/>
    <col min="13316" max="13317" width="8.109375" style="101" customWidth="1"/>
    <col min="13318" max="13318" width="9" style="101" customWidth="1"/>
    <col min="13319" max="13319" width="8.6640625" style="101" customWidth="1"/>
    <col min="13320" max="13320" width="18.33203125" style="101" customWidth="1"/>
    <col min="13321" max="13321" width="65.6640625" style="101" customWidth="1"/>
    <col min="13322" max="13322" width="27" style="101" customWidth="1"/>
    <col min="13323" max="13323" width="27.109375" style="101" customWidth="1"/>
    <col min="13324" max="13324" width="17.6640625" style="101" customWidth="1"/>
    <col min="13325" max="13325" width="13.6640625" style="101" customWidth="1"/>
    <col min="13326" max="13326" width="14.6640625" style="101" customWidth="1"/>
    <col min="13327" max="13328" width="17.109375" style="101" customWidth="1"/>
    <col min="13329" max="13329" width="14.6640625" style="101" customWidth="1"/>
    <col min="13330" max="13331" width="8.109375" style="101" customWidth="1"/>
    <col min="13332" max="13332" width="9" style="101" customWidth="1"/>
    <col min="13333" max="13333" width="12.33203125" style="101" customWidth="1"/>
    <col min="13334" max="13334" width="11" style="101" customWidth="1"/>
    <col min="13335" max="13335" width="12.88671875" style="101" customWidth="1"/>
    <col min="13336" max="13570" width="10.88671875" style="101"/>
    <col min="13571" max="13571" width="5.6640625" style="101" customWidth="1"/>
    <col min="13572" max="13573" width="8.109375" style="101" customWidth="1"/>
    <col min="13574" max="13574" width="9" style="101" customWidth="1"/>
    <col min="13575" max="13575" width="8.6640625" style="101" customWidth="1"/>
    <col min="13576" max="13576" width="18.33203125" style="101" customWidth="1"/>
    <col min="13577" max="13577" width="65.6640625" style="101" customWidth="1"/>
    <col min="13578" max="13578" width="27" style="101" customWidth="1"/>
    <col min="13579" max="13579" width="27.109375" style="101" customWidth="1"/>
    <col min="13580" max="13580" width="17.6640625" style="101" customWidth="1"/>
    <col min="13581" max="13581" width="13.6640625" style="101" customWidth="1"/>
    <col min="13582" max="13582" width="14.6640625" style="101" customWidth="1"/>
    <col min="13583" max="13584" width="17.109375" style="101" customWidth="1"/>
    <col min="13585" max="13585" width="14.6640625" style="101" customWidth="1"/>
    <col min="13586" max="13587" width="8.109375" style="101" customWidth="1"/>
    <col min="13588" max="13588" width="9" style="101" customWidth="1"/>
    <col min="13589" max="13589" width="12.33203125" style="101" customWidth="1"/>
    <col min="13590" max="13590" width="11" style="101" customWidth="1"/>
    <col min="13591" max="13591" width="12.88671875" style="101" customWidth="1"/>
    <col min="13592" max="13826" width="10.88671875" style="101"/>
    <col min="13827" max="13827" width="5.6640625" style="101" customWidth="1"/>
    <col min="13828" max="13829" width="8.109375" style="101" customWidth="1"/>
    <col min="13830" max="13830" width="9" style="101" customWidth="1"/>
    <col min="13831" max="13831" width="8.6640625" style="101" customWidth="1"/>
    <col min="13832" max="13832" width="18.33203125" style="101" customWidth="1"/>
    <col min="13833" max="13833" width="65.6640625" style="101" customWidth="1"/>
    <col min="13834" max="13834" width="27" style="101" customWidth="1"/>
    <col min="13835" max="13835" width="27.109375" style="101" customWidth="1"/>
    <col min="13836" max="13836" width="17.6640625" style="101" customWidth="1"/>
    <col min="13837" max="13837" width="13.6640625" style="101" customWidth="1"/>
    <col min="13838" max="13838" width="14.6640625" style="101" customWidth="1"/>
    <col min="13839" max="13840" width="17.109375" style="101" customWidth="1"/>
    <col min="13841" max="13841" width="14.6640625" style="101" customWidth="1"/>
    <col min="13842" max="13843" width="8.109375" style="101" customWidth="1"/>
    <col min="13844" max="13844" width="9" style="101" customWidth="1"/>
    <col min="13845" max="13845" width="12.33203125" style="101" customWidth="1"/>
    <col min="13846" max="13846" width="11" style="101" customWidth="1"/>
    <col min="13847" max="13847" width="12.88671875" style="101" customWidth="1"/>
    <col min="13848" max="14082" width="10.88671875" style="101"/>
    <col min="14083" max="14083" width="5.6640625" style="101" customWidth="1"/>
    <col min="14084" max="14085" width="8.109375" style="101" customWidth="1"/>
    <col min="14086" max="14086" width="9" style="101" customWidth="1"/>
    <col min="14087" max="14087" width="8.6640625" style="101" customWidth="1"/>
    <col min="14088" max="14088" width="18.33203125" style="101" customWidth="1"/>
    <col min="14089" max="14089" width="65.6640625" style="101" customWidth="1"/>
    <col min="14090" max="14090" width="27" style="101" customWidth="1"/>
    <col min="14091" max="14091" width="27.109375" style="101" customWidth="1"/>
    <col min="14092" max="14092" width="17.6640625" style="101" customWidth="1"/>
    <col min="14093" max="14093" width="13.6640625" style="101" customWidth="1"/>
    <col min="14094" max="14094" width="14.6640625" style="101" customWidth="1"/>
    <col min="14095" max="14096" width="17.109375" style="101" customWidth="1"/>
    <col min="14097" max="14097" width="14.6640625" style="101" customWidth="1"/>
    <col min="14098" max="14099" width="8.109375" style="101" customWidth="1"/>
    <col min="14100" max="14100" width="9" style="101" customWidth="1"/>
    <col min="14101" max="14101" width="12.33203125" style="101" customWidth="1"/>
    <col min="14102" max="14102" width="11" style="101" customWidth="1"/>
    <col min="14103" max="14103" width="12.88671875" style="101" customWidth="1"/>
    <col min="14104" max="14338" width="10.88671875" style="101"/>
    <col min="14339" max="14339" width="5.6640625" style="101" customWidth="1"/>
    <col min="14340" max="14341" width="8.109375" style="101" customWidth="1"/>
    <col min="14342" max="14342" width="9" style="101" customWidth="1"/>
    <col min="14343" max="14343" width="8.6640625" style="101" customWidth="1"/>
    <col min="14344" max="14344" width="18.33203125" style="101" customWidth="1"/>
    <col min="14345" max="14345" width="65.6640625" style="101" customWidth="1"/>
    <col min="14346" max="14346" width="27" style="101" customWidth="1"/>
    <col min="14347" max="14347" width="27.109375" style="101" customWidth="1"/>
    <col min="14348" max="14348" width="17.6640625" style="101" customWidth="1"/>
    <col min="14349" max="14349" width="13.6640625" style="101" customWidth="1"/>
    <col min="14350" max="14350" width="14.6640625" style="101" customWidth="1"/>
    <col min="14351" max="14352" width="17.109375" style="101" customWidth="1"/>
    <col min="14353" max="14353" width="14.6640625" style="101" customWidth="1"/>
    <col min="14354" max="14355" width="8.109375" style="101" customWidth="1"/>
    <col min="14356" max="14356" width="9" style="101" customWidth="1"/>
    <col min="14357" max="14357" width="12.33203125" style="101" customWidth="1"/>
    <col min="14358" max="14358" width="11" style="101" customWidth="1"/>
    <col min="14359" max="14359" width="12.88671875" style="101" customWidth="1"/>
    <col min="14360" max="14594" width="10.88671875" style="101"/>
    <col min="14595" max="14595" width="5.6640625" style="101" customWidth="1"/>
    <col min="14596" max="14597" width="8.109375" style="101" customWidth="1"/>
    <col min="14598" max="14598" width="9" style="101" customWidth="1"/>
    <col min="14599" max="14599" width="8.6640625" style="101" customWidth="1"/>
    <col min="14600" max="14600" width="18.33203125" style="101" customWidth="1"/>
    <col min="14601" max="14601" width="65.6640625" style="101" customWidth="1"/>
    <col min="14602" max="14602" width="27" style="101" customWidth="1"/>
    <col min="14603" max="14603" width="27.109375" style="101" customWidth="1"/>
    <col min="14604" max="14604" width="17.6640625" style="101" customWidth="1"/>
    <col min="14605" max="14605" width="13.6640625" style="101" customWidth="1"/>
    <col min="14606" max="14606" width="14.6640625" style="101" customWidth="1"/>
    <col min="14607" max="14608" width="17.109375" style="101" customWidth="1"/>
    <col min="14609" max="14609" width="14.6640625" style="101" customWidth="1"/>
    <col min="14610" max="14611" width="8.109375" style="101" customWidth="1"/>
    <col min="14612" max="14612" width="9" style="101" customWidth="1"/>
    <col min="14613" max="14613" width="12.33203125" style="101" customWidth="1"/>
    <col min="14614" max="14614" width="11" style="101" customWidth="1"/>
    <col min="14615" max="14615" width="12.88671875" style="101" customWidth="1"/>
    <col min="14616" max="14850" width="10.88671875" style="101"/>
    <col min="14851" max="14851" width="5.6640625" style="101" customWidth="1"/>
    <col min="14852" max="14853" width="8.109375" style="101" customWidth="1"/>
    <col min="14854" max="14854" width="9" style="101" customWidth="1"/>
    <col min="14855" max="14855" width="8.6640625" style="101" customWidth="1"/>
    <col min="14856" max="14856" width="18.33203125" style="101" customWidth="1"/>
    <col min="14857" max="14857" width="65.6640625" style="101" customWidth="1"/>
    <col min="14858" max="14858" width="27" style="101" customWidth="1"/>
    <col min="14859" max="14859" width="27.109375" style="101" customWidth="1"/>
    <col min="14860" max="14860" width="17.6640625" style="101" customWidth="1"/>
    <col min="14861" max="14861" width="13.6640625" style="101" customWidth="1"/>
    <col min="14862" max="14862" width="14.6640625" style="101" customWidth="1"/>
    <col min="14863" max="14864" width="17.109375" style="101" customWidth="1"/>
    <col min="14865" max="14865" width="14.6640625" style="101" customWidth="1"/>
    <col min="14866" max="14867" width="8.109375" style="101" customWidth="1"/>
    <col min="14868" max="14868" width="9" style="101" customWidth="1"/>
    <col min="14869" max="14869" width="12.33203125" style="101" customWidth="1"/>
    <col min="14870" max="14870" width="11" style="101" customWidth="1"/>
    <col min="14871" max="14871" width="12.88671875" style="101" customWidth="1"/>
    <col min="14872" max="15106" width="10.88671875" style="101"/>
    <col min="15107" max="15107" width="5.6640625" style="101" customWidth="1"/>
    <col min="15108" max="15109" width="8.109375" style="101" customWidth="1"/>
    <col min="15110" max="15110" width="9" style="101" customWidth="1"/>
    <col min="15111" max="15111" width="8.6640625" style="101" customWidth="1"/>
    <col min="15112" max="15112" width="18.33203125" style="101" customWidth="1"/>
    <col min="15113" max="15113" width="65.6640625" style="101" customWidth="1"/>
    <col min="15114" max="15114" width="27" style="101" customWidth="1"/>
    <col min="15115" max="15115" width="27.109375" style="101" customWidth="1"/>
    <col min="15116" max="15116" width="17.6640625" style="101" customWidth="1"/>
    <col min="15117" max="15117" width="13.6640625" style="101" customWidth="1"/>
    <col min="15118" max="15118" width="14.6640625" style="101" customWidth="1"/>
    <col min="15119" max="15120" width="17.109375" style="101" customWidth="1"/>
    <col min="15121" max="15121" width="14.6640625" style="101" customWidth="1"/>
    <col min="15122" max="15123" width="8.109375" style="101" customWidth="1"/>
    <col min="15124" max="15124" width="9" style="101" customWidth="1"/>
    <col min="15125" max="15125" width="12.33203125" style="101" customWidth="1"/>
    <col min="15126" max="15126" width="11" style="101" customWidth="1"/>
    <col min="15127" max="15127" width="12.88671875" style="101" customWidth="1"/>
    <col min="15128" max="15362" width="10.88671875" style="101"/>
    <col min="15363" max="15363" width="5.6640625" style="101" customWidth="1"/>
    <col min="15364" max="15365" width="8.109375" style="101" customWidth="1"/>
    <col min="15366" max="15366" width="9" style="101" customWidth="1"/>
    <col min="15367" max="15367" width="8.6640625" style="101" customWidth="1"/>
    <col min="15368" max="15368" width="18.33203125" style="101" customWidth="1"/>
    <col min="15369" max="15369" width="65.6640625" style="101" customWidth="1"/>
    <col min="15370" max="15370" width="27" style="101" customWidth="1"/>
    <col min="15371" max="15371" width="27.109375" style="101" customWidth="1"/>
    <col min="15372" max="15372" width="17.6640625" style="101" customWidth="1"/>
    <col min="15373" max="15373" width="13.6640625" style="101" customWidth="1"/>
    <col min="15374" max="15374" width="14.6640625" style="101" customWidth="1"/>
    <col min="15375" max="15376" width="17.109375" style="101" customWidth="1"/>
    <col min="15377" max="15377" width="14.6640625" style="101" customWidth="1"/>
    <col min="15378" max="15379" width="8.109375" style="101" customWidth="1"/>
    <col min="15380" max="15380" width="9" style="101" customWidth="1"/>
    <col min="15381" max="15381" width="12.33203125" style="101" customWidth="1"/>
    <col min="15382" max="15382" width="11" style="101" customWidth="1"/>
    <col min="15383" max="15383" width="12.88671875" style="101" customWidth="1"/>
    <col min="15384" max="15618" width="10.88671875" style="101"/>
    <col min="15619" max="15619" width="5.6640625" style="101" customWidth="1"/>
    <col min="15620" max="15621" width="8.109375" style="101" customWidth="1"/>
    <col min="15622" max="15622" width="9" style="101" customWidth="1"/>
    <col min="15623" max="15623" width="8.6640625" style="101" customWidth="1"/>
    <col min="15624" max="15624" width="18.33203125" style="101" customWidth="1"/>
    <col min="15625" max="15625" width="65.6640625" style="101" customWidth="1"/>
    <col min="15626" max="15626" width="27" style="101" customWidth="1"/>
    <col min="15627" max="15627" width="27.109375" style="101" customWidth="1"/>
    <col min="15628" max="15628" width="17.6640625" style="101" customWidth="1"/>
    <col min="15629" max="15629" width="13.6640625" style="101" customWidth="1"/>
    <col min="15630" max="15630" width="14.6640625" style="101" customWidth="1"/>
    <col min="15631" max="15632" width="17.109375" style="101" customWidth="1"/>
    <col min="15633" max="15633" width="14.6640625" style="101" customWidth="1"/>
    <col min="15634" max="15635" width="8.109375" style="101" customWidth="1"/>
    <col min="15636" max="15636" width="9" style="101" customWidth="1"/>
    <col min="15637" max="15637" width="12.33203125" style="101" customWidth="1"/>
    <col min="15638" max="15638" width="11" style="101" customWidth="1"/>
    <col min="15639" max="15639" width="12.88671875" style="101" customWidth="1"/>
    <col min="15640" max="15874" width="10.88671875" style="101"/>
    <col min="15875" max="15875" width="5.6640625" style="101" customWidth="1"/>
    <col min="15876" max="15877" width="8.109375" style="101" customWidth="1"/>
    <col min="15878" max="15878" width="9" style="101" customWidth="1"/>
    <col min="15879" max="15879" width="8.6640625" style="101" customWidth="1"/>
    <col min="15880" max="15880" width="18.33203125" style="101" customWidth="1"/>
    <col min="15881" max="15881" width="65.6640625" style="101" customWidth="1"/>
    <col min="15882" max="15882" width="27" style="101" customWidth="1"/>
    <col min="15883" max="15883" width="27.109375" style="101" customWidth="1"/>
    <col min="15884" max="15884" width="17.6640625" style="101" customWidth="1"/>
    <col min="15885" max="15885" width="13.6640625" style="101" customWidth="1"/>
    <col min="15886" max="15886" width="14.6640625" style="101" customWidth="1"/>
    <col min="15887" max="15888" width="17.109375" style="101" customWidth="1"/>
    <col min="15889" max="15889" width="14.6640625" style="101" customWidth="1"/>
    <col min="15890" max="15891" width="8.109375" style="101" customWidth="1"/>
    <col min="15892" max="15892" width="9" style="101" customWidth="1"/>
    <col min="15893" max="15893" width="12.33203125" style="101" customWidth="1"/>
    <col min="15894" max="15894" width="11" style="101" customWidth="1"/>
    <col min="15895" max="15895" width="12.88671875" style="101" customWidth="1"/>
    <col min="15896" max="16130" width="10.88671875" style="101"/>
    <col min="16131" max="16131" width="5.6640625" style="101" customWidth="1"/>
    <col min="16132" max="16133" width="8.109375" style="101" customWidth="1"/>
    <col min="16134" max="16134" width="9" style="101" customWidth="1"/>
    <col min="16135" max="16135" width="8.6640625" style="101" customWidth="1"/>
    <col min="16136" max="16136" width="18.33203125" style="101" customWidth="1"/>
    <col min="16137" max="16137" width="65.6640625" style="101" customWidth="1"/>
    <col min="16138" max="16138" width="27" style="101" customWidth="1"/>
    <col min="16139" max="16139" width="27.109375" style="101" customWidth="1"/>
    <col min="16140" max="16140" width="17.6640625" style="101" customWidth="1"/>
    <col min="16141" max="16141" width="13.6640625" style="101" customWidth="1"/>
    <col min="16142" max="16142" width="14.6640625" style="101" customWidth="1"/>
    <col min="16143" max="16144" width="17.109375" style="101" customWidth="1"/>
    <col min="16145" max="16145" width="14.6640625" style="101" customWidth="1"/>
    <col min="16146" max="16147" width="8.109375" style="101" customWidth="1"/>
    <col min="16148" max="16148" width="9" style="101" customWidth="1"/>
    <col min="16149" max="16149" width="12.33203125" style="101" customWidth="1"/>
    <col min="16150" max="16150" width="11" style="101" customWidth="1"/>
    <col min="16151" max="16151" width="12.88671875" style="101" customWidth="1"/>
    <col min="16152" max="16384" width="10.88671875" style="101"/>
  </cols>
  <sheetData>
    <row r="1" spans="2:25" ht="15" hidden="1" customHeight="1">
      <c r="B1" s="95"/>
      <c r="C1" s="95"/>
      <c r="D1" s="95"/>
      <c r="E1" s="95"/>
      <c r="F1" s="95"/>
      <c r="G1" s="95"/>
      <c r="H1" s="95"/>
      <c r="I1" s="96"/>
      <c r="J1" s="95"/>
      <c r="K1" s="97"/>
      <c r="L1" s="98"/>
      <c r="M1" s="95"/>
      <c r="N1" s="95"/>
      <c r="O1" s="95"/>
      <c r="P1" s="95"/>
      <c r="Q1" s="95"/>
      <c r="R1" s="95"/>
      <c r="S1" s="99"/>
      <c r="T1" s="95"/>
      <c r="U1" s="100"/>
      <c r="V1" s="277"/>
    </row>
    <row r="2" spans="2:25" ht="15" hidden="1" customHeight="1">
      <c r="B2" s="102" t="s">
        <v>0</v>
      </c>
      <c r="C2" s="95"/>
      <c r="D2" s="95"/>
      <c r="E2" s="95"/>
      <c r="F2" s="95"/>
      <c r="G2" s="95"/>
      <c r="H2" s="95"/>
      <c r="I2" s="103"/>
      <c r="J2" s="104"/>
      <c r="K2" s="97"/>
      <c r="L2" s="98"/>
      <c r="M2" s="95"/>
      <c r="N2" s="95"/>
      <c r="O2" s="95"/>
      <c r="P2" s="95"/>
      <c r="Q2" s="95"/>
      <c r="R2" s="105"/>
      <c r="S2" s="99"/>
      <c r="T2" s="95"/>
      <c r="U2" s="100"/>
      <c r="V2" s="277"/>
    </row>
    <row r="3" spans="2:25" ht="15" hidden="1" customHeight="1">
      <c r="B3" s="102" t="s">
        <v>1</v>
      </c>
      <c r="C3" s="95"/>
      <c r="D3" s="95"/>
      <c r="E3" s="95"/>
      <c r="F3" s="95"/>
      <c r="G3" s="95"/>
      <c r="H3" s="95"/>
      <c r="I3" s="96"/>
      <c r="J3" s="95"/>
      <c r="K3" s="97"/>
      <c r="L3" s="98"/>
      <c r="M3" s="95"/>
      <c r="N3" s="95"/>
      <c r="O3" s="95"/>
      <c r="P3" s="95"/>
      <c r="Q3" s="106" t="s">
        <v>2</v>
      </c>
      <c r="R3" s="107"/>
      <c r="S3" s="108"/>
      <c r="T3" s="107"/>
      <c r="U3" s="109"/>
      <c r="V3" s="277"/>
    </row>
    <row r="4" spans="2:25" s="110" customFormat="1" ht="27" customHeight="1">
      <c r="B4" s="411" t="s">
        <v>3</v>
      </c>
      <c r="C4" s="411" t="s">
        <v>4</v>
      </c>
      <c r="D4" s="412" t="s">
        <v>5</v>
      </c>
      <c r="E4" s="412" t="s">
        <v>6</v>
      </c>
      <c r="F4" s="413" t="s">
        <v>7</v>
      </c>
      <c r="G4" s="413" t="s">
        <v>8</v>
      </c>
      <c r="H4" s="412" t="s">
        <v>9</v>
      </c>
      <c r="I4" s="412" t="s">
        <v>10</v>
      </c>
      <c r="J4" s="412" t="s">
        <v>11</v>
      </c>
      <c r="K4" s="412" t="s">
        <v>12</v>
      </c>
      <c r="L4" s="414" t="s">
        <v>13</v>
      </c>
      <c r="M4" s="415" t="s">
        <v>14</v>
      </c>
      <c r="N4" s="415" t="s">
        <v>15</v>
      </c>
      <c r="O4" s="415" t="s">
        <v>16</v>
      </c>
      <c r="P4" s="415" t="s">
        <v>17</v>
      </c>
      <c r="Q4" s="415" t="s">
        <v>18</v>
      </c>
      <c r="R4" s="411" t="s">
        <v>316</v>
      </c>
      <c r="S4" s="416" t="s">
        <v>317</v>
      </c>
      <c r="T4" s="412" t="s">
        <v>318</v>
      </c>
      <c r="U4" s="417" t="s">
        <v>19</v>
      </c>
      <c r="V4" s="418" t="s">
        <v>20</v>
      </c>
    </row>
    <row r="5" spans="2:25" ht="24">
      <c r="B5" s="111">
        <f t="shared" ref="B5:B29" si="0">+YEAR(D5)</f>
        <v>2023</v>
      </c>
      <c r="C5" s="111" t="str">
        <f t="shared" ref="C5:C68" si="1">UPPER(TEXT(D5,"MMM"))</f>
        <v>MAY</v>
      </c>
      <c r="D5" s="112">
        <v>45055</v>
      </c>
      <c r="E5" s="111">
        <v>3</v>
      </c>
      <c r="F5" s="111" t="s">
        <v>21</v>
      </c>
      <c r="G5" s="111" t="s">
        <v>21</v>
      </c>
      <c r="H5" s="111" t="s">
        <v>22</v>
      </c>
      <c r="I5" s="113" t="s">
        <v>23</v>
      </c>
      <c r="J5" s="114" t="s">
        <v>24</v>
      </c>
      <c r="K5" s="115" t="s">
        <v>25</v>
      </c>
      <c r="L5" s="116">
        <v>4465171.55</v>
      </c>
      <c r="M5" s="117">
        <v>712926.55</v>
      </c>
      <c r="N5" s="117">
        <f t="shared" ref="N5:N15" si="2">L5-M5</f>
        <v>3752245</v>
      </c>
      <c r="O5" s="117">
        <f t="shared" ref="O5:O15" si="3">ROUND(N5*0.004,0)</f>
        <v>15009</v>
      </c>
      <c r="P5" s="117">
        <f t="shared" ref="P5:P15" si="4">N5-O5</f>
        <v>3737236</v>
      </c>
      <c r="Q5" s="117">
        <v>3737236</v>
      </c>
      <c r="R5" s="111">
        <f>+YEAR(T5)</f>
        <v>2023</v>
      </c>
      <c r="S5" s="118">
        <f>+MONTH(T5)</f>
        <v>7</v>
      </c>
      <c r="T5" s="119">
        <v>45135</v>
      </c>
      <c r="U5" s="120">
        <f t="shared" ref="U5:U15" si="5">+P5-Q5</f>
        <v>0</v>
      </c>
      <c r="V5" s="399"/>
    </row>
    <row r="6" spans="2:25" ht="24">
      <c r="B6" s="111">
        <f t="shared" si="0"/>
        <v>2023</v>
      </c>
      <c r="C6" s="111" t="str">
        <f t="shared" si="1"/>
        <v>MAY</v>
      </c>
      <c r="D6" s="112">
        <v>45057</v>
      </c>
      <c r="E6" s="111">
        <v>4</v>
      </c>
      <c r="F6" s="111" t="s">
        <v>21</v>
      </c>
      <c r="G6" s="111" t="s">
        <v>21</v>
      </c>
      <c r="H6" s="111" t="s">
        <v>22</v>
      </c>
      <c r="I6" s="113" t="s">
        <v>26</v>
      </c>
      <c r="J6" s="114" t="s">
        <v>27</v>
      </c>
      <c r="K6" s="115" t="s">
        <v>28</v>
      </c>
      <c r="L6" s="116">
        <v>1859767.7</v>
      </c>
      <c r="M6" s="117">
        <v>296937.7</v>
      </c>
      <c r="N6" s="117">
        <f t="shared" si="2"/>
        <v>1562830</v>
      </c>
      <c r="O6" s="117">
        <f t="shared" si="3"/>
        <v>6251</v>
      </c>
      <c r="P6" s="117">
        <f t="shared" si="4"/>
        <v>1556579</v>
      </c>
      <c r="Q6" s="117">
        <v>1556579</v>
      </c>
      <c r="R6" s="111">
        <f>+YEAR(T6)</f>
        <v>2023</v>
      </c>
      <c r="S6" s="118">
        <f>+MONTH(T6)</f>
        <v>7</v>
      </c>
      <c r="T6" s="119">
        <v>45135</v>
      </c>
      <c r="U6" s="120">
        <f t="shared" si="5"/>
        <v>0</v>
      </c>
      <c r="V6" s="400"/>
    </row>
    <row r="7" spans="2:25" ht="24">
      <c r="B7" s="111">
        <f t="shared" si="0"/>
        <v>2023</v>
      </c>
      <c r="C7" s="111" t="str">
        <f t="shared" si="1"/>
        <v>MAY</v>
      </c>
      <c r="D7" s="112">
        <v>45057</v>
      </c>
      <c r="E7" s="111">
        <v>5</v>
      </c>
      <c r="F7" s="111" t="s">
        <v>21</v>
      </c>
      <c r="G7" s="111" t="s">
        <v>21</v>
      </c>
      <c r="H7" s="111" t="s">
        <v>22</v>
      </c>
      <c r="I7" s="113" t="s">
        <v>26</v>
      </c>
      <c r="J7" s="114" t="s">
        <v>29</v>
      </c>
      <c r="K7" s="115" t="s">
        <v>28</v>
      </c>
      <c r="L7" s="116">
        <v>735256.97</v>
      </c>
      <c r="M7" s="117">
        <v>117393.97</v>
      </c>
      <c r="N7" s="117">
        <f t="shared" si="2"/>
        <v>617863</v>
      </c>
      <c r="O7" s="117">
        <f t="shared" si="3"/>
        <v>2471</v>
      </c>
      <c r="P7" s="117">
        <f t="shared" si="4"/>
        <v>615392</v>
      </c>
      <c r="Q7" s="117">
        <v>615392</v>
      </c>
      <c r="R7" s="111">
        <f>+YEAR(T7)</f>
        <v>2023</v>
      </c>
      <c r="S7" s="118">
        <f>+MONTH(T7)</f>
        <v>7</v>
      </c>
      <c r="T7" s="119">
        <v>45135</v>
      </c>
      <c r="U7" s="120">
        <f t="shared" si="5"/>
        <v>0</v>
      </c>
      <c r="V7" s="400"/>
    </row>
    <row r="8" spans="2:25" ht="24">
      <c r="B8" s="111">
        <f t="shared" si="0"/>
        <v>2023</v>
      </c>
      <c r="C8" s="111" t="str">
        <f t="shared" si="1"/>
        <v>MAY</v>
      </c>
      <c r="D8" s="112">
        <v>45057</v>
      </c>
      <c r="E8" s="111">
        <v>6</v>
      </c>
      <c r="F8" s="111" t="s">
        <v>21</v>
      </c>
      <c r="G8" s="111" t="s">
        <v>21</v>
      </c>
      <c r="H8" s="111" t="s">
        <v>22</v>
      </c>
      <c r="I8" s="113" t="s">
        <v>26</v>
      </c>
      <c r="J8" s="114" t="s">
        <v>30</v>
      </c>
      <c r="K8" s="115" t="s">
        <v>28</v>
      </c>
      <c r="L8" s="116">
        <v>1297511.74</v>
      </c>
      <c r="M8" s="117">
        <v>207165.74</v>
      </c>
      <c r="N8" s="117">
        <f t="shared" si="2"/>
        <v>1090346</v>
      </c>
      <c r="O8" s="117">
        <f t="shared" si="3"/>
        <v>4361</v>
      </c>
      <c r="P8" s="117">
        <f t="shared" si="4"/>
        <v>1085985</v>
      </c>
      <c r="Q8" s="117">
        <v>1085985</v>
      </c>
      <c r="R8" s="111">
        <f>+YEAR(T8)</f>
        <v>2023</v>
      </c>
      <c r="S8" s="118">
        <f>+MONTH(T8)</f>
        <v>7</v>
      </c>
      <c r="T8" s="119">
        <v>45135</v>
      </c>
      <c r="U8" s="120">
        <f t="shared" si="5"/>
        <v>0</v>
      </c>
      <c r="V8" s="400"/>
    </row>
    <row r="9" spans="2:25" ht="24">
      <c r="B9" s="111">
        <f t="shared" si="0"/>
        <v>2023</v>
      </c>
      <c r="C9" s="111" t="str">
        <f t="shared" si="1"/>
        <v>MAY</v>
      </c>
      <c r="D9" s="112">
        <v>45057</v>
      </c>
      <c r="E9" s="111">
        <v>7</v>
      </c>
      <c r="F9" s="111" t="s">
        <v>21</v>
      </c>
      <c r="G9" s="111" t="s">
        <v>21</v>
      </c>
      <c r="H9" s="111" t="s">
        <v>22</v>
      </c>
      <c r="I9" s="113" t="s">
        <v>26</v>
      </c>
      <c r="J9" s="114" t="s">
        <v>31</v>
      </c>
      <c r="K9" s="115" t="s">
        <v>28</v>
      </c>
      <c r="L9" s="116">
        <v>1297511.74</v>
      </c>
      <c r="M9" s="117">
        <v>207165.74</v>
      </c>
      <c r="N9" s="117">
        <f t="shared" si="2"/>
        <v>1090346</v>
      </c>
      <c r="O9" s="117">
        <f t="shared" si="3"/>
        <v>4361</v>
      </c>
      <c r="P9" s="117">
        <f t="shared" si="4"/>
        <v>1085985</v>
      </c>
      <c r="Q9" s="117">
        <v>1085985</v>
      </c>
      <c r="R9" s="111">
        <f>+YEAR(T9)</f>
        <v>2023</v>
      </c>
      <c r="S9" s="118">
        <f>+MONTH(T9)</f>
        <v>7</v>
      </c>
      <c r="T9" s="119">
        <v>45135</v>
      </c>
      <c r="U9" s="120">
        <f t="shared" si="5"/>
        <v>0</v>
      </c>
      <c r="V9" s="400"/>
    </row>
    <row r="10" spans="2:25" ht="24">
      <c r="B10" s="111">
        <f t="shared" si="0"/>
        <v>2023</v>
      </c>
      <c r="C10" s="111" t="str">
        <f t="shared" si="1"/>
        <v>MAY</v>
      </c>
      <c r="D10" s="112">
        <v>45077</v>
      </c>
      <c r="E10" s="111">
        <v>9</v>
      </c>
      <c r="F10" s="111">
        <v>19</v>
      </c>
      <c r="G10" s="111">
        <v>9</v>
      </c>
      <c r="H10" s="111" t="s">
        <v>22</v>
      </c>
      <c r="I10" s="113" t="s">
        <v>32</v>
      </c>
      <c r="J10" s="114" t="s">
        <v>27</v>
      </c>
      <c r="K10" s="115" t="s">
        <v>701</v>
      </c>
      <c r="L10" s="116">
        <v>64206895</v>
      </c>
      <c r="M10" s="117">
        <v>10251521.050000001</v>
      </c>
      <c r="N10" s="117">
        <f t="shared" si="2"/>
        <v>53955373.950000003</v>
      </c>
      <c r="O10" s="117">
        <f t="shared" si="3"/>
        <v>215821</v>
      </c>
      <c r="P10" s="117">
        <f t="shared" si="4"/>
        <v>53739552.950000003</v>
      </c>
      <c r="Q10" s="117"/>
      <c r="R10" s="111"/>
      <c r="S10" s="118"/>
      <c r="T10" s="112"/>
      <c r="U10" s="120">
        <f t="shared" si="5"/>
        <v>53739552.950000003</v>
      </c>
      <c r="V10" s="400"/>
    </row>
    <row r="11" spans="2:25" ht="24">
      <c r="B11" s="111">
        <f t="shared" si="0"/>
        <v>2023</v>
      </c>
      <c r="C11" s="111" t="str">
        <f t="shared" si="1"/>
        <v>MAY</v>
      </c>
      <c r="D11" s="112">
        <v>45077</v>
      </c>
      <c r="E11" s="111">
        <v>10</v>
      </c>
      <c r="F11" s="111">
        <v>20</v>
      </c>
      <c r="G11" s="111">
        <v>10</v>
      </c>
      <c r="H11" s="111" t="s">
        <v>22</v>
      </c>
      <c r="I11" s="113" t="s">
        <v>32</v>
      </c>
      <c r="J11" s="114" t="s">
        <v>29</v>
      </c>
      <c r="K11" s="115" t="s">
        <v>701</v>
      </c>
      <c r="L11" s="116">
        <v>25384110.989999998</v>
      </c>
      <c r="M11" s="117">
        <v>4052925.28</v>
      </c>
      <c r="N11" s="117">
        <f t="shared" si="2"/>
        <v>21331185.709999997</v>
      </c>
      <c r="O11" s="117">
        <f t="shared" si="3"/>
        <v>85325</v>
      </c>
      <c r="P11" s="117">
        <f t="shared" si="4"/>
        <v>21245860.709999997</v>
      </c>
      <c r="Q11" s="117"/>
      <c r="R11" s="111"/>
      <c r="S11" s="118"/>
      <c r="T11" s="112"/>
      <c r="U11" s="120">
        <f t="shared" si="5"/>
        <v>21245860.709999997</v>
      </c>
      <c r="V11" s="400"/>
    </row>
    <row r="12" spans="2:25" ht="24">
      <c r="B12" s="111">
        <f t="shared" si="0"/>
        <v>2023</v>
      </c>
      <c r="C12" s="111" t="str">
        <f t="shared" si="1"/>
        <v>MAY</v>
      </c>
      <c r="D12" s="112">
        <v>45077</v>
      </c>
      <c r="E12" s="111">
        <v>11</v>
      </c>
      <c r="F12" s="111">
        <v>21</v>
      </c>
      <c r="G12" s="111">
        <v>11</v>
      </c>
      <c r="H12" s="111" t="s">
        <v>22</v>
      </c>
      <c r="I12" s="113" t="s">
        <v>32</v>
      </c>
      <c r="J12" s="114" t="s">
        <v>30</v>
      </c>
      <c r="K12" s="115" t="s">
        <v>701</v>
      </c>
      <c r="L12" s="116">
        <v>44795503</v>
      </c>
      <c r="M12" s="117">
        <v>7152223.1699999999</v>
      </c>
      <c r="N12" s="117">
        <f t="shared" si="2"/>
        <v>37643279.829999998</v>
      </c>
      <c r="O12" s="117">
        <f t="shared" si="3"/>
        <v>150573</v>
      </c>
      <c r="P12" s="117">
        <f t="shared" si="4"/>
        <v>37492706.829999998</v>
      </c>
      <c r="Q12" s="117"/>
      <c r="R12" s="111"/>
      <c r="S12" s="118"/>
      <c r="T12" s="112"/>
      <c r="U12" s="120">
        <f t="shared" si="5"/>
        <v>37492706.829999998</v>
      </c>
      <c r="V12" s="400"/>
    </row>
    <row r="13" spans="2:25" ht="24">
      <c r="B13" s="111">
        <f t="shared" si="0"/>
        <v>2023</v>
      </c>
      <c r="C13" s="111" t="str">
        <f t="shared" si="1"/>
        <v>MAY</v>
      </c>
      <c r="D13" s="112">
        <v>45077</v>
      </c>
      <c r="E13" s="111">
        <v>12</v>
      </c>
      <c r="F13" s="111">
        <v>22</v>
      </c>
      <c r="G13" s="111">
        <v>12</v>
      </c>
      <c r="H13" s="111" t="s">
        <v>22</v>
      </c>
      <c r="I13" s="113" t="s">
        <v>32</v>
      </c>
      <c r="J13" s="114" t="s">
        <v>31</v>
      </c>
      <c r="K13" s="115" t="s">
        <v>701</v>
      </c>
      <c r="L13" s="116">
        <v>44795503</v>
      </c>
      <c r="M13" s="117">
        <v>7152223.1699999999</v>
      </c>
      <c r="N13" s="117">
        <f t="shared" si="2"/>
        <v>37643279.829999998</v>
      </c>
      <c r="O13" s="117">
        <f t="shared" si="3"/>
        <v>150573</v>
      </c>
      <c r="P13" s="117">
        <f t="shared" si="4"/>
        <v>37492706.829999998</v>
      </c>
      <c r="Q13" s="117"/>
      <c r="R13" s="111"/>
      <c r="S13" s="118"/>
      <c r="T13" s="112"/>
      <c r="U13" s="120">
        <f t="shared" si="5"/>
        <v>37492706.829999998</v>
      </c>
      <c r="V13" s="400"/>
    </row>
    <row r="14" spans="2:25" ht="24">
      <c r="B14" s="121">
        <f t="shared" si="0"/>
        <v>2023</v>
      </c>
      <c r="C14" s="122" t="str">
        <f t="shared" si="1"/>
        <v>JUN</v>
      </c>
      <c r="D14" s="122">
        <v>45084</v>
      </c>
      <c r="E14" s="121">
        <v>16</v>
      </c>
      <c r="F14" s="121" t="s">
        <v>21</v>
      </c>
      <c r="G14" s="121" t="s">
        <v>21</v>
      </c>
      <c r="H14" s="121" t="s">
        <v>22</v>
      </c>
      <c r="I14" s="123" t="s">
        <v>26</v>
      </c>
      <c r="J14" s="124" t="s">
        <v>34</v>
      </c>
      <c r="K14" s="125" t="s">
        <v>28</v>
      </c>
      <c r="L14" s="126">
        <v>1297511.74</v>
      </c>
      <c r="M14" s="127">
        <v>207165.74</v>
      </c>
      <c r="N14" s="127">
        <f t="shared" si="2"/>
        <v>1090346</v>
      </c>
      <c r="O14" s="127">
        <f t="shared" si="3"/>
        <v>4361</v>
      </c>
      <c r="P14" s="127">
        <f t="shared" si="4"/>
        <v>1085985</v>
      </c>
      <c r="Q14" s="127">
        <v>1085985</v>
      </c>
      <c r="R14" s="121">
        <f>+YEAR(T14)</f>
        <v>2023</v>
      </c>
      <c r="S14" s="128">
        <f>+MONTH(T14)</f>
        <v>7</v>
      </c>
      <c r="T14" s="129">
        <v>45135</v>
      </c>
      <c r="U14" s="130">
        <f t="shared" si="5"/>
        <v>0</v>
      </c>
      <c r="V14" s="400"/>
    </row>
    <row r="15" spans="2:25" ht="24">
      <c r="B15" s="121">
        <f t="shared" si="0"/>
        <v>2023</v>
      </c>
      <c r="C15" s="122" t="str">
        <f t="shared" si="1"/>
        <v>JUN</v>
      </c>
      <c r="D15" s="122">
        <v>45084</v>
      </c>
      <c r="E15" s="121">
        <v>17</v>
      </c>
      <c r="F15" s="121" t="s">
        <v>21</v>
      </c>
      <c r="G15" s="121" t="s">
        <v>21</v>
      </c>
      <c r="H15" s="121" t="s">
        <v>22</v>
      </c>
      <c r="I15" s="123" t="s">
        <v>32</v>
      </c>
      <c r="J15" s="124" t="s">
        <v>34</v>
      </c>
      <c r="K15" s="125" t="s">
        <v>701</v>
      </c>
      <c r="L15" s="126">
        <v>44795503</v>
      </c>
      <c r="M15" s="127">
        <v>7152223.1699999999</v>
      </c>
      <c r="N15" s="127">
        <f t="shared" si="2"/>
        <v>37643279.829999998</v>
      </c>
      <c r="O15" s="127">
        <f t="shared" si="3"/>
        <v>150573</v>
      </c>
      <c r="P15" s="127">
        <f t="shared" si="4"/>
        <v>37492706.829999998</v>
      </c>
      <c r="Q15" s="127">
        <v>37492706.549999997</v>
      </c>
      <c r="R15" s="121">
        <v>2023</v>
      </c>
      <c r="S15" s="128">
        <v>10</v>
      </c>
      <c r="T15" s="122">
        <v>45204</v>
      </c>
      <c r="U15" s="130">
        <f t="shared" si="5"/>
        <v>0.2800000011920929</v>
      </c>
      <c r="V15" s="399"/>
      <c r="W15" s="131"/>
      <c r="X15" s="131"/>
      <c r="Y15" s="131"/>
    </row>
    <row r="16" spans="2:25" ht="24">
      <c r="B16" s="121">
        <f t="shared" si="0"/>
        <v>2023</v>
      </c>
      <c r="C16" s="122" t="str">
        <f t="shared" si="1"/>
        <v>JUN</v>
      </c>
      <c r="D16" s="122">
        <v>45084</v>
      </c>
      <c r="E16" s="121">
        <v>17</v>
      </c>
      <c r="F16" s="121" t="s">
        <v>21</v>
      </c>
      <c r="G16" s="121" t="s">
        <v>21</v>
      </c>
      <c r="H16" s="121" t="s">
        <v>22</v>
      </c>
      <c r="I16" s="123" t="s">
        <v>32</v>
      </c>
      <c r="J16" s="124" t="s">
        <v>34</v>
      </c>
      <c r="K16" s="125" t="s">
        <v>702</v>
      </c>
      <c r="L16" s="126"/>
      <c r="M16" s="127"/>
      <c r="N16" s="127"/>
      <c r="O16" s="127"/>
      <c r="P16" s="127"/>
      <c r="Q16" s="127">
        <v>0.28000000000000003</v>
      </c>
      <c r="R16" s="121">
        <v>2023</v>
      </c>
      <c r="S16" s="128">
        <v>11</v>
      </c>
      <c r="T16" s="122">
        <v>45233</v>
      </c>
      <c r="U16" s="130">
        <f>P16-Q16</f>
        <v>-0.28000000000000003</v>
      </c>
      <c r="V16" s="399"/>
      <c r="W16" s="131"/>
      <c r="X16" s="131"/>
      <c r="Y16" s="131"/>
    </row>
    <row r="17" spans="1:22" ht="24">
      <c r="B17" s="121">
        <f t="shared" si="0"/>
        <v>2023</v>
      </c>
      <c r="C17" s="122" t="str">
        <f t="shared" si="1"/>
        <v>JUN</v>
      </c>
      <c r="D17" s="122">
        <v>45103</v>
      </c>
      <c r="E17" s="132">
        <v>25</v>
      </c>
      <c r="F17" s="121">
        <v>8</v>
      </c>
      <c r="G17" s="121">
        <v>25</v>
      </c>
      <c r="H17" s="132" t="s">
        <v>22</v>
      </c>
      <c r="I17" s="133" t="s">
        <v>35</v>
      </c>
      <c r="J17" s="134" t="s">
        <v>27</v>
      </c>
      <c r="K17" s="135" t="s">
        <v>36</v>
      </c>
      <c r="L17" s="136">
        <v>4053414.89</v>
      </c>
      <c r="M17" s="137">
        <v>647183.89</v>
      </c>
      <c r="N17" s="137">
        <f>L17-M17</f>
        <v>3406231</v>
      </c>
      <c r="O17" s="127">
        <f t="shared" ref="O17:O22" si="6">ROUND(N17*0.004,0)</f>
        <v>13625</v>
      </c>
      <c r="P17" s="127">
        <f t="shared" ref="P17:P22" si="7">N17-O17</f>
        <v>3392606</v>
      </c>
      <c r="Q17" s="127"/>
      <c r="R17" s="121"/>
      <c r="S17" s="128"/>
      <c r="T17" s="129"/>
      <c r="U17" s="130">
        <f t="shared" ref="U17:U22" si="8">+P17-Q17</f>
        <v>3392606</v>
      </c>
      <c r="V17" s="400" t="s">
        <v>37</v>
      </c>
    </row>
    <row r="18" spans="1:22" ht="24">
      <c r="B18" s="121">
        <f t="shared" si="0"/>
        <v>2023</v>
      </c>
      <c r="C18" s="122" t="str">
        <f t="shared" si="1"/>
        <v>JUN</v>
      </c>
      <c r="D18" s="122">
        <v>45103</v>
      </c>
      <c r="E18" s="132">
        <v>26</v>
      </c>
      <c r="F18" s="121">
        <v>9</v>
      </c>
      <c r="G18" s="121">
        <v>26</v>
      </c>
      <c r="H18" s="132" t="s">
        <v>22</v>
      </c>
      <c r="I18" s="133" t="s">
        <v>35</v>
      </c>
      <c r="J18" s="134" t="s">
        <v>29</v>
      </c>
      <c r="K18" s="135" t="s">
        <v>38</v>
      </c>
      <c r="L18" s="136">
        <v>1602512.31</v>
      </c>
      <c r="M18" s="137">
        <v>255863.31</v>
      </c>
      <c r="N18" s="137">
        <f>L18-M18</f>
        <v>1346649</v>
      </c>
      <c r="O18" s="127">
        <f t="shared" si="6"/>
        <v>5387</v>
      </c>
      <c r="P18" s="127">
        <f t="shared" si="7"/>
        <v>1341262</v>
      </c>
      <c r="Q18" s="127"/>
      <c r="R18" s="121"/>
      <c r="S18" s="128"/>
      <c r="T18" s="129"/>
      <c r="U18" s="130">
        <f t="shared" si="8"/>
        <v>1341262</v>
      </c>
      <c r="V18" s="400" t="s">
        <v>39</v>
      </c>
    </row>
    <row r="19" spans="1:22" ht="24">
      <c r="B19" s="121">
        <f t="shared" si="0"/>
        <v>2023</v>
      </c>
      <c r="C19" s="122" t="str">
        <f t="shared" si="1"/>
        <v>JUN</v>
      </c>
      <c r="D19" s="122">
        <v>45103</v>
      </c>
      <c r="E19" s="132">
        <v>27</v>
      </c>
      <c r="F19" s="121">
        <v>10</v>
      </c>
      <c r="G19" s="121">
        <v>27</v>
      </c>
      <c r="H19" s="132" t="s">
        <v>22</v>
      </c>
      <c r="I19" s="133" t="s">
        <v>35</v>
      </c>
      <c r="J19" s="134" t="s">
        <v>30</v>
      </c>
      <c r="K19" s="135" t="s">
        <v>38</v>
      </c>
      <c r="L19" s="136">
        <v>2827963.6</v>
      </c>
      <c r="M19" s="137">
        <v>451523.6</v>
      </c>
      <c r="N19" s="137">
        <f>L19-M19</f>
        <v>2376440</v>
      </c>
      <c r="O19" s="127">
        <f t="shared" si="6"/>
        <v>9506</v>
      </c>
      <c r="P19" s="127">
        <f t="shared" si="7"/>
        <v>2366934</v>
      </c>
      <c r="Q19" s="127"/>
      <c r="R19" s="121"/>
      <c r="S19" s="128"/>
      <c r="T19" s="129"/>
      <c r="U19" s="130">
        <f t="shared" si="8"/>
        <v>2366934</v>
      </c>
      <c r="V19" s="400" t="s">
        <v>40</v>
      </c>
    </row>
    <row r="20" spans="1:22" ht="24">
      <c r="B20" s="121">
        <f t="shared" si="0"/>
        <v>2023</v>
      </c>
      <c r="C20" s="122" t="str">
        <f t="shared" si="1"/>
        <v>JUN</v>
      </c>
      <c r="D20" s="122">
        <v>45103</v>
      </c>
      <c r="E20" s="121">
        <v>28</v>
      </c>
      <c r="F20" s="121" t="s">
        <v>21</v>
      </c>
      <c r="G20" s="121" t="s">
        <v>21</v>
      </c>
      <c r="H20" s="132" t="s">
        <v>22</v>
      </c>
      <c r="I20" s="133" t="s">
        <v>35</v>
      </c>
      <c r="J20" s="134" t="s">
        <v>41</v>
      </c>
      <c r="K20" s="135" t="s">
        <v>36</v>
      </c>
      <c r="L20" s="136">
        <v>2827963.6</v>
      </c>
      <c r="M20" s="137">
        <v>451523.6</v>
      </c>
      <c r="N20" s="137">
        <f>+L20-M20</f>
        <v>2376440</v>
      </c>
      <c r="O20" s="127">
        <f t="shared" si="6"/>
        <v>9506</v>
      </c>
      <c r="P20" s="127">
        <f t="shared" si="7"/>
        <v>2366934</v>
      </c>
      <c r="Q20" s="127"/>
      <c r="R20" s="121"/>
      <c r="S20" s="128"/>
      <c r="T20" s="122"/>
      <c r="U20" s="130">
        <f t="shared" si="8"/>
        <v>2366934</v>
      </c>
      <c r="V20" s="400" t="s">
        <v>42</v>
      </c>
    </row>
    <row r="21" spans="1:22" ht="24">
      <c r="B21" s="121">
        <f t="shared" si="0"/>
        <v>2023</v>
      </c>
      <c r="C21" s="122" t="str">
        <f t="shared" si="1"/>
        <v>JUN</v>
      </c>
      <c r="D21" s="122">
        <v>45103</v>
      </c>
      <c r="E21" s="121">
        <v>29</v>
      </c>
      <c r="F21" s="121" t="s">
        <v>21</v>
      </c>
      <c r="G21" s="121" t="s">
        <v>21</v>
      </c>
      <c r="H21" s="132" t="s">
        <v>22</v>
      </c>
      <c r="I21" s="133" t="s">
        <v>35</v>
      </c>
      <c r="J21" s="134" t="s">
        <v>34</v>
      </c>
      <c r="K21" s="135" t="s">
        <v>36</v>
      </c>
      <c r="L21" s="136">
        <v>2827963.6</v>
      </c>
      <c r="M21" s="137">
        <v>451523.6</v>
      </c>
      <c r="N21" s="137">
        <f>+L21-M21</f>
        <v>2376440</v>
      </c>
      <c r="O21" s="127">
        <f t="shared" si="6"/>
        <v>9506</v>
      </c>
      <c r="P21" s="127">
        <f t="shared" si="7"/>
        <v>2366934</v>
      </c>
      <c r="Q21" s="127"/>
      <c r="R21" s="121"/>
      <c r="S21" s="128"/>
      <c r="T21" s="122"/>
      <c r="U21" s="130">
        <f t="shared" si="8"/>
        <v>2366934</v>
      </c>
      <c r="V21" s="400" t="s">
        <v>43</v>
      </c>
    </row>
    <row r="22" spans="1:22" ht="24">
      <c r="B22" s="138">
        <f t="shared" si="0"/>
        <v>2023</v>
      </c>
      <c r="C22" s="139" t="str">
        <f t="shared" si="1"/>
        <v>JUL</v>
      </c>
      <c r="D22" s="139">
        <v>45112</v>
      </c>
      <c r="E22" s="140">
        <v>31</v>
      </c>
      <c r="F22" s="138" t="s">
        <v>21</v>
      </c>
      <c r="G22" s="138" t="s">
        <v>21</v>
      </c>
      <c r="H22" s="138" t="s">
        <v>22</v>
      </c>
      <c r="I22" s="141" t="s">
        <v>32</v>
      </c>
      <c r="J22" s="142">
        <v>45125</v>
      </c>
      <c r="K22" s="143" t="s">
        <v>701</v>
      </c>
      <c r="L22" s="144">
        <v>44795503</v>
      </c>
      <c r="M22" s="145">
        <v>7152223.1699999999</v>
      </c>
      <c r="N22" s="145">
        <f>L22-M22</f>
        <v>37643279.829999998</v>
      </c>
      <c r="O22" s="145">
        <f t="shared" si="6"/>
        <v>150573</v>
      </c>
      <c r="P22" s="145">
        <f t="shared" si="7"/>
        <v>37492706.829999998</v>
      </c>
      <c r="Q22" s="145">
        <v>37492706.549999997</v>
      </c>
      <c r="R22" s="138">
        <v>2023</v>
      </c>
      <c r="S22" s="146">
        <v>10</v>
      </c>
      <c r="T22" s="147">
        <v>45204</v>
      </c>
      <c r="U22" s="148">
        <f t="shared" si="8"/>
        <v>0.2800000011920929</v>
      </c>
      <c r="V22" s="400"/>
    </row>
    <row r="23" spans="1:22" ht="24">
      <c r="B23" s="138">
        <f t="shared" si="0"/>
        <v>2023</v>
      </c>
      <c r="C23" s="139" t="str">
        <f t="shared" si="1"/>
        <v>JUL</v>
      </c>
      <c r="D23" s="139">
        <v>45112</v>
      </c>
      <c r="E23" s="140">
        <v>31</v>
      </c>
      <c r="F23" s="138" t="s">
        <v>21</v>
      </c>
      <c r="G23" s="138" t="s">
        <v>21</v>
      </c>
      <c r="H23" s="138" t="s">
        <v>22</v>
      </c>
      <c r="I23" s="141" t="s">
        <v>32</v>
      </c>
      <c r="J23" s="142">
        <v>45125</v>
      </c>
      <c r="K23" s="143" t="s">
        <v>702</v>
      </c>
      <c r="L23" s="144"/>
      <c r="M23" s="145"/>
      <c r="N23" s="145"/>
      <c r="O23" s="145"/>
      <c r="P23" s="145"/>
      <c r="Q23" s="145">
        <v>0.28000000000000003</v>
      </c>
      <c r="R23" s="138">
        <v>2023</v>
      </c>
      <c r="S23" s="146">
        <v>11</v>
      </c>
      <c r="T23" s="147">
        <v>45233</v>
      </c>
      <c r="U23" s="148">
        <f>P23-Q23</f>
        <v>-0.28000000000000003</v>
      </c>
      <c r="V23" s="400"/>
    </row>
    <row r="24" spans="1:22" ht="24">
      <c r="B24" s="138">
        <f t="shared" si="0"/>
        <v>2023</v>
      </c>
      <c r="C24" s="139" t="str">
        <f t="shared" si="1"/>
        <v>JUL</v>
      </c>
      <c r="D24" s="139">
        <v>45112</v>
      </c>
      <c r="E24" s="140">
        <v>32</v>
      </c>
      <c r="F24" s="138" t="s">
        <v>21</v>
      </c>
      <c r="G24" s="138" t="s">
        <v>21</v>
      </c>
      <c r="H24" s="140" t="s">
        <v>22</v>
      </c>
      <c r="I24" s="149" t="s">
        <v>26</v>
      </c>
      <c r="J24" s="142">
        <v>45130</v>
      </c>
      <c r="K24" s="150" t="s">
        <v>28</v>
      </c>
      <c r="L24" s="151">
        <v>1297511.74</v>
      </c>
      <c r="M24" s="152">
        <v>207165.74</v>
      </c>
      <c r="N24" s="152">
        <f>+L24-M24</f>
        <v>1090346</v>
      </c>
      <c r="O24" s="145">
        <f t="shared" ref="O24:O44" si="9">ROUND(N24*0.004,0)</f>
        <v>4361</v>
      </c>
      <c r="P24" s="145">
        <f t="shared" ref="P24:P44" si="10">N24-O24</f>
        <v>1085985</v>
      </c>
      <c r="Q24" s="145">
        <v>1085985</v>
      </c>
      <c r="R24" s="138">
        <f>+YEAR(T24)</f>
        <v>2023</v>
      </c>
      <c r="S24" s="146">
        <f>+MONTH(T24)</f>
        <v>7</v>
      </c>
      <c r="T24" s="139">
        <v>45135</v>
      </c>
      <c r="U24" s="148">
        <f t="shared" ref="U24:U44" si="11">+P24-Q24</f>
        <v>0</v>
      </c>
      <c r="V24" s="400"/>
    </row>
    <row r="25" spans="1:22" ht="90.6" customHeight="1">
      <c r="B25" s="138">
        <f t="shared" si="0"/>
        <v>2023</v>
      </c>
      <c r="C25" s="139" t="str">
        <f t="shared" si="1"/>
        <v>JUL</v>
      </c>
      <c r="D25" s="139">
        <v>45108</v>
      </c>
      <c r="E25" s="149" t="s">
        <v>703</v>
      </c>
      <c r="F25" s="138">
        <v>8</v>
      </c>
      <c r="G25" s="138">
        <v>25</v>
      </c>
      <c r="H25" s="140" t="s">
        <v>22</v>
      </c>
      <c r="I25" s="149" t="s">
        <v>35</v>
      </c>
      <c r="J25" s="142" t="s">
        <v>27</v>
      </c>
      <c r="K25" s="150" t="s">
        <v>704</v>
      </c>
      <c r="L25" s="151">
        <v>-4053414.89</v>
      </c>
      <c r="M25" s="152">
        <v>-647183.89</v>
      </c>
      <c r="N25" s="152">
        <f>L25-M25</f>
        <v>-3406231</v>
      </c>
      <c r="O25" s="145">
        <f t="shared" si="9"/>
        <v>-13625</v>
      </c>
      <c r="P25" s="145">
        <f t="shared" si="10"/>
        <v>-3392606</v>
      </c>
      <c r="Q25" s="145"/>
      <c r="R25" s="153"/>
      <c r="S25" s="154"/>
      <c r="T25" s="139"/>
      <c r="U25" s="148">
        <f t="shared" si="11"/>
        <v>-3392606</v>
      </c>
      <c r="V25" s="400"/>
    </row>
    <row r="26" spans="1:22" ht="91.2" customHeight="1">
      <c r="B26" s="155">
        <f t="shared" si="0"/>
        <v>2023</v>
      </c>
      <c r="C26" s="139" t="str">
        <f t="shared" si="1"/>
        <v>JUL</v>
      </c>
      <c r="D26" s="156">
        <v>45108</v>
      </c>
      <c r="E26" s="157" t="s">
        <v>705</v>
      </c>
      <c r="F26" s="158">
        <v>9</v>
      </c>
      <c r="G26" s="158">
        <v>26</v>
      </c>
      <c r="H26" s="159" t="s">
        <v>22</v>
      </c>
      <c r="I26" s="149" t="s">
        <v>35</v>
      </c>
      <c r="J26" s="160" t="s">
        <v>29</v>
      </c>
      <c r="K26" s="161" t="s">
        <v>44</v>
      </c>
      <c r="L26" s="162">
        <v>-1602512.31</v>
      </c>
      <c r="M26" s="163">
        <v>-255863.31</v>
      </c>
      <c r="N26" s="163">
        <v>-1346649</v>
      </c>
      <c r="O26" s="145">
        <f t="shared" si="9"/>
        <v>-5387</v>
      </c>
      <c r="P26" s="145">
        <f t="shared" si="10"/>
        <v>-1341262</v>
      </c>
      <c r="Q26" s="164"/>
      <c r="R26" s="158"/>
      <c r="S26" s="165"/>
      <c r="T26" s="139"/>
      <c r="U26" s="148">
        <f t="shared" si="11"/>
        <v>-1341262</v>
      </c>
      <c r="V26" s="400"/>
    </row>
    <row r="27" spans="1:22" ht="91.2" customHeight="1">
      <c r="B27" s="166">
        <f t="shared" si="0"/>
        <v>2023</v>
      </c>
      <c r="C27" s="139" t="str">
        <f t="shared" si="1"/>
        <v>JUL</v>
      </c>
      <c r="D27" s="156">
        <v>45108</v>
      </c>
      <c r="E27" s="167" t="s">
        <v>706</v>
      </c>
      <c r="F27" s="168">
        <v>10</v>
      </c>
      <c r="G27" s="168">
        <v>27</v>
      </c>
      <c r="H27" s="169" t="s">
        <v>22</v>
      </c>
      <c r="I27" s="149" t="s">
        <v>35</v>
      </c>
      <c r="J27" s="170" t="s">
        <v>30</v>
      </c>
      <c r="K27" s="171" t="s">
        <v>45</v>
      </c>
      <c r="L27" s="172">
        <v>-2827963.6</v>
      </c>
      <c r="M27" s="173">
        <v>-451523.6</v>
      </c>
      <c r="N27" s="173">
        <f>+L27-M27</f>
        <v>-2376440</v>
      </c>
      <c r="O27" s="145">
        <f t="shared" si="9"/>
        <v>-9506</v>
      </c>
      <c r="P27" s="145">
        <f t="shared" si="10"/>
        <v>-2366934</v>
      </c>
      <c r="Q27" s="174"/>
      <c r="R27" s="168"/>
      <c r="S27" s="175"/>
      <c r="T27" s="139"/>
      <c r="U27" s="148">
        <f t="shared" si="11"/>
        <v>-2366934</v>
      </c>
      <c r="V27" s="400"/>
    </row>
    <row r="28" spans="1:22" ht="91.2" customHeight="1">
      <c r="B28" s="166">
        <f t="shared" si="0"/>
        <v>2023</v>
      </c>
      <c r="C28" s="139" t="str">
        <f t="shared" si="1"/>
        <v>JUL</v>
      </c>
      <c r="D28" s="156">
        <v>45108</v>
      </c>
      <c r="E28" s="167" t="s">
        <v>46</v>
      </c>
      <c r="F28" s="168">
        <v>11</v>
      </c>
      <c r="G28" s="168">
        <v>28</v>
      </c>
      <c r="H28" s="169" t="s">
        <v>22</v>
      </c>
      <c r="I28" s="149" t="s">
        <v>35</v>
      </c>
      <c r="J28" s="170" t="s">
        <v>31</v>
      </c>
      <c r="K28" s="171" t="s">
        <v>47</v>
      </c>
      <c r="L28" s="172">
        <v>-2827963.6</v>
      </c>
      <c r="M28" s="173">
        <v>-451523.6</v>
      </c>
      <c r="N28" s="173">
        <f>L28-M28</f>
        <v>-2376440</v>
      </c>
      <c r="O28" s="145">
        <f t="shared" si="9"/>
        <v>-9506</v>
      </c>
      <c r="P28" s="145">
        <f t="shared" si="10"/>
        <v>-2366934</v>
      </c>
      <c r="Q28" s="174"/>
      <c r="R28" s="168"/>
      <c r="S28" s="175"/>
      <c r="T28" s="139"/>
      <c r="U28" s="148">
        <f t="shared" si="11"/>
        <v>-2366934</v>
      </c>
      <c r="V28" s="400"/>
    </row>
    <row r="29" spans="1:22" ht="91.2" customHeight="1">
      <c r="B29" s="166">
        <f t="shared" si="0"/>
        <v>2023</v>
      </c>
      <c r="C29" s="139" t="str">
        <f t="shared" si="1"/>
        <v>JUL</v>
      </c>
      <c r="D29" s="156">
        <v>45108</v>
      </c>
      <c r="E29" s="167" t="s">
        <v>48</v>
      </c>
      <c r="F29" s="168">
        <v>12</v>
      </c>
      <c r="G29" s="168">
        <v>29</v>
      </c>
      <c r="H29" s="169" t="s">
        <v>22</v>
      </c>
      <c r="I29" s="149" t="s">
        <v>35</v>
      </c>
      <c r="J29" s="170" t="s">
        <v>34</v>
      </c>
      <c r="K29" s="171" t="s">
        <v>49</v>
      </c>
      <c r="L29" s="172">
        <v>-2827963.6</v>
      </c>
      <c r="M29" s="173">
        <v>-451523.6</v>
      </c>
      <c r="N29" s="173">
        <f>L29-M29</f>
        <v>-2376440</v>
      </c>
      <c r="O29" s="145">
        <f t="shared" si="9"/>
        <v>-9506</v>
      </c>
      <c r="P29" s="145">
        <f t="shared" si="10"/>
        <v>-2366934</v>
      </c>
      <c r="Q29" s="145"/>
      <c r="R29" s="138"/>
      <c r="S29" s="146"/>
      <c r="T29" s="139"/>
      <c r="U29" s="148">
        <f t="shared" si="11"/>
        <v>-2366934</v>
      </c>
      <c r="V29" s="400"/>
    </row>
    <row r="30" spans="1:22" ht="85.2" customHeight="1">
      <c r="A30" s="176"/>
      <c r="B30" s="177">
        <v>2023</v>
      </c>
      <c r="C30" s="139" t="str">
        <f t="shared" si="1"/>
        <v>JUL</v>
      </c>
      <c r="D30" s="156">
        <v>45125</v>
      </c>
      <c r="E30" s="169">
        <v>41</v>
      </c>
      <c r="F30" s="169" t="s">
        <v>21</v>
      </c>
      <c r="G30" s="169" t="s">
        <v>21</v>
      </c>
      <c r="H30" s="169" t="s">
        <v>22</v>
      </c>
      <c r="I30" s="149" t="s">
        <v>35</v>
      </c>
      <c r="J30" s="170" t="s">
        <v>27</v>
      </c>
      <c r="K30" s="171" t="s">
        <v>36</v>
      </c>
      <c r="L30" s="172">
        <v>4053414.89</v>
      </c>
      <c r="M30" s="173">
        <v>647183.89</v>
      </c>
      <c r="N30" s="173">
        <v>3406231</v>
      </c>
      <c r="O30" s="145">
        <f t="shared" si="9"/>
        <v>13625</v>
      </c>
      <c r="P30" s="145">
        <f t="shared" si="10"/>
        <v>3392606</v>
      </c>
      <c r="Q30" s="173">
        <v>3392606</v>
      </c>
      <c r="R30" s="169">
        <v>2023</v>
      </c>
      <c r="S30" s="178">
        <v>8</v>
      </c>
      <c r="T30" s="139">
        <v>45168</v>
      </c>
      <c r="U30" s="148">
        <f t="shared" si="11"/>
        <v>0</v>
      </c>
      <c r="V30" s="400" t="s">
        <v>50</v>
      </c>
    </row>
    <row r="31" spans="1:22" ht="85.2" customHeight="1">
      <c r="A31" s="176"/>
      <c r="B31" s="140">
        <v>2023</v>
      </c>
      <c r="C31" s="139" t="str">
        <f t="shared" si="1"/>
        <v>JUL</v>
      </c>
      <c r="D31" s="139">
        <v>45125</v>
      </c>
      <c r="E31" s="140">
        <v>42</v>
      </c>
      <c r="F31" s="140" t="s">
        <v>21</v>
      </c>
      <c r="G31" s="140" t="s">
        <v>21</v>
      </c>
      <c r="H31" s="140" t="s">
        <v>22</v>
      </c>
      <c r="I31" s="149" t="s">
        <v>35</v>
      </c>
      <c r="J31" s="142" t="s">
        <v>29</v>
      </c>
      <c r="K31" s="150" t="s">
        <v>36</v>
      </c>
      <c r="L31" s="151">
        <v>1602512.31</v>
      </c>
      <c r="M31" s="152">
        <v>255863.31</v>
      </c>
      <c r="N31" s="152">
        <v>1346649</v>
      </c>
      <c r="O31" s="145">
        <f t="shared" si="9"/>
        <v>5387</v>
      </c>
      <c r="P31" s="145">
        <f t="shared" si="10"/>
        <v>1341262</v>
      </c>
      <c r="Q31" s="152">
        <v>1341262</v>
      </c>
      <c r="R31" s="140">
        <v>2023</v>
      </c>
      <c r="S31" s="179">
        <v>8</v>
      </c>
      <c r="T31" s="139">
        <v>45168</v>
      </c>
      <c r="U31" s="148">
        <f t="shared" si="11"/>
        <v>0</v>
      </c>
      <c r="V31" s="400" t="s">
        <v>51</v>
      </c>
    </row>
    <row r="32" spans="1:22" ht="85.2" customHeight="1">
      <c r="A32" s="176"/>
      <c r="B32" s="140">
        <v>2023</v>
      </c>
      <c r="C32" s="139" t="str">
        <f t="shared" si="1"/>
        <v>JUL</v>
      </c>
      <c r="D32" s="139">
        <v>45125</v>
      </c>
      <c r="E32" s="140">
        <v>43</v>
      </c>
      <c r="F32" s="140" t="s">
        <v>21</v>
      </c>
      <c r="G32" s="140" t="s">
        <v>21</v>
      </c>
      <c r="H32" s="140" t="s">
        <v>22</v>
      </c>
      <c r="I32" s="149" t="s">
        <v>35</v>
      </c>
      <c r="J32" s="142" t="s">
        <v>30</v>
      </c>
      <c r="K32" s="150" t="s">
        <v>36</v>
      </c>
      <c r="L32" s="151">
        <v>2827963.6</v>
      </c>
      <c r="M32" s="152">
        <v>451523.6</v>
      </c>
      <c r="N32" s="152">
        <v>2376440</v>
      </c>
      <c r="O32" s="145">
        <f t="shared" si="9"/>
        <v>9506</v>
      </c>
      <c r="P32" s="145">
        <f t="shared" si="10"/>
        <v>2366934</v>
      </c>
      <c r="Q32" s="152">
        <v>2366934</v>
      </c>
      <c r="R32" s="140">
        <v>2023</v>
      </c>
      <c r="S32" s="179">
        <v>8</v>
      </c>
      <c r="T32" s="139">
        <v>45168</v>
      </c>
      <c r="U32" s="148">
        <f t="shared" si="11"/>
        <v>0</v>
      </c>
      <c r="V32" s="400" t="s">
        <v>52</v>
      </c>
    </row>
    <row r="33" spans="1:22" ht="85.2" customHeight="1">
      <c r="A33" s="176"/>
      <c r="B33" s="140">
        <v>2023</v>
      </c>
      <c r="C33" s="139" t="str">
        <f t="shared" si="1"/>
        <v>JUL</v>
      </c>
      <c r="D33" s="139">
        <v>45125</v>
      </c>
      <c r="E33" s="140">
        <v>44</v>
      </c>
      <c r="F33" s="140" t="s">
        <v>21</v>
      </c>
      <c r="G33" s="140" t="s">
        <v>21</v>
      </c>
      <c r="H33" s="140" t="s">
        <v>22</v>
      </c>
      <c r="I33" s="149" t="s">
        <v>35</v>
      </c>
      <c r="J33" s="142" t="s">
        <v>41</v>
      </c>
      <c r="K33" s="150" t="s">
        <v>36</v>
      </c>
      <c r="L33" s="151">
        <v>2827963.6</v>
      </c>
      <c r="M33" s="152">
        <v>451523.6</v>
      </c>
      <c r="N33" s="152">
        <v>2376440</v>
      </c>
      <c r="O33" s="145">
        <f t="shared" si="9"/>
        <v>9506</v>
      </c>
      <c r="P33" s="145">
        <f t="shared" si="10"/>
        <v>2366934</v>
      </c>
      <c r="Q33" s="145">
        <v>2366934</v>
      </c>
      <c r="R33" s="138">
        <f>+YEAR(T33)</f>
        <v>2023</v>
      </c>
      <c r="S33" s="146">
        <f>+MONTH(T33)</f>
        <v>8</v>
      </c>
      <c r="T33" s="139">
        <v>45168</v>
      </c>
      <c r="U33" s="148">
        <f t="shared" si="11"/>
        <v>0</v>
      </c>
      <c r="V33" s="400" t="s">
        <v>53</v>
      </c>
    </row>
    <row r="34" spans="1:22" ht="85.2" customHeight="1">
      <c r="A34" s="176"/>
      <c r="B34" s="140">
        <v>2023</v>
      </c>
      <c r="C34" s="139" t="str">
        <f t="shared" si="1"/>
        <v>JUL</v>
      </c>
      <c r="D34" s="139">
        <v>45125</v>
      </c>
      <c r="E34" s="140">
        <v>45</v>
      </c>
      <c r="F34" s="140" t="s">
        <v>21</v>
      </c>
      <c r="G34" s="140" t="s">
        <v>21</v>
      </c>
      <c r="H34" s="140" t="s">
        <v>22</v>
      </c>
      <c r="I34" s="149" t="s">
        <v>35</v>
      </c>
      <c r="J34" s="142" t="s">
        <v>34</v>
      </c>
      <c r="K34" s="150" t="s">
        <v>36</v>
      </c>
      <c r="L34" s="151">
        <v>2827963.6</v>
      </c>
      <c r="M34" s="152">
        <v>451523.6</v>
      </c>
      <c r="N34" s="152">
        <v>2376440</v>
      </c>
      <c r="O34" s="145">
        <f t="shared" si="9"/>
        <v>9506</v>
      </c>
      <c r="P34" s="145">
        <f t="shared" si="10"/>
        <v>2366934</v>
      </c>
      <c r="Q34" s="152">
        <v>2366934</v>
      </c>
      <c r="R34" s="140">
        <v>2023</v>
      </c>
      <c r="S34" s="179">
        <v>8</v>
      </c>
      <c r="T34" s="139">
        <v>45168</v>
      </c>
      <c r="U34" s="148">
        <f t="shared" si="11"/>
        <v>0</v>
      </c>
      <c r="V34" s="400" t="s">
        <v>54</v>
      </c>
    </row>
    <row r="35" spans="1:22" ht="51" customHeight="1">
      <c r="B35" s="138">
        <f>+YEAR(D35)</f>
        <v>2023</v>
      </c>
      <c r="C35" s="139" t="str">
        <f t="shared" si="1"/>
        <v>JUL</v>
      </c>
      <c r="D35" s="147">
        <v>45125</v>
      </c>
      <c r="E35" s="140">
        <v>46</v>
      </c>
      <c r="F35" s="138" t="s">
        <v>21</v>
      </c>
      <c r="G35" s="138" t="s">
        <v>21</v>
      </c>
      <c r="H35" s="138" t="s">
        <v>22</v>
      </c>
      <c r="I35" s="149" t="s">
        <v>35</v>
      </c>
      <c r="J35" s="180" t="s">
        <v>55</v>
      </c>
      <c r="K35" s="143" t="s">
        <v>38</v>
      </c>
      <c r="L35" s="144">
        <v>2827963.6</v>
      </c>
      <c r="M35" s="145">
        <v>451523.6</v>
      </c>
      <c r="N35" s="145">
        <f>L35-M35</f>
        <v>2376440</v>
      </c>
      <c r="O35" s="145">
        <f t="shared" si="9"/>
        <v>9506</v>
      </c>
      <c r="P35" s="145">
        <f t="shared" si="10"/>
        <v>2366934</v>
      </c>
      <c r="Q35" s="145">
        <v>2366934</v>
      </c>
      <c r="R35" s="138">
        <f>+YEAR(T35)</f>
        <v>2023</v>
      </c>
      <c r="S35" s="146">
        <f>+MONTH(T35)</f>
        <v>8</v>
      </c>
      <c r="T35" s="139">
        <v>45168</v>
      </c>
      <c r="U35" s="148">
        <f t="shared" si="11"/>
        <v>0</v>
      </c>
      <c r="V35" s="400"/>
    </row>
    <row r="36" spans="1:22" ht="92.4" customHeight="1">
      <c r="B36" s="138">
        <f>+YEAR(D36)</f>
        <v>2023</v>
      </c>
      <c r="C36" s="139" t="str">
        <f t="shared" si="1"/>
        <v>JUL</v>
      </c>
      <c r="D36" s="147">
        <v>45132</v>
      </c>
      <c r="E36" s="138" t="s">
        <v>56</v>
      </c>
      <c r="F36" s="138">
        <v>19</v>
      </c>
      <c r="G36" s="138">
        <v>9</v>
      </c>
      <c r="H36" s="138" t="s">
        <v>22</v>
      </c>
      <c r="I36" s="141" t="s">
        <v>32</v>
      </c>
      <c r="J36" s="180" t="s">
        <v>27</v>
      </c>
      <c r="K36" s="181" t="s">
        <v>57</v>
      </c>
      <c r="L36" s="144">
        <v>-64206895</v>
      </c>
      <c r="M36" s="145">
        <v>-10251521.050000001</v>
      </c>
      <c r="N36" s="145">
        <f>L36-M36</f>
        <v>-53955373.950000003</v>
      </c>
      <c r="O36" s="145">
        <f t="shared" si="9"/>
        <v>-215821</v>
      </c>
      <c r="P36" s="145">
        <f t="shared" si="10"/>
        <v>-53739552.950000003</v>
      </c>
      <c r="Q36" s="145"/>
      <c r="R36" s="140"/>
      <c r="S36" s="179"/>
      <c r="T36" s="139"/>
      <c r="U36" s="148">
        <f t="shared" si="11"/>
        <v>-53739552.950000003</v>
      </c>
      <c r="V36" s="400"/>
    </row>
    <row r="37" spans="1:22" ht="92.4" customHeight="1">
      <c r="B37" s="138">
        <f>+YEAR(D37)</f>
        <v>2023</v>
      </c>
      <c r="C37" s="139" t="str">
        <f t="shared" si="1"/>
        <v>JUL</v>
      </c>
      <c r="D37" s="147">
        <v>45132</v>
      </c>
      <c r="E37" s="141" t="s">
        <v>58</v>
      </c>
      <c r="F37" s="138">
        <v>20</v>
      </c>
      <c r="G37" s="138">
        <v>10</v>
      </c>
      <c r="H37" s="138" t="s">
        <v>22</v>
      </c>
      <c r="I37" s="141" t="s">
        <v>32</v>
      </c>
      <c r="J37" s="180" t="s">
        <v>29</v>
      </c>
      <c r="K37" s="181" t="s">
        <v>59</v>
      </c>
      <c r="L37" s="144">
        <v>-25384110.989999998</v>
      </c>
      <c r="M37" s="145">
        <v>-4052925.28</v>
      </c>
      <c r="N37" s="145">
        <f>L37-M37</f>
        <v>-21331185.709999997</v>
      </c>
      <c r="O37" s="145">
        <f t="shared" si="9"/>
        <v>-85325</v>
      </c>
      <c r="P37" s="145">
        <f t="shared" si="10"/>
        <v>-21245860.709999997</v>
      </c>
      <c r="Q37" s="145"/>
      <c r="R37" s="140"/>
      <c r="S37" s="179"/>
      <c r="T37" s="139"/>
      <c r="U37" s="148">
        <f t="shared" si="11"/>
        <v>-21245860.709999997</v>
      </c>
      <c r="V37" s="400"/>
    </row>
    <row r="38" spans="1:22" ht="92.4" customHeight="1">
      <c r="B38" s="138">
        <f>+YEAR(D38)</f>
        <v>2023</v>
      </c>
      <c r="C38" s="139" t="str">
        <f t="shared" si="1"/>
        <v>JUL</v>
      </c>
      <c r="D38" s="147">
        <v>45132</v>
      </c>
      <c r="E38" s="182" t="s">
        <v>60</v>
      </c>
      <c r="F38" s="138">
        <v>21</v>
      </c>
      <c r="G38" s="138">
        <v>11</v>
      </c>
      <c r="H38" s="138" t="s">
        <v>22</v>
      </c>
      <c r="I38" s="141" t="s">
        <v>32</v>
      </c>
      <c r="J38" s="180" t="s">
        <v>30</v>
      </c>
      <c r="K38" s="181" t="s">
        <v>61</v>
      </c>
      <c r="L38" s="144">
        <v>-44795503</v>
      </c>
      <c r="M38" s="145">
        <v>-7152223.1699999999</v>
      </c>
      <c r="N38" s="145">
        <f>L38-M38</f>
        <v>-37643279.829999998</v>
      </c>
      <c r="O38" s="145">
        <f t="shared" si="9"/>
        <v>-150573</v>
      </c>
      <c r="P38" s="145">
        <f t="shared" si="10"/>
        <v>-37492706.829999998</v>
      </c>
      <c r="Q38" s="145"/>
      <c r="R38" s="168"/>
      <c r="S38" s="175"/>
      <c r="T38" s="147"/>
      <c r="U38" s="148">
        <f t="shared" si="11"/>
        <v>-37492706.829999998</v>
      </c>
      <c r="V38" s="400"/>
    </row>
    <row r="39" spans="1:22" ht="92.4" customHeight="1">
      <c r="B39" s="138">
        <f>+YEAR(D39)</f>
        <v>2023</v>
      </c>
      <c r="C39" s="139" t="str">
        <f t="shared" si="1"/>
        <v>JUL</v>
      </c>
      <c r="D39" s="147">
        <v>45132</v>
      </c>
      <c r="E39" s="141" t="s">
        <v>62</v>
      </c>
      <c r="F39" s="138">
        <v>22</v>
      </c>
      <c r="G39" s="138">
        <v>12</v>
      </c>
      <c r="H39" s="138" t="s">
        <v>22</v>
      </c>
      <c r="I39" s="141" t="s">
        <v>32</v>
      </c>
      <c r="J39" s="180" t="s">
        <v>31</v>
      </c>
      <c r="K39" s="181" t="s">
        <v>63</v>
      </c>
      <c r="L39" s="144">
        <v>-44795503</v>
      </c>
      <c r="M39" s="145">
        <v>-7152223.1699999999</v>
      </c>
      <c r="N39" s="145">
        <f>L39-M39</f>
        <v>-37643279.829999998</v>
      </c>
      <c r="O39" s="145">
        <f t="shared" si="9"/>
        <v>-150573</v>
      </c>
      <c r="P39" s="145">
        <f t="shared" si="10"/>
        <v>-37492706.829999998</v>
      </c>
      <c r="Q39" s="145"/>
      <c r="R39" s="138"/>
      <c r="S39" s="146"/>
      <c r="T39" s="147"/>
      <c r="U39" s="148">
        <f t="shared" si="11"/>
        <v>-37492706.829999998</v>
      </c>
      <c r="V39" s="400"/>
    </row>
    <row r="40" spans="1:22" ht="57" customHeight="1">
      <c r="A40" s="176"/>
      <c r="B40" s="183">
        <v>2023</v>
      </c>
      <c r="C40" s="139" t="str">
        <f t="shared" si="1"/>
        <v>JUL</v>
      </c>
      <c r="D40" s="156">
        <v>45132</v>
      </c>
      <c r="E40" s="159">
        <v>48</v>
      </c>
      <c r="F40" s="159" t="s">
        <v>21</v>
      </c>
      <c r="G40" s="159" t="s">
        <v>21</v>
      </c>
      <c r="H40" s="159" t="s">
        <v>22</v>
      </c>
      <c r="I40" s="157" t="s">
        <v>32</v>
      </c>
      <c r="J40" s="160" t="s">
        <v>27</v>
      </c>
      <c r="K40" s="161" t="s">
        <v>33</v>
      </c>
      <c r="L40" s="162">
        <v>64206895</v>
      </c>
      <c r="M40" s="163">
        <v>10251521.050000001</v>
      </c>
      <c r="N40" s="163">
        <v>53955373.950000003</v>
      </c>
      <c r="O40" s="145">
        <f t="shared" si="9"/>
        <v>215821</v>
      </c>
      <c r="P40" s="145">
        <f t="shared" si="10"/>
        <v>53739552.950000003</v>
      </c>
      <c r="Q40" s="145">
        <v>53739552.950000003</v>
      </c>
      <c r="R40" s="138">
        <f>+YEAR(T40)</f>
        <v>2023</v>
      </c>
      <c r="S40" s="146">
        <f>+MONTH(T40)</f>
        <v>8</v>
      </c>
      <c r="T40" s="139">
        <v>45168</v>
      </c>
      <c r="U40" s="148">
        <f t="shared" si="11"/>
        <v>0</v>
      </c>
      <c r="V40" s="400" t="s">
        <v>64</v>
      </c>
    </row>
    <row r="41" spans="1:22" ht="57" customHeight="1">
      <c r="A41" s="176"/>
      <c r="B41" s="177">
        <v>2023</v>
      </c>
      <c r="C41" s="139" t="str">
        <f t="shared" si="1"/>
        <v>JUL</v>
      </c>
      <c r="D41" s="184">
        <v>45132</v>
      </c>
      <c r="E41" s="169">
        <v>49</v>
      </c>
      <c r="F41" s="169" t="s">
        <v>21</v>
      </c>
      <c r="G41" s="169" t="s">
        <v>21</v>
      </c>
      <c r="H41" s="169" t="s">
        <v>22</v>
      </c>
      <c r="I41" s="167" t="s">
        <v>32</v>
      </c>
      <c r="J41" s="170" t="s">
        <v>29</v>
      </c>
      <c r="K41" s="171" t="s">
        <v>33</v>
      </c>
      <c r="L41" s="172">
        <v>25384110.989999998</v>
      </c>
      <c r="M41" s="173">
        <v>4052925.28</v>
      </c>
      <c r="N41" s="173">
        <v>21331185.710000001</v>
      </c>
      <c r="O41" s="145">
        <f t="shared" si="9"/>
        <v>85325</v>
      </c>
      <c r="P41" s="145">
        <f t="shared" si="10"/>
        <v>21245860.710000001</v>
      </c>
      <c r="Q41" s="173">
        <v>21245860.710000001</v>
      </c>
      <c r="R41" s="169">
        <v>2023</v>
      </c>
      <c r="S41" s="178">
        <v>8</v>
      </c>
      <c r="T41" s="139">
        <v>45168</v>
      </c>
      <c r="U41" s="148">
        <f t="shared" si="11"/>
        <v>0</v>
      </c>
      <c r="V41" s="400" t="s">
        <v>65</v>
      </c>
    </row>
    <row r="42" spans="1:22" ht="57" customHeight="1">
      <c r="A42" s="176"/>
      <c r="B42" s="177">
        <v>2023</v>
      </c>
      <c r="C42" s="139" t="str">
        <f t="shared" si="1"/>
        <v>JUL</v>
      </c>
      <c r="D42" s="184">
        <v>45132</v>
      </c>
      <c r="E42" s="169">
        <v>50</v>
      </c>
      <c r="F42" s="169" t="s">
        <v>21</v>
      </c>
      <c r="G42" s="169" t="s">
        <v>21</v>
      </c>
      <c r="H42" s="169" t="s">
        <v>22</v>
      </c>
      <c r="I42" s="167" t="s">
        <v>32</v>
      </c>
      <c r="J42" s="170" t="s">
        <v>30</v>
      </c>
      <c r="K42" s="171" t="s">
        <v>33</v>
      </c>
      <c r="L42" s="172">
        <v>44795503</v>
      </c>
      <c r="M42" s="173">
        <v>7152223.1699999999</v>
      </c>
      <c r="N42" s="173">
        <v>37643279.829999998</v>
      </c>
      <c r="O42" s="145">
        <f t="shared" si="9"/>
        <v>150573</v>
      </c>
      <c r="P42" s="145">
        <f t="shared" si="10"/>
        <v>37492706.829999998</v>
      </c>
      <c r="Q42" s="173">
        <v>37492706.829999998</v>
      </c>
      <c r="R42" s="169">
        <v>2023</v>
      </c>
      <c r="S42" s="178">
        <v>8</v>
      </c>
      <c r="T42" s="139">
        <v>45168</v>
      </c>
      <c r="U42" s="148">
        <f t="shared" si="11"/>
        <v>0</v>
      </c>
      <c r="V42" s="400" t="s">
        <v>66</v>
      </c>
    </row>
    <row r="43" spans="1:22" ht="57" customHeight="1">
      <c r="A43" s="176"/>
      <c r="B43" s="177">
        <v>2023</v>
      </c>
      <c r="C43" s="139" t="str">
        <f t="shared" si="1"/>
        <v>JUL</v>
      </c>
      <c r="D43" s="184">
        <v>45132</v>
      </c>
      <c r="E43" s="169">
        <v>51</v>
      </c>
      <c r="F43" s="169" t="s">
        <v>21</v>
      </c>
      <c r="G43" s="169" t="s">
        <v>21</v>
      </c>
      <c r="H43" s="169" t="s">
        <v>22</v>
      </c>
      <c r="I43" s="167" t="s">
        <v>32</v>
      </c>
      <c r="J43" s="170" t="s">
        <v>31</v>
      </c>
      <c r="K43" s="171" t="s">
        <v>33</v>
      </c>
      <c r="L43" s="172">
        <v>44795503</v>
      </c>
      <c r="M43" s="173">
        <v>7152223.1699999999</v>
      </c>
      <c r="N43" s="173">
        <v>37643279.829999998</v>
      </c>
      <c r="O43" s="145">
        <f t="shared" si="9"/>
        <v>150573</v>
      </c>
      <c r="P43" s="145">
        <f t="shared" si="10"/>
        <v>37492706.829999998</v>
      </c>
      <c r="Q43" s="173">
        <v>37492706.829999998</v>
      </c>
      <c r="R43" s="169">
        <v>2023</v>
      </c>
      <c r="S43" s="178">
        <v>8</v>
      </c>
      <c r="T43" s="139">
        <v>45168</v>
      </c>
      <c r="U43" s="148">
        <f t="shared" si="11"/>
        <v>0</v>
      </c>
      <c r="V43" s="400" t="s">
        <v>67</v>
      </c>
    </row>
    <row r="44" spans="1:22" ht="78" customHeight="1">
      <c r="B44" s="185">
        <f>+YEAR(D44)</f>
        <v>2023</v>
      </c>
      <c r="C44" s="186" t="str">
        <f t="shared" si="1"/>
        <v>AGO</v>
      </c>
      <c r="D44" s="186">
        <v>45152</v>
      </c>
      <c r="E44" s="185">
        <v>57</v>
      </c>
      <c r="F44" s="185" t="s">
        <v>21</v>
      </c>
      <c r="G44" s="185" t="s">
        <v>21</v>
      </c>
      <c r="H44" s="185" t="s">
        <v>22</v>
      </c>
      <c r="I44" s="187" t="s">
        <v>26</v>
      </c>
      <c r="J44" s="188" t="s">
        <v>68</v>
      </c>
      <c r="K44" s="189" t="s">
        <v>28</v>
      </c>
      <c r="L44" s="190">
        <v>1297512</v>
      </c>
      <c r="M44" s="191">
        <v>207165.78</v>
      </c>
      <c r="N44" s="191">
        <f>+L44-M44</f>
        <v>1090346.22</v>
      </c>
      <c r="O44" s="191">
        <f t="shared" si="9"/>
        <v>4361</v>
      </c>
      <c r="P44" s="191">
        <f t="shared" si="10"/>
        <v>1085985.22</v>
      </c>
      <c r="Q44" s="191">
        <v>1085985</v>
      </c>
      <c r="R44" s="185">
        <f>+YEAR(T44)</f>
        <v>2023</v>
      </c>
      <c r="S44" s="192">
        <f>+MONTH(T44)</f>
        <v>8</v>
      </c>
      <c r="T44" s="186">
        <v>45168</v>
      </c>
      <c r="U44" s="193">
        <f t="shared" si="11"/>
        <v>0.21999999997206032</v>
      </c>
      <c r="V44" s="400"/>
    </row>
    <row r="45" spans="1:22" ht="78" customHeight="1">
      <c r="B45" s="185">
        <f>+YEAR(D45)</f>
        <v>2023</v>
      </c>
      <c r="C45" s="186" t="str">
        <f t="shared" si="1"/>
        <v>AGO</v>
      </c>
      <c r="D45" s="186">
        <v>45152</v>
      </c>
      <c r="E45" s="185">
        <v>57</v>
      </c>
      <c r="F45" s="185" t="s">
        <v>21</v>
      </c>
      <c r="G45" s="185" t="s">
        <v>21</v>
      </c>
      <c r="H45" s="185" t="s">
        <v>22</v>
      </c>
      <c r="I45" s="187" t="s">
        <v>26</v>
      </c>
      <c r="J45" s="188" t="s">
        <v>68</v>
      </c>
      <c r="K45" s="189" t="s">
        <v>69</v>
      </c>
      <c r="L45" s="190"/>
      <c r="M45" s="191"/>
      <c r="N45" s="191"/>
      <c r="O45" s="191"/>
      <c r="P45" s="191"/>
      <c r="Q45" s="191">
        <v>0.22</v>
      </c>
      <c r="R45" s="185">
        <f>+YEAR(T45)</f>
        <v>2023</v>
      </c>
      <c r="S45" s="192">
        <v>11</v>
      </c>
      <c r="T45" s="186">
        <v>45233</v>
      </c>
      <c r="U45" s="193">
        <f>P45-Q45</f>
        <v>-0.22</v>
      </c>
      <c r="V45" s="400"/>
    </row>
    <row r="46" spans="1:22" ht="47.25" customHeight="1">
      <c r="B46" s="185">
        <f>+YEAR(D46)</f>
        <v>2023</v>
      </c>
      <c r="C46" s="186" t="str">
        <f t="shared" si="1"/>
        <v>AGO</v>
      </c>
      <c r="D46" s="186">
        <v>45152</v>
      </c>
      <c r="E46" s="187">
        <v>58</v>
      </c>
      <c r="F46" s="185">
        <v>28</v>
      </c>
      <c r="G46" s="185">
        <v>58</v>
      </c>
      <c r="H46" s="185" t="s">
        <v>22</v>
      </c>
      <c r="I46" s="187" t="s">
        <v>32</v>
      </c>
      <c r="J46" s="188" t="s">
        <v>68</v>
      </c>
      <c r="K46" s="189" t="s">
        <v>33</v>
      </c>
      <c r="L46" s="194">
        <v>44795251</v>
      </c>
      <c r="M46" s="191">
        <v>7152182.9299999997</v>
      </c>
      <c r="N46" s="191">
        <f>L46-M46</f>
        <v>37643068.07</v>
      </c>
      <c r="O46" s="191">
        <f t="shared" ref="O46:O77" si="12">ROUND(N46*0.004,0)</f>
        <v>150572</v>
      </c>
      <c r="P46" s="191">
        <f t="shared" ref="P46:P77" si="13">N46-O46</f>
        <v>37492496.07</v>
      </c>
      <c r="Q46" s="191"/>
      <c r="R46" s="185"/>
      <c r="S46" s="192"/>
      <c r="T46" s="186"/>
      <c r="U46" s="193">
        <f t="shared" ref="U46:U67" si="14">+P46-Q46</f>
        <v>37492496.07</v>
      </c>
      <c r="V46" s="400"/>
    </row>
    <row r="47" spans="1:22" ht="74.25" customHeight="1">
      <c r="B47" s="185">
        <f>+YEAR(D47)</f>
        <v>2023</v>
      </c>
      <c r="C47" s="186" t="str">
        <f t="shared" si="1"/>
        <v>AGO</v>
      </c>
      <c r="D47" s="186">
        <v>45152</v>
      </c>
      <c r="E47" s="185">
        <v>59</v>
      </c>
      <c r="F47" s="185" t="s">
        <v>21</v>
      </c>
      <c r="G47" s="185" t="s">
        <v>21</v>
      </c>
      <c r="H47" s="185" t="s">
        <v>22</v>
      </c>
      <c r="I47" s="187" t="s">
        <v>35</v>
      </c>
      <c r="J47" s="188" t="s">
        <v>68</v>
      </c>
      <c r="K47" s="189" t="s">
        <v>38</v>
      </c>
      <c r="L47" s="190">
        <v>2827964</v>
      </c>
      <c r="M47" s="191">
        <v>451523.66</v>
      </c>
      <c r="N47" s="191">
        <f>L47-M47</f>
        <v>2376440.34</v>
      </c>
      <c r="O47" s="191">
        <f t="shared" si="12"/>
        <v>9506</v>
      </c>
      <c r="P47" s="191">
        <f t="shared" si="13"/>
        <v>2366934.34</v>
      </c>
      <c r="Q47" s="191">
        <v>2366934.34</v>
      </c>
      <c r="R47" s="185">
        <v>2023</v>
      </c>
      <c r="S47" s="192">
        <v>10</v>
      </c>
      <c r="T47" s="186">
        <v>45204</v>
      </c>
      <c r="U47" s="193">
        <f t="shared" si="14"/>
        <v>0</v>
      </c>
      <c r="V47" s="399"/>
    </row>
    <row r="48" spans="1:22" ht="85.95" customHeight="1">
      <c r="A48" s="195"/>
      <c r="B48" s="196">
        <v>2023</v>
      </c>
      <c r="C48" s="186" t="str">
        <f t="shared" si="1"/>
        <v>AGO</v>
      </c>
      <c r="D48" s="197">
        <v>45139</v>
      </c>
      <c r="E48" s="198" t="s">
        <v>70</v>
      </c>
      <c r="F48" s="199">
        <v>3</v>
      </c>
      <c r="G48" s="199">
        <v>18</v>
      </c>
      <c r="H48" s="199" t="s">
        <v>22</v>
      </c>
      <c r="I48" s="187" t="s">
        <v>35</v>
      </c>
      <c r="J48" s="188" t="s">
        <v>34</v>
      </c>
      <c r="K48" s="200" t="s">
        <v>71</v>
      </c>
      <c r="L48" s="201">
        <v>-2827963.6</v>
      </c>
      <c r="M48" s="202">
        <v>-451523.6</v>
      </c>
      <c r="N48" s="202">
        <v>-2376440</v>
      </c>
      <c r="O48" s="191">
        <f t="shared" si="12"/>
        <v>-9506</v>
      </c>
      <c r="P48" s="191">
        <f t="shared" si="13"/>
        <v>-2366934</v>
      </c>
      <c r="Q48" s="202"/>
      <c r="R48" s="203"/>
      <c r="S48" s="204"/>
      <c r="T48" s="186"/>
      <c r="U48" s="193">
        <f t="shared" si="14"/>
        <v>-2366934</v>
      </c>
      <c r="V48" s="400" t="s">
        <v>72</v>
      </c>
    </row>
    <row r="49" spans="1:22" ht="39" customHeight="1">
      <c r="B49" s="185">
        <f>+YEAR(D49)</f>
        <v>2023</v>
      </c>
      <c r="C49" s="186" t="str">
        <f t="shared" si="1"/>
        <v>AGO</v>
      </c>
      <c r="D49" s="197">
        <v>45139</v>
      </c>
      <c r="E49" s="198">
        <v>18</v>
      </c>
      <c r="F49" s="199">
        <v>3</v>
      </c>
      <c r="G49" s="199">
        <v>18</v>
      </c>
      <c r="H49" s="185" t="s">
        <v>22</v>
      </c>
      <c r="I49" s="187" t="s">
        <v>35</v>
      </c>
      <c r="J49" s="188" t="s">
        <v>34</v>
      </c>
      <c r="K49" s="189" t="s">
        <v>38</v>
      </c>
      <c r="L49" s="190">
        <v>2827963.6</v>
      </c>
      <c r="M49" s="191">
        <v>451523.6</v>
      </c>
      <c r="N49" s="191">
        <f>L49-M49</f>
        <v>2376440</v>
      </c>
      <c r="O49" s="191">
        <f t="shared" si="12"/>
        <v>9506</v>
      </c>
      <c r="P49" s="191">
        <f t="shared" si="13"/>
        <v>2366934</v>
      </c>
      <c r="Q49" s="191"/>
      <c r="R49" s="185"/>
      <c r="S49" s="192"/>
      <c r="T49" s="186"/>
      <c r="U49" s="193">
        <f t="shared" si="14"/>
        <v>2366934</v>
      </c>
      <c r="V49" s="400" t="s">
        <v>73</v>
      </c>
    </row>
    <row r="50" spans="1:22" ht="100.95" customHeight="1">
      <c r="A50" s="195"/>
      <c r="B50" s="196">
        <v>2023</v>
      </c>
      <c r="C50" s="186" t="str">
        <f t="shared" si="1"/>
        <v>AGO</v>
      </c>
      <c r="D50" s="197">
        <v>45139</v>
      </c>
      <c r="E50" s="198" t="s">
        <v>74</v>
      </c>
      <c r="F50" s="199">
        <v>4</v>
      </c>
      <c r="G50" s="199">
        <v>19</v>
      </c>
      <c r="H50" s="199" t="s">
        <v>22</v>
      </c>
      <c r="I50" s="187" t="s">
        <v>35</v>
      </c>
      <c r="J50" s="205" t="s">
        <v>27</v>
      </c>
      <c r="K50" s="200" t="s">
        <v>75</v>
      </c>
      <c r="L50" s="201">
        <v>-4053414.89</v>
      </c>
      <c r="M50" s="202">
        <v>-647183.89</v>
      </c>
      <c r="N50" s="202">
        <v>-3406231</v>
      </c>
      <c r="O50" s="191">
        <f t="shared" si="12"/>
        <v>-13625</v>
      </c>
      <c r="P50" s="191">
        <f t="shared" si="13"/>
        <v>-3392606</v>
      </c>
      <c r="Q50" s="202"/>
      <c r="R50" s="199"/>
      <c r="S50" s="206"/>
      <c r="T50" s="186"/>
      <c r="U50" s="193">
        <f t="shared" si="14"/>
        <v>-3392606</v>
      </c>
      <c r="V50" s="400" t="s">
        <v>72</v>
      </c>
    </row>
    <row r="51" spans="1:22" ht="49.2" customHeight="1">
      <c r="B51" s="185">
        <f>+YEAR(D51)</f>
        <v>2023</v>
      </c>
      <c r="C51" s="186" t="str">
        <f t="shared" si="1"/>
        <v>AGO</v>
      </c>
      <c r="D51" s="197">
        <v>45139</v>
      </c>
      <c r="E51" s="198">
        <v>19</v>
      </c>
      <c r="F51" s="199">
        <v>4</v>
      </c>
      <c r="G51" s="199">
        <v>19</v>
      </c>
      <c r="H51" s="185" t="s">
        <v>22</v>
      </c>
      <c r="I51" s="187" t="s">
        <v>35</v>
      </c>
      <c r="J51" s="188" t="s">
        <v>27</v>
      </c>
      <c r="K51" s="189" t="s">
        <v>36</v>
      </c>
      <c r="L51" s="201">
        <v>4053414.89</v>
      </c>
      <c r="M51" s="191">
        <v>647183.89</v>
      </c>
      <c r="N51" s="191">
        <v>3406231</v>
      </c>
      <c r="O51" s="191">
        <f t="shared" si="12"/>
        <v>13625</v>
      </c>
      <c r="P51" s="191">
        <f t="shared" si="13"/>
        <v>3392606</v>
      </c>
      <c r="Q51" s="191"/>
      <c r="R51" s="185"/>
      <c r="S51" s="192"/>
      <c r="T51" s="186"/>
      <c r="U51" s="193">
        <f t="shared" si="14"/>
        <v>3392606</v>
      </c>
      <c r="V51" s="400" t="s">
        <v>76</v>
      </c>
    </row>
    <row r="52" spans="1:22" ht="98.4" customHeight="1">
      <c r="A52" s="195"/>
      <c r="B52" s="196">
        <v>2023</v>
      </c>
      <c r="C52" s="186" t="str">
        <f t="shared" si="1"/>
        <v>AGO</v>
      </c>
      <c r="D52" s="197">
        <v>45139</v>
      </c>
      <c r="E52" s="198" t="s">
        <v>77</v>
      </c>
      <c r="F52" s="199">
        <v>5</v>
      </c>
      <c r="G52" s="199">
        <v>20</v>
      </c>
      <c r="H52" s="199" t="s">
        <v>22</v>
      </c>
      <c r="I52" s="187" t="s">
        <v>35</v>
      </c>
      <c r="J52" s="205" t="s">
        <v>29</v>
      </c>
      <c r="K52" s="200" t="s">
        <v>78</v>
      </c>
      <c r="L52" s="201">
        <v>-1602512.31</v>
      </c>
      <c r="M52" s="202">
        <v>-255863.31</v>
      </c>
      <c r="N52" s="202">
        <v>-1346649</v>
      </c>
      <c r="O52" s="191">
        <f t="shared" si="12"/>
        <v>-5387</v>
      </c>
      <c r="P52" s="191">
        <f t="shared" si="13"/>
        <v>-1341262</v>
      </c>
      <c r="Q52" s="202"/>
      <c r="R52" s="199"/>
      <c r="S52" s="206"/>
      <c r="T52" s="186"/>
      <c r="U52" s="193">
        <f t="shared" si="14"/>
        <v>-1341262</v>
      </c>
      <c r="V52" s="400" t="s">
        <v>72</v>
      </c>
    </row>
    <row r="53" spans="1:22" ht="43.95" customHeight="1">
      <c r="B53" s="185">
        <f>+YEAR(D53)</f>
        <v>2023</v>
      </c>
      <c r="C53" s="186" t="str">
        <f t="shared" si="1"/>
        <v>AGO</v>
      </c>
      <c r="D53" s="197">
        <v>45139</v>
      </c>
      <c r="E53" s="198">
        <v>20</v>
      </c>
      <c r="F53" s="199">
        <v>5</v>
      </c>
      <c r="G53" s="199">
        <v>20</v>
      </c>
      <c r="H53" s="185" t="s">
        <v>22</v>
      </c>
      <c r="I53" s="187" t="s">
        <v>35</v>
      </c>
      <c r="J53" s="188" t="s">
        <v>29</v>
      </c>
      <c r="K53" s="189" t="s">
        <v>36</v>
      </c>
      <c r="L53" s="190">
        <v>1602512.31</v>
      </c>
      <c r="M53" s="191">
        <v>255863.31</v>
      </c>
      <c r="N53" s="191">
        <v>1346649</v>
      </c>
      <c r="O53" s="191">
        <f t="shared" si="12"/>
        <v>5387</v>
      </c>
      <c r="P53" s="191">
        <f t="shared" si="13"/>
        <v>1341262</v>
      </c>
      <c r="Q53" s="191"/>
      <c r="R53" s="185"/>
      <c r="S53" s="192"/>
      <c r="T53" s="186"/>
      <c r="U53" s="193">
        <f t="shared" si="14"/>
        <v>1341262</v>
      </c>
      <c r="V53" s="400" t="s">
        <v>79</v>
      </c>
    </row>
    <row r="54" spans="1:22" ht="78" customHeight="1">
      <c r="A54" s="195"/>
      <c r="B54" s="196">
        <v>2023</v>
      </c>
      <c r="C54" s="186" t="str">
        <f t="shared" si="1"/>
        <v>AGO</v>
      </c>
      <c r="D54" s="197">
        <v>45139</v>
      </c>
      <c r="E54" s="198" t="s">
        <v>80</v>
      </c>
      <c r="F54" s="199">
        <v>6</v>
      </c>
      <c r="G54" s="199">
        <v>21</v>
      </c>
      <c r="H54" s="199" t="s">
        <v>22</v>
      </c>
      <c r="I54" s="187" t="s">
        <v>35</v>
      </c>
      <c r="J54" s="205" t="s">
        <v>30</v>
      </c>
      <c r="K54" s="200" t="s">
        <v>81</v>
      </c>
      <c r="L54" s="201">
        <v>-2827963.6</v>
      </c>
      <c r="M54" s="202">
        <v>-451523.6</v>
      </c>
      <c r="N54" s="202">
        <v>-2376440</v>
      </c>
      <c r="O54" s="191">
        <f t="shared" si="12"/>
        <v>-9506</v>
      </c>
      <c r="P54" s="191">
        <f t="shared" si="13"/>
        <v>-2366934</v>
      </c>
      <c r="Q54" s="202"/>
      <c r="R54" s="199"/>
      <c r="S54" s="206"/>
      <c r="T54" s="186"/>
      <c r="U54" s="193">
        <f t="shared" si="14"/>
        <v>-2366934</v>
      </c>
      <c r="V54" s="400" t="s">
        <v>72</v>
      </c>
    </row>
    <row r="55" spans="1:22" ht="40.200000000000003" customHeight="1">
      <c r="B55" s="185">
        <f>+YEAR(D55)</f>
        <v>2023</v>
      </c>
      <c r="C55" s="186" t="str">
        <f t="shared" si="1"/>
        <v>AGO</v>
      </c>
      <c r="D55" s="197">
        <v>45139</v>
      </c>
      <c r="E55" s="198">
        <v>21</v>
      </c>
      <c r="F55" s="199">
        <v>6</v>
      </c>
      <c r="G55" s="199">
        <v>21</v>
      </c>
      <c r="H55" s="185" t="s">
        <v>22</v>
      </c>
      <c r="I55" s="187" t="s">
        <v>35</v>
      </c>
      <c r="J55" s="188" t="s">
        <v>30</v>
      </c>
      <c r="K55" s="189" t="s">
        <v>36</v>
      </c>
      <c r="L55" s="190">
        <v>2827963.6</v>
      </c>
      <c r="M55" s="191">
        <v>451523.6</v>
      </c>
      <c r="N55" s="191">
        <v>2376440</v>
      </c>
      <c r="O55" s="191">
        <f t="shared" si="12"/>
        <v>9506</v>
      </c>
      <c r="P55" s="191">
        <f t="shared" si="13"/>
        <v>2366934</v>
      </c>
      <c r="Q55" s="191"/>
      <c r="R55" s="185"/>
      <c r="S55" s="192"/>
      <c r="T55" s="186"/>
      <c r="U55" s="193">
        <f t="shared" si="14"/>
        <v>2366934</v>
      </c>
      <c r="V55" s="400" t="s">
        <v>82</v>
      </c>
    </row>
    <row r="56" spans="1:22" ht="84.6" customHeight="1">
      <c r="A56" s="195"/>
      <c r="B56" s="196">
        <v>2023</v>
      </c>
      <c r="C56" s="186" t="str">
        <f t="shared" si="1"/>
        <v>AGO</v>
      </c>
      <c r="D56" s="197">
        <v>45139</v>
      </c>
      <c r="E56" s="198" t="s">
        <v>83</v>
      </c>
      <c r="F56" s="199">
        <v>7</v>
      </c>
      <c r="G56" s="199">
        <v>22</v>
      </c>
      <c r="H56" s="199" t="s">
        <v>22</v>
      </c>
      <c r="I56" s="187" t="s">
        <v>35</v>
      </c>
      <c r="J56" s="205" t="s">
        <v>41</v>
      </c>
      <c r="K56" s="200" t="s">
        <v>84</v>
      </c>
      <c r="L56" s="201">
        <v>-2827963.6</v>
      </c>
      <c r="M56" s="202">
        <v>-451523.6</v>
      </c>
      <c r="N56" s="202">
        <v>-2376440</v>
      </c>
      <c r="O56" s="191">
        <f t="shared" si="12"/>
        <v>-9506</v>
      </c>
      <c r="P56" s="191">
        <f t="shared" si="13"/>
        <v>-2366934</v>
      </c>
      <c r="Q56" s="202"/>
      <c r="R56" s="199"/>
      <c r="S56" s="206"/>
      <c r="T56" s="186"/>
      <c r="U56" s="193">
        <f t="shared" si="14"/>
        <v>-2366934</v>
      </c>
      <c r="V56" s="400" t="s">
        <v>72</v>
      </c>
    </row>
    <row r="57" spans="1:22" ht="40.950000000000003" customHeight="1">
      <c r="B57" s="185">
        <f t="shared" ref="B57:B64" si="15">+YEAR(D57)</f>
        <v>2023</v>
      </c>
      <c r="C57" s="186" t="str">
        <f t="shared" si="1"/>
        <v>AGO</v>
      </c>
      <c r="D57" s="197">
        <v>45139</v>
      </c>
      <c r="E57" s="198">
        <v>22</v>
      </c>
      <c r="F57" s="199">
        <v>7</v>
      </c>
      <c r="G57" s="199">
        <v>22</v>
      </c>
      <c r="H57" s="185" t="s">
        <v>22</v>
      </c>
      <c r="I57" s="187" t="s">
        <v>35</v>
      </c>
      <c r="J57" s="188" t="s">
        <v>41</v>
      </c>
      <c r="K57" s="189" t="s">
        <v>36</v>
      </c>
      <c r="L57" s="190">
        <v>2827963.6</v>
      </c>
      <c r="M57" s="191">
        <v>451523.6</v>
      </c>
      <c r="N57" s="191">
        <f>+L57-M57</f>
        <v>2376440</v>
      </c>
      <c r="O57" s="191">
        <f t="shared" si="12"/>
        <v>9506</v>
      </c>
      <c r="P57" s="191">
        <f t="shared" si="13"/>
        <v>2366934</v>
      </c>
      <c r="Q57" s="191"/>
      <c r="R57" s="185"/>
      <c r="S57" s="192"/>
      <c r="T57" s="186"/>
      <c r="U57" s="193">
        <f t="shared" si="14"/>
        <v>2366934</v>
      </c>
      <c r="V57" s="400" t="s">
        <v>85</v>
      </c>
    </row>
    <row r="58" spans="1:22" ht="35.4" customHeight="1">
      <c r="B58" s="207">
        <f t="shared" si="15"/>
        <v>2023</v>
      </c>
      <c r="C58" s="208" t="str">
        <f t="shared" si="1"/>
        <v>SEP</v>
      </c>
      <c r="D58" s="208">
        <v>45175</v>
      </c>
      <c r="E58" s="209">
        <v>64</v>
      </c>
      <c r="F58" s="207" t="s">
        <v>21</v>
      </c>
      <c r="G58" s="207" t="s">
        <v>21</v>
      </c>
      <c r="H58" s="210" t="s">
        <v>22</v>
      </c>
      <c r="I58" s="211" t="s">
        <v>32</v>
      </c>
      <c r="J58" s="212" t="s">
        <v>86</v>
      </c>
      <c r="K58" s="213" t="s">
        <v>33</v>
      </c>
      <c r="L58" s="214">
        <v>44795251</v>
      </c>
      <c r="M58" s="215">
        <v>7152182.9299999997</v>
      </c>
      <c r="N58" s="215">
        <f>L58-M58</f>
        <v>37643068.07</v>
      </c>
      <c r="O58" s="215">
        <f t="shared" si="12"/>
        <v>150572</v>
      </c>
      <c r="P58" s="215">
        <f t="shared" si="13"/>
        <v>37492496.07</v>
      </c>
      <c r="Q58" s="215"/>
      <c r="R58" s="207"/>
      <c r="S58" s="216"/>
      <c r="T58" s="217"/>
      <c r="U58" s="218">
        <f t="shared" si="14"/>
        <v>37492496.07</v>
      </c>
      <c r="V58" s="401"/>
    </row>
    <row r="59" spans="1:22" ht="32.4" customHeight="1">
      <c r="B59" s="207">
        <f t="shared" si="15"/>
        <v>2023</v>
      </c>
      <c r="C59" s="208" t="str">
        <f t="shared" si="1"/>
        <v>SEP</v>
      </c>
      <c r="D59" s="208">
        <v>45174</v>
      </c>
      <c r="E59" s="210">
        <v>68</v>
      </c>
      <c r="F59" s="207" t="s">
        <v>21</v>
      </c>
      <c r="G59" s="207" t="s">
        <v>21</v>
      </c>
      <c r="H59" s="210" t="s">
        <v>22</v>
      </c>
      <c r="I59" s="209" t="s">
        <v>35</v>
      </c>
      <c r="J59" s="219" t="s">
        <v>86</v>
      </c>
      <c r="K59" s="220" t="s">
        <v>38</v>
      </c>
      <c r="L59" s="221">
        <v>2827964</v>
      </c>
      <c r="M59" s="222">
        <v>451523.66</v>
      </c>
      <c r="N59" s="222">
        <f>L59-M59</f>
        <v>2376440.34</v>
      </c>
      <c r="O59" s="222">
        <f t="shared" si="12"/>
        <v>9506</v>
      </c>
      <c r="P59" s="215">
        <f t="shared" si="13"/>
        <v>2366934.34</v>
      </c>
      <c r="Q59" s="215">
        <v>2366934.34</v>
      </c>
      <c r="R59" s="207">
        <v>2023</v>
      </c>
      <c r="S59" s="216">
        <v>10</v>
      </c>
      <c r="T59" s="208">
        <v>45204</v>
      </c>
      <c r="U59" s="218">
        <f t="shared" si="14"/>
        <v>0</v>
      </c>
      <c r="V59" s="401"/>
    </row>
    <row r="60" spans="1:22" ht="28.2" customHeight="1">
      <c r="B60" s="207">
        <f t="shared" si="15"/>
        <v>2023</v>
      </c>
      <c r="C60" s="208" t="str">
        <f t="shared" si="1"/>
        <v>SEP</v>
      </c>
      <c r="D60" s="208">
        <v>45174</v>
      </c>
      <c r="E60" s="210">
        <v>69</v>
      </c>
      <c r="F60" s="207" t="s">
        <v>21</v>
      </c>
      <c r="G60" s="207" t="s">
        <v>21</v>
      </c>
      <c r="H60" s="210" t="s">
        <v>22</v>
      </c>
      <c r="I60" s="209" t="s">
        <v>26</v>
      </c>
      <c r="J60" s="219" t="s">
        <v>86</v>
      </c>
      <c r="K60" s="220" t="s">
        <v>28</v>
      </c>
      <c r="L60" s="221">
        <v>1297512</v>
      </c>
      <c r="M60" s="222">
        <v>207165.78</v>
      </c>
      <c r="N60" s="222">
        <f t="shared" ref="N60:N71" si="16">+L60-M60</f>
        <v>1090346.22</v>
      </c>
      <c r="O60" s="215">
        <f t="shared" si="12"/>
        <v>4361</v>
      </c>
      <c r="P60" s="215">
        <f t="shared" si="13"/>
        <v>1085985.22</v>
      </c>
      <c r="Q60" s="215">
        <v>1085985.22</v>
      </c>
      <c r="R60" s="207">
        <v>2023</v>
      </c>
      <c r="S60" s="216">
        <v>10</v>
      </c>
      <c r="T60" s="208">
        <v>45204</v>
      </c>
      <c r="U60" s="218">
        <f t="shared" si="14"/>
        <v>0</v>
      </c>
      <c r="V60" s="401"/>
    </row>
    <row r="61" spans="1:22" ht="65.400000000000006" customHeight="1">
      <c r="B61" s="223">
        <f t="shared" si="15"/>
        <v>2023</v>
      </c>
      <c r="C61" s="224" t="str">
        <f t="shared" si="1"/>
        <v>OCT</v>
      </c>
      <c r="D61" s="224">
        <v>45225</v>
      </c>
      <c r="E61" s="225" t="s">
        <v>87</v>
      </c>
      <c r="F61" s="223">
        <v>29</v>
      </c>
      <c r="G61" s="223">
        <v>58</v>
      </c>
      <c r="H61" s="226" t="s">
        <v>22</v>
      </c>
      <c r="I61" s="227" t="s">
        <v>32</v>
      </c>
      <c r="J61" s="228" t="s">
        <v>88</v>
      </c>
      <c r="K61" s="229" t="s">
        <v>89</v>
      </c>
      <c r="L61" s="230">
        <v>-44795251</v>
      </c>
      <c r="M61" s="231">
        <v>-7152182.9299999997</v>
      </c>
      <c r="N61" s="232">
        <f t="shared" si="16"/>
        <v>-37643068.07</v>
      </c>
      <c r="O61" s="231">
        <f t="shared" si="12"/>
        <v>-150572</v>
      </c>
      <c r="P61" s="231">
        <f t="shared" si="13"/>
        <v>-37492496.07</v>
      </c>
      <c r="Q61" s="231"/>
      <c r="R61" s="223"/>
      <c r="S61" s="233"/>
      <c r="T61" s="224"/>
      <c r="U61" s="234">
        <f t="shared" si="14"/>
        <v>-37492496.07</v>
      </c>
      <c r="V61" s="402" t="s">
        <v>90</v>
      </c>
    </row>
    <row r="62" spans="1:22" ht="67.2" customHeight="1">
      <c r="B62" s="223">
        <f t="shared" si="15"/>
        <v>2023</v>
      </c>
      <c r="C62" s="224" t="str">
        <f t="shared" si="1"/>
        <v>OCT</v>
      </c>
      <c r="D62" s="224">
        <v>45225</v>
      </c>
      <c r="E62" s="225" t="s">
        <v>91</v>
      </c>
      <c r="F62" s="223">
        <v>30</v>
      </c>
      <c r="G62" s="223">
        <v>64</v>
      </c>
      <c r="H62" s="226" t="s">
        <v>22</v>
      </c>
      <c r="I62" s="227" t="s">
        <v>32</v>
      </c>
      <c r="J62" s="228" t="s">
        <v>92</v>
      </c>
      <c r="K62" s="229" t="s">
        <v>93</v>
      </c>
      <c r="L62" s="230">
        <v>-44795251</v>
      </c>
      <c r="M62" s="231">
        <v>-7152182.9299999997</v>
      </c>
      <c r="N62" s="232">
        <f t="shared" si="16"/>
        <v>-37643068.07</v>
      </c>
      <c r="O62" s="231">
        <f t="shared" si="12"/>
        <v>-150572</v>
      </c>
      <c r="P62" s="231">
        <f t="shared" si="13"/>
        <v>-37492496.07</v>
      </c>
      <c r="Q62" s="231"/>
      <c r="R62" s="223"/>
      <c r="S62" s="233"/>
      <c r="T62" s="224"/>
      <c r="U62" s="234">
        <f t="shared" si="14"/>
        <v>-37492496.07</v>
      </c>
      <c r="V62" s="402" t="s">
        <v>94</v>
      </c>
    </row>
    <row r="63" spans="1:22" ht="47.4" customHeight="1">
      <c r="B63" s="223">
        <f t="shared" si="15"/>
        <v>2023</v>
      </c>
      <c r="C63" s="224" t="str">
        <f t="shared" si="1"/>
        <v>OCT</v>
      </c>
      <c r="D63" s="224">
        <v>45225</v>
      </c>
      <c r="E63" s="226">
        <v>88</v>
      </c>
      <c r="F63" s="223" t="s">
        <v>21</v>
      </c>
      <c r="G63" s="223" t="s">
        <v>21</v>
      </c>
      <c r="H63" s="226" t="s">
        <v>22</v>
      </c>
      <c r="I63" s="227" t="s">
        <v>32</v>
      </c>
      <c r="J63" s="228" t="s">
        <v>88</v>
      </c>
      <c r="K63" s="229" t="s">
        <v>33</v>
      </c>
      <c r="L63" s="235">
        <v>44795251</v>
      </c>
      <c r="M63" s="231">
        <v>7152182.9299999997</v>
      </c>
      <c r="N63" s="232">
        <f t="shared" si="16"/>
        <v>37643068.07</v>
      </c>
      <c r="O63" s="231">
        <f t="shared" si="12"/>
        <v>150572</v>
      </c>
      <c r="P63" s="231">
        <f t="shared" si="13"/>
        <v>37492496.07</v>
      </c>
      <c r="Q63" s="231">
        <v>37492496.07</v>
      </c>
      <c r="R63" s="223">
        <f>+YEAR(T63)</f>
        <v>2023</v>
      </c>
      <c r="S63" s="233">
        <v>11</v>
      </c>
      <c r="T63" s="236">
        <v>45233</v>
      </c>
      <c r="U63" s="234">
        <f t="shared" si="14"/>
        <v>0</v>
      </c>
      <c r="V63" s="403"/>
    </row>
    <row r="64" spans="1:22" ht="40.950000000000003" customHeight="1">
      <c r="B64" s="223">
        <f t="shared" si="15"/>
        <v>2023</v>
      </c>
      <c r="C64" s="224" t="str">
        <f t="shared" si="1"/>
        <v>OCT</v>
      </c>
      <c r="D64" s="224">
        <v>45225</v>
      </c>
      <c r="E64" s="226">
        <v>89</v>
      </c>
      <c r="F64" s="223" t="s">
        <v>21</v>
      </c>
      <c r="G64" s="223" t="s">
        <v>21</v>
      </c>
      <c r="H64" s="226" t="s">
        <v>22</v>
      </c>
      <c r="I64" s="227" t="s">
        <v>32</v>
      </c>
      <c r="J64" s="228" t="s">
        <v>92</v>
      </c>
      <c r="K64" s="229" t="s">
        <v>33</v>
      </c>
      <c r="L64" s="235">
        <v>44795251</v>
      </c>
      <c r="M64" s="231">
        <v>7152182.9299999997</v>
      </c>
      <c r="N64" s="232">
        <f t="shared" si="16"/>
        <v>37643068.07</v>
      </c>
      <c r="O64" s="231">
        <f t="shared" si="12"/>
        <v>150572</v>
      </c>
      <c r="P64" s="231">
        <f t="shared" si="13"/>
        <v>37492496.07</v>
      </c>
      <c r="Q64" s="231">
        <v>37492496.07</v>
      </c>
      <c r="R64" s="223">
        <v>2023</v>
      </c>
      <c r="S64" s="233">
        <v>11</v>
      </c>
      <c r="T64" s="236">
        <v>45260</v>
      </c>
      <c r="U64" s="234">
        <f t="shared" si="14"/>
        <v>0</v>
      </c>
      <c r="V64" s="403"/>
    </row>
    <row r="65" spans="2:22" ht="43.95" customHeight="1">
      <c r="B65" s="223">
        <v>2023</v>
      </c>
      <c r="C65" s="224" t="str">
        <f t="shared" si="1"/>
        <v>OCT</v>
      </c>
      <c r="D65" s="224">
        <v>45202</v>
      </c>
      <c r="E65" s="226">
        <v>76</v>
      </c>
      <c r="F65" s="223" t="s">
        <v>21</v>
      </c>
      <c r="G65" s="223" t="s">
        <v>21</v>
      </c>
      <c r="H65" s="226" t="s">
        <v>22</v>
      </c>
      <c r="I65" s="227" t="s">
        <v>32</v>
      </c>
      <c r="J65" s="228" t="s">
        <v>95</v>
      </c>
      <c r="K65" s="229" t="s">
        <v>33</v>
      </c>
      <c r="L65" s="230">
        <v>44795251</v>
      </c>
      <c r="M65" s="232">
        <v>7152182.9299999997</v>
      </c>
      <c r="N65" s="232">
        <f t="shared" si="16"/>
        <v>37643068.07</v>
      </c>
      <c r="O65" s="231">
        <f t="shared" si="12"/>
        <v>150572</v>
      </c>
      <c r="P65" s="231">
        <f t="shared" si="13"/>
        <v>37492496.07</v>
      </c>
      <c r="Q65" s="231">
        <v>37492496.07</v>
      </c>
      <c r="R65" s="223">
        <f>+YEAR(T65)</f>
        <v>2023</v>
      </c>
      <c r="S65" s="233">
        <v>11</v>
      </c>
      <c r="T65" s="236">
        <v>45233</v>
      </c>
      <c r="U65" s="234">
        <f t="shared" si="14"/>
        <v>0</v>
      </c>
      <c r="V65" s="403"/>
    </row>
    <row r="66" spans="2:22" ht="39" customHeight="1">
      <c r="B66" s="223">
        <v>2023</v>
      </c>
      <c r="C66" s="224" t="str">
        <f t="shared" si="1"/>
        <v>OCT</v>
      </c>
      <c r="D66" s="224">
        <v>45202</v>
      </c>
      <c r="E66" s="226">
        <v>78</v>
      </c>
      <c r="F66" s="223" t="s">
        <v>21</v>
      </c>
      <c r="G66" s="223" t="s">
        <v>21</v>
      </c>
      <c r="H66" s="226" t="s">
        <v>22</v>
      </c>
      <c r="I66" s="227" t="s">
        <v>35</v>
      </c>
      <c r="J66" s="228" t="s">
        <v>95</v>
      </c>
      <c r="K66" s="237" t="s">
        <v>38</v>
      </c>
      <c r="L66" s="230">
        <v>2827964</v>
      </c>
      <c r="M66" s="232">
        <v>451523.66</v>
      </c>
      <c r="N66" s="232">
        <f t="shared" si="16"/>
        <v>2376440.34</v>
      </c>
      <c r="O66" s="231">
        <f t="shared" si="12"/>
        <v>9506</v>
      </c>
      <c r="P66" s="231">
        <f t="shared" si="13"/>
        <v>2366934.34</v>
      </c>
      <c r="Q66" s="231">
        <v>2366934.34</v>
      </c>
      <c r="R66" s="223">
        <f>+YEAR(T66)</f>
        <v>2023</v>
      </c>
      <c r="S66" s="233">
        <v>11</v>
      </c>
      <c r="T66" s="236">
        <v>45233</v>
      </c>
      <c r="U66" s="234">
        <f t="shared" si="14"/>
        <v>0</v>
      </c>
      <c r="V66" s="403"/>
    </row>
    <row r="67" spans="2:22" ht="40.950000000000003" customHeight="1">
      <c r="B67" s="223">
        <v>2023</v>
      </c>
      <c r="C67" s="224" t="str">
        <f t="shared" si="1"/>
        <v>OCT</v>
      </c>
      <c r="D67" s="224">
        <v>45219</v>
      </c>
      <c r="E67" s="226">
        <v>86</v>
      </c>
      <c r="F67" s="223" t="s">
        <v>21</v>
      </c>
      <c r="G67" s="223" t="s">
        <v>21</v>
      </c>
      <c r="H67" s="226" t="s">
        <v>22</v>
      </c>
      <c r="I67" s="227" t="s">
        <v>26</v>
      </c>
      <c r="J67" s="228" t="s">
        <v>95</v>
      </c>
      <c r="K67" s="237" t="s">
        <v>28</v>
      </c>
      <c r="L67" s="230">
        <v>1297512</v>
      </c>
      <c r="M67" s="232">
        <v>207165.78</v>
      </c>
      <c r="N67" s="232">
        <f t="shared" si="16"/>
        <v>1090346.22</v>
      </c>
      <c r="O67" s="231">
        <f t="shared" si="12"/>
        <v>4361</v>
      </c>
      <c r="P67" s="231">
        <f t="shared" si="13"/>
        <v>1085985.22</v>
      </c>
      <c r="Q67" s="231">
        <v>1085985.22</v>
      </c>
      <c r="R67" s="223">
        <f>+YEAR(T67)</f>
        <v>2023</v>
      </c>
      <c r="S67" s="233">
        <v>11</v>
      </c>
      <c r="T67" s="236">
        <v>45233</v>
      </c>
      <c r="U67" s="234">
        <f t="shared" si="14"/>
        <v>0</v>
      </c>
      <c r="V67" s="403"/>
    </row>
    <row r="68" spans="2:22" ht="36" customHeight="1">
      <c r="B68" s="238">
        <v>2023</v>
      </c>
      <c r="C68" s="239" t="str">
        <f t="shared" si="1"/>
        <v>NOV</v>
      </c>
      <c r="D68" s="239">
        <v>45246</v>
      </c>
      <c r="E68" s="240">
        <v>95</v>
      </c>
      <c r="F68" s="238" t="s">
        <v>21</v>
      </c>
      <c r="G68" s="238" t="s">
        <v>21</v>
      </c>
      <c r="H68" s="240" t="s">
        <v>22</v>
      </c>
      <c r="I68" s="241" t="s">
        <v>32</v>
      </c>
      <c r="J68" s="242" t="s">
        <v>96</v>
      </c>
      <c r="K68" s="243" t="s">
        <v>97</v>
      </c>
      <c r="L68" s="244">
        <v>26877150</v>
      </c>
      <c r="M68" s="245">
        <v>4291309.66</v>
      </c>
      <c r="N68" s="245">
        <f t="shared" si="16"/>
        <v>22585840.34</v>
      </c>
      <c r="O68" s="246">
        <f t="shared" si="12"/>
        <v>90343</v>
      </c>
      <c r="P68" s="246">
        <f t="shared" si="13"/>
        <v>22495497.34</v>
      </c>
      <c r="Q68" s="246"/>
      <c r="R68" s="238"/>
      <c r="S68" s="238"/>
      <c r="T68" s="247"/>
      <c r="U68" s="246">
        <f>P68-Q68</f>
        <v>22495497.34</v>
      </c>
      <c r="V68" s="404"/>
    </row>
    <row r="69" spans="2:22" ht="36" customHeight="1">
      <c r="B69" s="238">
        <v>2023</v>
      </c>
      <c r="C69" s="239" t="str">
        <f t="shared" ref="C69:C132" si="17">UPPER(TEXT(D69,"MMM"))</f>
        <v>NOV</v>
      </c>
      <c r="D69" s="239">
        <v>45246</v>
      </c>
      <c r="E69" s="240">
        <v>94</v>
      </c>
      <c r="F69" s="238" t="s">
        <v>21</v>
      </c>
      <c r="G69" s="238" t="s">
        <v>21</v>
      </c>
      <c r="H69" s="240" t="s">
        <v>22</v>
      </c>
      <c r="I69" s="241" t="s">
        <v>35</v>
      </c>
      <c r="J69" s="242" t="s">
        <v>96</v>
      </c>
      <c r="K69" s="248" t="s">
        <v>38</v>
      </c>
      <c r="L69" s="244">
        <v>2827964</v>
      </c>
      <c r="M69" s="245">
        <v>451523.66</v>
      </c>
      <c r="N69" s="245">
        <f t="shared" si="16"/>
        <v>2376440.34</v>
      </c>
      <c r="O69" s="246">
        <f t="shared" si="12"/>
        <v>9506</v>
      </c>
      <c r="P69" s="246">
        <f t="shared" si="13"/>
        <v>2366934.34</v>
      </c>
      <c r="Q69" s="246"/>
      <c r="R69" s="238"/>
      <c r="S69" s="238"/>
      <c r="T69" s="247"/>
      <c r="U69" s="246">
        <f>P69-Q69</f>
        <v>2366934.34</v>
      </c>
      <c r="V69" s="404"/>
    </row>
    <row r="70" spans="2:22" ht="36" customHeight="1">
      <c r="B70" s="238">
        <v>2023</v>
      </c>
      <c r="C70" s="239" t="str">
        <f t="shared" si="17"/>
        <v>NOV</v>
      </c>
      <c r="D70" s="239">
        <v>45246</v>
      </c>
      <c r="E70" s="240">
        <v>93</v>
      </c>
      <c r="F70" s="238" t="s">
        <v>21</v>
      </c>
      <c r="G70" s="238" t="s">
        <v>21</v>
      </c>
      <c r="H70" s="240" t="s">
        <v>22</v>
      </c>
      <c r="I70" s="241" t="s">
        <v>26</v>
      </c>
      <c r="J70" s="242" t="s">
        <v>96</v>
      </c>
      <c r="K70" s="248" t="s">
        <v>28</v>
      </c>
      <c r="L70" s="244">
        <v>1297512</v>
      </c>
      <c r="M70" s="245">
        <v>207165.78</v>
      </c>
      <c r="N70" s="245">
        <f t="shared" si="16"/>
        <v>1090346.22</v>
      </c>
      <c r="O70" s="246">
        <f t="shared" si="12"/>
        <v>4361</v>
      </c>
      <c r="P70" s="246">
        <f t="shared" si="13"/>
        <v>1085985.22</v>
      </c>
      <c r="Q70" s="246"/>
      <c r="R70" s="238"/>
      <c r="S70" s="238"/>
      <c r="T70" s="247"/>
      <c r="U70" s="246">
        <f>P70-Q70</f>
        <v>1085985.22</v>
      </c>
      <c r="V70" s="404"/>
    </row>
    <row r="71" spans="2:22" ht="36" customHeight="1">
      <c r="B71" s="238">
        <v>2023</v>
      </c>
      <c r="C71" s="239" t="str">
        <f t="shared" si="17"/>
        <v>DIC</v>
      </c>
      <c r="D71" s="239">
        <v>45265</v>
      </c>
      <c r="E71" s="240" t="s">
        <v>98</v>
      </c>
      <c r="F71" s="238">
        <v>34</v>
      </c>
      <c r="G71" s="238">
        <v>93</v>
      </c>
      <c r="H71" s="240" t="s">
        <v>22</v>
      </c>
      <c r="I71" s="241" t="s">
        <v>26</v>
      </c>
      <c r="J71" s="242" t="s">
        <v>96</v>
      </c>
      <c r="K71" s="248" t="s">
        <v>28</v>
      </c>
      <c r="L71" s="244">
        <v>-1297512</v>
      </c>
      <c r="M71" s="245">
        <v>-207165.78</v>
      </c>
      <c r="N71" s="245">
        <f t="shared" si="16"/>
        <v>-1090346.22</v>
      </c>
      <c r="O71" s="246">
        <f t="shared" si="12"/>
        <v>-4361</v>
      </c>
      <c r="P71" s="246">
        <f t="shared" si="13"/>
        <v>-1085985.22</v>
      </c>
      <c r="Q71" s="246"/>
      <c r="R71" s="238"/>
      <c r="S71" s="238"/>
      <c r="T71" s="247"/>
      <c r="U71" s="246">
        <f>P71</f>
        <v>-1085985.22</v>
      </c>
      <c r="V71" s="405" t="s">
        <v>99</v>
      </c>
    </row>
    <row r="72" spans="2:22" ht="36" customHeight="1">
      <c r="B72" s="238">
        <v>2023</v>
      </c>
      <c r="C72" s="239" t="str">
        <f t="shared" si="17"/>
        <v>DIC</v>
      </c>
      <c r="D72" s="239">
        <v>45265</v>
      </c>
      <c r="E72" s="240" t="s">
        <v>100</v>
      </c>
      <c r="F72" s="238">
        <v>35</v>
      </c>
      <c r="G72" s="238">
        <v>94</v>
      </c>
      <c r="H72" s="240" t="s">
        <v>22</v>
      </c>
      <c r="I72" s="241" t="s">
        <v>35</v>
      </c>
      <c r="J72" s="242" t="s">
        <v>96</v>
      </c>
      <c r="K72" s="248" t="s">
        <v>38</v>
      </c>
      <c r="L72" s="249">
        <v>-2827964</v>
      </c>
      <c r="M72" s="250">
        <v>-451523.66</v>
      </c>
      <c r="N72" s="250">
        <v>-2376440.34</v>
      </c>
      <c r="O72" s="246">
        <f t="shared" si="12"/>
        <v>-9506</v>
      </c>
      <c r="P72" s="246">
        <f t="shared" si="13"/>
        <v>-2366934.34</v>
      </c>
      <c r="Q72" s="246"/>
      <c r="R72" s="238"/>
      <c r="S72" s="238"/>
      <c r="T72" s="247"/>
      <c r="U72" s="246">
        <f>P72</f>
        <v>-2366934.34</v>
      </c>
      <c r="V72" s="405" t="s">
        <v>101</v>
      </c>
    </row>
    <row r="73" spans="2:22" ht="36" customHeight="1">
      <c r="B73" s="238">
        <v>2023</v>
      </c>
      <c r="C73" s="239" t="str">
        <f t="shared" si="17"/>
        <v>DIC</v>
      </c>
      <c r="D73" s="239">
        <v>45265</v>
      </c>
      <c r="E73" s="240">
        <v>115</v>
      </c>
      <c r="F73" s="238" t="s">
        <v>21</v>
      </c>
      <c r="G73" s="238" t="s">
        <v>21</v>
      </c>
      <c r="H73" s="240" t="s">
        <v>22</v>
      </c>
      <c r="I73" s="241" t="s">
        <v>26</v>
      </c>
      <c r="J73" s="242" t="s">
        <v>96</v>
      </c>
      <c r="K73" s="248" t="s">
        <v>28</v>
      </c>
      <c r="L73" s="244">
        <v>1297512</v>
      </c>
      <c r="M73" s="245">
        <v>207165.78</v>
      </c>
      <c r="N73" s="245">
        <f t="shared" ref="N73:N104" si="18">+L73-M73</f>
        <v>1090346.22</v>
      </c>
      <c r="O73" s="246">
        <f t="shared" si="12"/>
        <v>4361</v>
      </c>
      <c r="P73" s="246">
        <f t="shared" si="13"/>
        <v>1085985.22</v>
      </c>
      <c r="Q73" s="246">
        <v>1085985.22</v>
      </c>
      <c r="R73" s="238">
        <v>2024</v>
      </c>
      <c r="S73" s="238">
        <v>1</v>
      </c>
      <c r="T73" s="247">
        <v>45322</v>
      </c>
      <c r="U73" s="246">
        <f t="shared" ref="U73:U104" si="19">P73-Q73</f>
        <v>0</v>
      </c>
      <c r="V73" s="404"/>
    </row>
    <row r="74" spans="2:22" ht="36" customHeight="1">
      <c r="B74" s="238">
        <v>2023</v>
      </c>
      <c r="C74" s="239" t="str">
        <f t="shared" si="17"/>
        <v>DIC</v>
      </c>
      <c r="D74" s="239">
        <v>45265</v>
      </c>
      <c r="E74" s="240">
        <v>114</v>
      </c>
      <c r="F74" s="238" t="s">
        <v>21</v>
      </c>
      <c r="G74" s="238" t="s">
        <v>21</v>
      </c>
      <c r="H74" s="240" t="s">
        <v>22</v>
      </c>
      <c r="I74" s="241" t="s">
        <v>35</v>
      </c>
      <c r="J74" s="242" t="s">
        <v>96</v>
      </c>
      <c r="K74" s="248" t="s">
        <v>38</v>
      </c>
      <c r="L74" s="244">
        <v>2827964</v>
      </c>
      <c r="M74" s="245">
        <v>451523.66</v>
      </c>
      <c r="N74" s="245">
        <f t="shared" si="18"/>
        <v>2376440.34</v>
      </c>
      <c r="O74" s="246">
        <f t="shared" si="12"/>
        <v>9506</v>
      </c>
      <c r="P74" s="246">
        <f t="shared" si="13"/>
        <v>2366934.34</v>
      </c>
      <c r="Q74" s="246">
        <v>2366934.34</v>
      </c>
      <c r="R74" s="238">
        <v>2024</v>
      </c>
      <c r="S74" s="238">
        <v>1</v>
      </c>
      <c r="T74" s="247">
        <v>45322</v>
      </c>
      <c r="U74" s="246">
        <f t="shared" si="19"/>
        <v>0</v>
      </c>
      <c r="V74" s="404"/>
    </row>
    <row r="75" spans="2:22" ht="34.950000000000003" customHeight="1">
      <c r="B75" s="251">
        <v>2023</v>
      </c>
      <c r="C75" s="252" t="str">
        <f t="shared" si="17"/>
        <v>DIC</v>
      </c>
      <c r="D75" s="252">
        <v>45265</v>
      </c>
      <c r="E75" s="253">
        <v>110</v>
      </c>
      <c r="F75" s="251" t="s">
        <v>21</v>
      </c>
      <c r="G75" s="251" t="s">
        <v>21</v>
      </c>
      <c r="H75" s="253" t="s">
        <v>22</v>
      </c>
      <c r="I75" s="254" t="s">
        <v>32</v>
      </c>
      <c r="J75" s="255" t="s">
        <v>102</v>
      </c>
      <c r="K75" s="256" t="s">
        <v>97</v>
      </c>
      <c r="L75" s="257">
        <v>26877150</v>
      </c>
      <c r="M75" s="258">
        <v>4291309.66</v>
      </c>
      <c r="N75" s="258">
        <f t="shared" si="18"/>
        <v>22585840.34</v>
      </c>
      <c r="O75" s="259">
        <f t="shared" si="12"/>
        <v>90343</v>
      </c>
      <c r="P75" s="259">
        <f t="shared" si="13"/>
        <v>22495497.34</v>
      </c>
      <c r="Q75" s="259">
        <v>22495497.34</v>
      </c>
      <c r="R75" s="251">
        <v>2024</v>
      </c>
      <c r="S75" s="251">
        <v>1</v>
      </c>
      <c r="T75" s="260">
        <v>45322</v>
      </c>
      <c r="U75" s="259">
        <f t="shared" si="19"/>
        <v>0</v>
      </c>
      <c r="V75" s="406"/>
    </row>
    <row r="76" spans="2:22" ht="34.950000000000003" customHeight="1">
      <c r="B76" s="251">
        <v>2023</v>
      </c>
      <c r="C76" s="252" t="str">
        <f t="shared" si="17"/>
        <v>DIC</v>
      </c>
      <c r="D76" s="252">
        <v>45265</v>
      </c>
      <c r="E76" s="253">
        <v>111</v>
      </c>
      <c r="F76" s="251" t="s">
        <v>21</v>
      </c>
      <c r="G76" s="251" t="s">
        <v>21</v>
      </c>
      <c r="H76" s="253" t="s">
        <v>22</v>
      </c>
      <c r="I76" s="254" t="s">
        <v>35</v>
      </c>
      <c r="J76" s="255" t="s">
        <v>102</v>
      </c>
      <c r="K76" s="261" t="s">
        <v>38</v>
      </c>
      <c r="L76" s="257">
        <v>2827964</v>
      </c>
      <c r="M76" s="258">
        <v>451523.66</v>
      </c>
      <c r="N76" s="258">
        <f t="shared" si="18"/>
        <v>2376440.34</v>
      </c>
      <c r="O76" s="259">
        <f t="shared" si="12"/>
        <v>9506</v>
      </c>
      <c r="P76" s="259">
        <f t="shared" si="13"/>
        <v>2366934.34</v>
      </c>
      <c r="Q76" s="259">
        <v>2366934.34</v>
      </c>
      <c r="R76" s="251">
        <v>2024</v>
      </c>
      <c r="S76" s="251">
        <v>1</v>
      </c>
      <c r="T76" s="260">
        <v>45322</v>
      </c>
      <c r="U76" s="259">
        <f t="shared" si="19"/>
        <v>0</v>
      </c>
      <c r="V76" s="406"/>
    </row>
    <row r="77" spans="2:22" ht="27" customHeight="1">
      <c r="B77" s="251">
        <v>2023</v>
      </c>
      <c r="C77" s="252" t="str">
        <f t="shared" si="17"/>
        <v>DIC</v>
      </c>
      <c r="D77" s="252">
        <v>45265</v>
      </c>
      <c r="E77" s="253">
        <v>113</v>
      </c>
      <c r="F77" s="251" t="s">
        <v>21</v>
      </c>
      <c r="G77" s="251" t="s">
        <v>21</v>
      </c>
      <c r="H77" s="253" t="s">
        <v>22</v>
      </c>
      <c r="I77" s="254" t="s">
        <v>35</v>
      </c>
      <c r="J77" s="255" t="s">
        <v>102</v>
      </c>
      <c r="K77" s="262" t="s">
        <v>103</v>
      </c>
      <c r="L77" s="257">
        <v>4760000</v>
      </c>
      <c r="M77" s="258">
        <v>760000</v>
      </c>
      <c r="N77" s="258">
        <f t="shared" si="18"/>
        <v>4000000</v>
      </c>
      <c r="O77" s="259">
        <f t="shared" si="12"/>
        <v>16000</v>
      </c>
      <c r="P77" s="259">
        <f t="shared" si="13"/>
        <v>3984000</v>
      </c>
      <c r="Q77" s="259">
        <v>3984000</v>
      </c>
      <c r="R77" s="251">
        <v>2024</v>
      </c>
      <c r="S77" s="251">
        <v>1</v>
      </c>
      <c r="T77" s="260">
        <v>45322</v>
      </c>
      <c r="U77" s="259">
        <f t="shared" si="19"/>
        <v>0</v>
      </c>
      <c r="V77" s="406"/>
    </row>
    <row r="78" spans="2:22" ht="45" customHeight="1">
      <c r="B78" s="251">
        <v>2023</v>
      </c>
      <c r="C78" s="252" t="str">
        <f t="shared" si="17"/>
        <v>DIC</v>
      </c>
      <c r="D78" s="252">
        <v>45287</v>
      </c>
      <c r="E78" s="253" t="s">
        <v>104</v>
      </c>
      <c r="F78" s="251">
        <v>39</v>
      </c>
      <c r="G78" s="251">
        <v>95</v>
      </c>
      <c r="H78" s="253" t="s">
        <v>22</v>
      </c>
      <c r="I78" s="254" t="s">
        <v>32</v>
      </c>
      <c r="J78" s="255" t="s">
        <v>96</v>
      </c>
      <c r="K78" s="256" t="s">
        <v>97</v>
      </c>
      <c r="L78" s="257">
        <v>-26877150</v>
      </c>
      <c r="M78" s="258">
        <v>-4291309.66</v>
      </c>
      <c r="N78" s="258">
        <f t="shared" si="18"/>
        <v>-22585840.34</v>
      </c>
      <c r="O78" s="259">
        <f t="shared" ref="O78:O109" si="20">ROUND(N78*0.004,0)</f>
        <v>-90343</v>
      </c>
      <c r="P78" s="259">
        <f t="shared" ref="P78:P109" si="21">N78-O78</f>
        <v>-22495497.34</v>
      </c>
      <c r="Q78" s="259"/>
      <c r="R78" s="251"/>
      <c r="S78" s="251"/>
      <c r="T78" s="260"/>
      <c r="U78" s="259">
        <f t="shared" si="19"/>
        <v>-22495497.34</v>
      </c>
      <c r="V78" s="407" t="s">
        <v>105</v>
      </c>
    </row>
    <row r="79" spans="2:22" ht="34.200000000000003" customHeight="1">
      <c r="B79" s="251">
        <v>2023</v>
      </c>
      <c r="C79" s="252" t="str">
        <f t="shared" si="17"/>
        <v>DIC</v>
      </c>
      <c r="D79" s="252">
        <v>45287</v>
      </c>
      <c r="E79" s="253">
        <v>123</v>
      </c>
      <c r="F79" s="251" t="s">
        <v>21</v>
      </c>
      <c r="G79" s="251" t="s">
        <v>21</v>
      </c>
      <c r="H79" s="253" t="s">
        <v>22</v>
      </c>
      <c r="I79" s="254" t="s">
        <v>32</v>
      </c>
      <c r="J79" s="255" t="s">
        <v>96</v>
      </c>
      <c r="K79" s="256" t="s">
        <v>97</v>
      </c>
      <c r="L79" s="257">
        <v>26877150</v>
      </c>
      <c r="M79" s="258">
        <v>4291309.66</v>
      </c>
      <c r="N79" s="258">
        <f t="shared" si="18"/>
        <v>22585840.34</v>
      </c>
      <c r="O79" s="259">
        <f t="shared" si="20"/>
        <v>90343</v>
      </c>
      <c r="P79" s="259">
        <f t="shared" si="21"/>
        <v>22495497.34</v>
      </c>
      <c r="Q79" s="259">
        <v>22495497.34</v>
      </c>
      <c r="R79" s="251">
        <v>2024</v>
      </c>
      <c r="S79" s="251">
        <v>1</v>
      </c>
      <c r="T79" s="260">
        <v>45322</v>
      </c>
      <c r="U79" s="259">
        <f t="shared" si="19"/>
        <v>0</v>
      </c>
      <c r="V79" s="406"/>
    </row>
    <row r="80" spans="2:22" ht="34.200000000000003" customHeight="1">
      <c r="B80" s="263">
        <v>2024</v>
      </c>
      <c r="C80" s="264" t="str">
        <f t="shared" si="17"/>
        <v>ENE</v>
      </c>
      <c r="D80" s="264">
        <v>45296</v>
      </c>
      <c r="E80" s="265">
        <v>133</v>
      </c>
      <c r="F80" s="263" t="s">
        <v>21</v>
      </c>
      <c r="G80" s="263" t="s">
        <v>21</v>
      </c>
      <c r="H80" s="265" t="s">
        <v>22</v>
      </c>
      <c r="I80" s="266" t="s">
        <v>32</v>
      </c>
      <c r="J80" s="267" t="s">
        <v>106</v>
      </c>
      <c r="K80" s="268" t="s">
        <v>97</v>
      </c>
      <c r="L80" s="269">
        <v>26877150</v>
      </c>
      <c r="M80" s="270">
        <v>4291309.66</v>
      </c>
      <c r="N80" s="270">
        <f t="shared" si="18"/>
        <v>22585840.34</v>
      </c>
      <c r="O80" s="271">
        <f t="shared" si="20"/>
        <v>90343</v>
      </c>
      <c r="P80" s="271">
        <f t="shared" si="21"/>
        <v>22495497.34</v>
      </c>
      <c r="Q80" s="271">
        <v>22495497.34</v>
      </c>
      <c r="R80" s="263">
        <v>2024</v>
      </c>
      <c r="S80" s="263">
        <v>1</v>
      </c>
      <c r="T80" s="272">
        <v>45322</v>
      </c>
      <c r="U80" s="271">
        <f t="shared" si="19"/>
        <v>0</v>
      </c>
      <c r="V80" s="408"/>
    </row>
    <row r="81" spans="2:25" ht="34.200000000000003" customHeight="1">
      <c r="B81" s="263">
        <v>2024</v>
      </c>
      <c r="C81" s="264" t="str">
        <f t="shared" si="17"/>
        <v>ENE</v>
      </c>
      <c r="D81" s="264">
        <v>45296</v>
      </c>
      <c r="E81" s="265">
        <v>134</v>
      </c>
      <c r="F81" s="263" t="s">
        <v>21</v>
      </c>
      <c r="G81" s="263" t="s">
        <v>21</v>
      </c>
      <c r="H81" s="265" t="s">
        <v>22</v>
      </c>
      <c r="I81" s="266" t="s">
        <v>35</v>
      </c>
      <c r="J81" s="267" t="s">
        <v>106</v>
      </c>
      <c r="K81" s="268" t="s">
        <v>38</v>
      </c>
      <c r="L81" s="269">
        <v>2827964</v>
      </c>
      <c r="M81" s="270">
        <v>451523.66</v>
      </c>
      <c r="N81" s="270">
        <f t="shared" si="18"/>
        <v>2376440.34</v>
      </c>
      <c r="O81" s="271">
        <f t="shared" si="20"/>
        <v>9506</v>
      </c>
      <c r="P81" s="271">
        <f t="shared" si="21"/>
        <v>2366934.34</v>
      </c>
      <c r="Q81" s="271">
        <v>2366934.34</v>
      </c>
      <c r="R81" s="263">
        <v>2024</v>
      </c>
      <c r="S81" s="263">
        <v>2</v>
      </c>
      <c r="T81" s="272">
        <v>45348</v>
      </c>
      <c r="U81" s="271">
        <f t="shared" si="19"/>
        <v>0</v>
      </c>
      <c r="V81" s="408"/>
    </row>
    <row r="82" spans="2:25" ht="34.200000000000003" customHeight="1">
      <c r="B82" s="263">
        <v>2024</v>
      </c>
      <c r="C82" s="264" t="str">
        <f t="shared" si="17"/>
        <v>ENE</v>
      </c>
      <c r="D82" s="264">
        <v>45296</v>
      </c>
      <c r="E82" s="265">
        <v>135</v>
      </c>
      <c r="F82" s="263" t="s">
        <v>21</v>
      </c>
      <c r="G82" s="263" t="s">
        <v>107</v>
      </c>
      <c r="H82" s="265" t="s">
        <v>22</v>
      </c>
      <c r="I82" s="266" t="s">
        <v>35</v>
      </c>
      <c r="J82" s="267" t="s">
        <v>106</v>
      </c>
      <c r="K82" s="268" t="s">
        <v>108</v>
      </c>
      <c r="L82" s="269">
        <v>4760000</v>
      </c>
      <c r="M82" s="270">
        <v>760000</v>
      </c>
      <c r="N82" s="270">
        <f t="shared" si="18"/>
        <v>4000000</v>
      </c>
      <c r="O82" s="271">
        <f t="shared" si="20"/>
        <v>16000</v>
      </c>
      <c r="P82" s="271">
        <f t="shared" si="21"/>
        <v>3984000</v>
      </c>
      <c r="Q82" s="271">
        <v>3984000</v>
      </c>
      <c r="R82" s="263">
        <v>2024</v>
      </c>
      <c r="S82" s="263">
        <v>2</v>
      </c>
      <c r="T82" s="272">
        <v>45348</v>
      </c>
      <c r="U82" s="271">
        <f t="shared" si="19"/>
        <v>0</v>
      </c>
      <c r="V82" s="408"/>
    </row>
    <row r="83" spans="2:25" ht="41.4" customHeight="1">
      <c r="B83" s="263">
        <v>2024</v>
      </c>
      <c r="C83" s="264" t="str">
        <f t="shared" si="17"/>
        <v>ENE</v>
      </c>
      <c r="D83" s="264">
        <v>45296</v>
      </c>
      <c r="E83" s="265">
        <v>136</v>
      </c>
      <c r="F83" s="263" t="s">
        <v>21</v>
      </c>
      <c r="G83" s="263" t="s">
        <v>107</v>
      </c>
      <c r="H83" s="265" t="s">
        <v>22</v>
      </c>
      <c r="I83" s="266" t="s">
        <v>35</v>
      </c>
      <c r="J83" s="267" t="s">
        <v>106</v>
      </c>
      <c r="K83" s="268" t="s">
        <v>109</v>
      </c>
      <c r="L83" s="269">
        <v>5325504.01</v>
      </c>
      <c r="M83" s="270">
        <v>850290.56</v>
      </c>
      <c r="N83" s="270">
        <f t="shared" si="18"/>
        <v>4475213.4499999993</v>
      </c>
      <c r="O83" s="271">
        <f t="shared" si="20"/>
        <v>17901</v>
      </c>
      <c r="P83" s="271">
        <f t="shared" si="21"/>
        <v>4457312.4499999993</v>
      </c>
      <c r="Q83" s="271">
        <v>4457312.45</v>
      </c>
      <c r="R83" s="263">
        <v>2024</v>
      </c>
      <c r="S83" s="263">
        <v>2</v>
      </c>
      <c r="T83" s="272">
        <v>45348</v>
      </c>
      <c r="U83" s="271">
        <f t="shared" si="19"/>
        <v>0</v>
      </c>
      <c r="V83" s="408"/>
    </row>
    <row r="84" spans="2:25" ht="67.2" customHeight="1">
      <c r="B84" s="263">
        <v>2024</v>
      </c>
      <c r="C84" s="264" t="str">
        <f t="shared" si="17"/>
        <v>ENE</v>
      </c>
      <c r="D84" s="264">
        <v>45315</v>
      </c>
      <c r="E84" s="265">
        <v>140</v>
      </c>
      <c r="F84" s="263" t="s">
        <v>21</v>
      </c>
      <c r="G84" s="263" t="s">
        <v>107</v>
      </c>
      <c r="H84" s="265" t="s">
        <v>22</v>
      </c>
      <c r="I84" s="266" t="s">
        <v>110</v>
      </c>
      <c r="J84" s="267" t="s">
        <v>106</v>
      </c>
      <c r="K84" s="268" t="s">
        <v>111</v>
      </c>
      <c r="L84" s="349">
        <v>40192964</v>
      </c>
      <c r="M84" s="270">
        <v>6417364</v>
      </c>
      <c r="N84" s="270">
        <f t="shared" si="18"/>
        <v>33775600</v>
      </c>
      <c r="O84" s="271">
        <f t="shared" si="20"/>
        <v>135102</v>
      </c>
      <c r="P84" s="271">
        <f t="shared" si="21"/>
        <v>33640498</v>
      </c>
      <c r="Q84" s="271">
        <v>33640498</v>
      </c>
      <c r="R84" s="263">
        <v>2024</v>
      </c>
      <c r="S84" s="263">
        <v>2</v>
      </c>
      <c r="T84" s="272">
        <v>45349</v>
      </c>
      <c r="U84" s="271">
        <f t="shared" si="19"/>
        <v>0</v>
      </c>
      <c r="V84" s="408"/>
    </row>
    <row r="85" spans="2:25" ht="67.2" customHeight="1">
      <c r="B85" s="313">
        <v>2024</v>
      </c>
      <c r="C85" s="314" t="str">
        <f t="shared" si="17"/>
        <v>FEB</v>
      </c>
      <c r="D85" s="314">
        <v>45327</v>
      </c>
      <c r="E85" s="315">
        <v>148</v>
      </c>
      <c r="F85" s="313" t="s">
        <v>21</v>
      </c>
      <c r="G85" s="313" t="s">
        <v>107</v>
      </c>
      <c r="H85" s="315" t="s">
        <v>22</v>
      </c>
      <c r="I85" s="316" t="s">
        <v>110</v>
      </c>
      <c r="J85" s="317" t="s">
        <v>172</v>
      </c>
      <c r="K85" s="318" t="s">
        <v>111</v>
      </c>
      <c r="L85" s="322">
        <v>40192964</v>
      </c>
      <c r="M85" s="319">
        <v>6417364</v>
      </c>
      <c r="N85" s="319">
        <f t="shared" si="18"/>
        <v>33775600</v>
      </c>
      <c r="O85" s="320">
        <f t="shared" si="20"/>
        <v>135102</v>
      </c>
      <c r="P85" s="320">
        <f t="shared" si="21"/>
        <v>33640498</v>
      </c>
      <c r="Q85" s="320">
        <v>33640498</v>
      </c>
      <c r="R85" s="313">
        <v>2024</v>
      </c>
      <c r="S85" s="313">
        <v>2</v>
      </c>
      <c r="T85" s="321">
        <v>45349</v>
      </c>
      <c r="U85" s="320">
        <f t="shared" si="19"/>
        <v>0</v>
      </c>
      <c r="V85" s="409"/>
      <c r="Y85" s="131"/>
    </row>
    <row r="86" spans="2:25" ht="67.2" customHeight="1">
      <c r="B86" s="313">
        <v>2024</v>
      </c>
      <c r="C86" s="314" t="str">
        <f t="shared" si="17"/>
        <v>FEB</v>
      </c>
      <c r="D86" s="314">
        <v>45327</v>
      </c>
      <c r="E86" s="315">
        <v>149</v>
      </c>
      <c r="F86" s="313" t="s">
        <v>21</v>
      </c>
      <c r="G86" s="313" t="s">
        <v>21</v>
      </c>
      <c r="H86" s="315" t="s">
        <v>22</v>
      </c>
      <c r="I86" s="316" t="s">
        <v>35</v>
      </c>
      <c r="J86" s="317" t="s">
        <v>172</v>
      </c>
      <c r="K86" s="318" t="s">
        <v>38</v>
      </c>
      <c r="L86" s="350">
        <v>2827964</v>
      </c>
      <c r="M86" s="319">
        <v>451523.66</v>
      </c>
      <c r="N86" s="319">
        <f t="shared" si="18"/>
        <v>2376440.34</v>
      </c>
      <c r="O86" s="320">
        <f t="shared" si="20"/>
        <v>9506</v>
      </c>
      <c r="P86" s="320">
        <f t="shared" si="21"/>
        <v>2366934.34</v>
      </c>
      <c r="Q86" s="320">
        <v>2366934.34</v>
      </c>
      <c r="R86" s="313">
        <v>2024</v>
      </c>
      <c r="S86" s="313">
        <v>4</v>
      </c>
      <c r="T86" s="321">
        <v>45383</v>
      </c>
      <c r="U86" s="320">
        <f t="shared" si="19"/>
        <v>0</v>
      </c>
      <c r="V86" s="409"/>
      <c r="Y86" s="131"/>
    </row>
    <row r="87" spans="2:25" ht="67.2" customHeight="1">
      <c r="B87" s="313">
        <v>2024</v>
      </c>
      <c r="C87" s="314" t="str">
        <f t="shared" si="17"/>
        <v>FEB</v>
      </c>
      <c r="D87" s="314">
        <v>45327</v>
      </c>
      <c r="E87" s="315">
        <v>150</v>
      </c>
      <c r="F87" s="313" t="s">
        <v>21</v>
      </c>
      <c r="G87" s="313" t="s">
        <v>107</v>
      </c>
      <c r="H87" s="315" t="s">
        <v>22</v>
      </c>
      <c r="I87" s="316" t="s">
        <v>35</v>
      </c>
      <c r="J87" s="317" t="s">
        <v>172</v>
      </c>
      <c r="K87" s="318" t="s">
        <v>108</v>
      </c>
      <c r="L87" s="350">
        <v>4760000</v>
      </c>
      <c r="M87" s="319">
        <v>760000</v>
      </c>
      <c r="N87" s="319">
        <f t="shared" si="18"/>
        <v>4000000</v>
      </c>
      <c r="O87" s="320">
        <f t="shared" si="20"/>
        <v>16000</v>
      </c>
      <c r="P87" s="320">
        <f t="shared" si="21"/>
        <v>3984000</v>
      </c>
      <c r="Q87" s="320"/>
      <c r="R87" s="313"/>
      <c r="S87" s="313"/>
      <c r="T87" s="321"/>
      <c r="U87" s="320">
        <f t="shared" si="19"/>
        <v>3984000</v>
      </c>
      <c r="V87" s="485" t="s">
        <v>411</v>
      </c>
    </row>
    <row r="88" spans="2:25" ht="67.2" customHeight="1">
      <c r="B88" s="313">
        <v>2024</v>
      </c>
      <c r="C88" s="314" t="str">
        <f t="shared" si="17"/>
        <v>FEB</v>
      </c>
      <c r="D88" s="314">
        <v>45327</v>
      </c>
      <c r="E88" s="315">
        <v>151</v>
      </c>
      <c r="F88" s="313" t="s">
        <v>21</v>
      </c>
      <c r="G88" s="313" t="s">
        <v>107</v>
      </c>
      <c r="H88" s="315" t="s">
        <v>22</v>
      </c>
      <c r="I88" s="316" t="s">
        <v>35</v>
      </c>
      <c r="J88" s="317" t="s">
        <v>172</v>
      </c>
      <c r="K88" s="318" t="s">
        <v>109</v>
      </c>
      <c r="L88" s="350">
        <v>5325504.01</v>
      </c>
      <c r="M88" s="319">
        <v>850290.56</v>
      </c>
      <c r="N88" s="319">
        <f t="shared" si="18"/>
        <v>4475213.4499999993</v>
      </c>
      <c r="O88" s="320">
        <f t="shared" si="20"/>
        <v>17901</v>
      </c>
      <c r="P88" s="320">
        <f t="shared" si="21"/>
        <v>4457312.4499999993</v>
      </c>
      <c r="Q88" s="320">
        <v>4457312.45</v>
      </c>
      <c r="R88" s="313">
        <v>2024</v>
      </c>
      <c r="S88" s="313">
        <v>4</v>
      </c>
      <c r="T88" s="321">
        <v>45383</v>
      </c>
      <c r="U88" s="320">
        <f t="shared" si="19"/>
        <v>0</v>
      </c>
      <c r="V88" s="409"/>
    </row>
    <row r="89" spans="2:25" ht="67.2" customHeight="1">
      <c r="B89" s="313">
        <v>2024</v>
      </c>
      <c r="C89" s="314" t="str">
        <f t="shared" si="17"/>
        <v>FEB</v>
      </c>
      <c r="D89" s="314">
        <v>45348</v>
      </c>
      <c r="E89" s="315">
        <v>163</v>
      </c>
      <c r="F89" s="313" t="s">
        <v>21</v>
      </c>
      <c r="G89" s="313" t="s">
        <v>21</v>
      </c>
      <c r="H89" s="315" t="s">
        <v>22</v>
      </c>
      <c r="I89" s="316" t="s">
        <v>32</v>
      </c>
      <c r="J89" s="317" t="s">
        <v>172</v>
      </c>
      <c r="K89" s="318" t="s">
        <v>97</v>
      </c>
      <c r="L89" s="350">
        <v>26877150</v>
      </c>
      <c r="M89" s="319">
        <v>4291309.66</v>
      </c>
      <c r="N89" s="319">
        <f t="shared" si="18"/>
        <v>22585840.34</v>
      </c>
      <c r="O89" s="320">
        <f t="shared" si="20"/>
        <v>90343</v>
      </c>
      <c r="P89" s="320">
        <f t="shared" si="21"/>
        <v>22495497.34</v>
      </c>
      <c r="Q89" s="320">
        <v>22495497.34</v>
      </c>
      <c r="R89" s="313">
        <v>2024</v>
      </c>
      <c r="S89" s="313">
        <v>4</v>
      </c>
      <c r="T89" s="321">
        <v>45383</v>
      </c>
      <c r="U89" s="320">
        <f t="shared" si="19"/>
        <v>0</v>
      </c>
      <c r="V89" s="409"/>
    </row>
    <row r="90" spans="2:25" ht="67.2" customHeight="1">
      <c r="B90" s="351">
        <v>2024</v>
      </c>
      <c r="C90" s="352" t="str">
        <f t="shared" si="17"/>
        <v>MAR</v>
      </c>
      <c r="D90" s="352">
        <v>45366</v>
      </c>
      <c r="E90" s="353">
        <v>170</v>
      </c>
      <c r="F90" s="351" t="s">
        <v>21</v>
      </c>
      <c r="G90" s="351" t="s">
        <v>21</v>
      </c>
      <c r="H90" s="353" t="s">
        <v>22</v>
      </c>
      <c r="I90" s="354" t="s">
        <v>32</v>
      </c>
      <c r="J90" s="355" t="s">
        <v>364</v>
      </c>
      <c r="K90" s="356" t="s">
        <v>97</v>
      </c>
      <c r="L90" s="361">
        <v>26877150</v>
      </c>
      <c r="M90" s="358">
        <v>4291309.66</v>
      </c>
      <c r="N90" s="358">
        <f t="shared" si="18"/>
        <v>22585840.34</v>
      </c>
      <c r="O90" s="359">
        <f t="shared" si="20"/>
        <v>90343</v>
      </c>
      <c r="P90" s="359">
        <f t="shared" si="21"/>
        <v>22495497.34</v>
      </c>
      <c r="Q90" s="359">
        <v>22495497.34</v>
      </c>
      <c r="R90" s="351">
        <v>2024</v>
      </c>
      <c r="S90" s="351">
        <v>4</v>
      </c>
      <c r="T90" s="360">
        <v>45412</v>
      </c>
      <c r="U90" s="359">
        <f t="shared" si="19"/>
        <v>0</v>
      </c>
      <c r="V90" s="410"/>
      <c r="Y90" s="131"/>
    </row>
    <row r="91" spans="2:25" ht="67.2" customHeight="1">
      <c r="B91" s="351">
        <v>2024</v>
      </c>
      <c r="C91" s="352" t="str">
        <f t="shared" si="17"/>
        <v>MAR</v>
      </c>
      <c r="D91" s="352">
        <v>45366</v>
      </c>
      <c r="E91" s="353">
        <v>171</v>
      </c>
      <c r="F91" s="351" t="s">
        <v>21</v>
      </c>
      <c r="G91" s="351" t="s">
        <v>107</v>
      </c>
      <c r="H91" s="353" t="s">
        <v>22</v>
      </c>
      <c r="I91" s="354" t="s">
        <v>110</v>
      </c>
      <c r="J91" s="355" t="s">
        <v>364</v>
      </c>
      <c r="K91" s="356" t="s">
        <v>111</v>
      </c>
      <c r="L91" s="357">
        <v>40192964</v>
      </c>
      <c r="M91" s="358">
        <v>6417364</v>
      </c>
      <c r="N91" s="358">
        <f t="shared" si="18"/>
        <v>33775600</v>
      </c>
      <c r="O91" s="359">
        <f t="shared" si="20"/>
        <v>135102</v>
      </c>
      <c r="P91" s="359">
        <f t="shared" si="21"/>
        <v>33640498</v>
      </c>
      <c r="Q91" s="359">
        <v>33640498</v>
      </c>
      <c r="R91" s="351">
        <v>2024</v>
      </c>
      <c r="S91" s="351">
        <v>4</v>
      </c>
      <c r="T91" s="360">
        <v>45412</v>
      </c>
      <c r="U91" s="359">
        <f t="shared" si="19"/>
        <v>0</v>
      </c>
      <c r="V91" s="410"/>
    </row>
    <row r="92" spans="2:25" ht="67.2" customHeight="1">
      <c r="B92" s="351">
        <v>2024</v>
      </c>
      <c r="C92" s="352" t="str">
        <f t="shared" si="17"/>
        <v>MAR</v>
      </c>
      <c r="D92" s="352">
        <v>45366</v>
      </c>
      <c r="E92" s="353">
        <v>172</v>
      </c>
      <c r="F92" s="351" t="s">
        <v>21</v>
      </c>
      <c r="G92" s="351" t="s">
        <v>21</v>
      </c>
      <c r="H92" s="353" t="s">
        <v>22</v>
      </c>
      <c r="I92" s="354" t="s">
        <v>35</v>
      </c>
      <c r="J92" s="355" t="s">
        <v>364</v>
      </c>
      <c r="K92" s="356" t="s">
        <v>38</v>
      </c>
      <c r="L92" s="361">
        <v>2827964</v>
      </c>
      <c r="M92" s="358">
        <v>451523.66</v>
      </c>
      <c r="N92" s="358">
        <f t="shared" si="18"/>
        <v>2376440.34</v>
      </c>
      <c r="O92" s="359">
        <f t="shared" si="20"/>
        <v>9506</v>
      </c>
      <c r="P92" s="359">
        <f t="shared" si="21"/>
        <v>2366934.34</v>
      </c>
      <c r="Q92" s="359">
        <f>Tabla1[[#This Row],[Valor a Consignar a la ANI]]</f>
        <v>2366934.34</v>
      </c>
      <c r="R92" s="351">
        <v>2024</v>
      </c>
      <c r="S92" s="351">
        <v>5</v>
      </c>
      <c r="T92" s="360">
        <v>45440</v>
      </c>
      <c r="U92" s="359">
        <f t="shared" si="19"/>
        <v>0</v>
      </c>
      <c r="V92" s="410"/>
    </row>
    <row r="93" spans="2:25" ht="67.2" customHeight="1">
      <c r="B93" s="351">
        <v>2024</v>
      </c>
      <c r="C93" s="352" t="str">
        <f t="shared" si="17"/>
        <v>MAR</v>
      </c>
      <c r="D93" s="352">
        <v>45366</v>
      </c>
      <c r="E93" s="353">
        <v>173</v>
      </c>
      <c r="F93" s="351" t="s">
        <v>21</v>
      </c>
      <c r="G93" s="351" t="s">
        <v>107</v>
      </c>
      <c r="H93" s="353" t="s">
        <v>22</v>
      </c>
      <c r="I93" s="354" t="s">
        <v>35</v>
      </c>
      <c r="J93" s="355" t="s">
        <v>364</v>
      </c>
      <c r="K93" s="356" t="s">
        <v>108</v>
      </c>
      <c r="L93" s="361">
        <v>4760000</v>
      </c>
      <c r="M93" s="358">
        <v>760000</v>
      </c>
      <c r="N93" s="358">
        <f t="shared" si="18"/>
        <v>4000000</v>
      </c>
      <c r="O93" s="359">
        <f t="shared" si="20"/>
        <v>16000</v>
      </c>
      <c r="P93" s="359">
        <f t="shared" si="21"/>
        <v>3984000</v>
      </c>
      <c r="Q93" s="359"/>
      <c r="R93" s="351"/>
      <c r="S93" s="351"/>
      <c r="T93" s="360"/>
      <c r="U93" s="359">
        <f t="shared" si="19"/>
        <v>3984000</v>
      </c>
      <c r="V93" s="487" t="s">
        <v>414</v>
      </c>
    </row>
    <row r="94" spans="2:25" ht="67.2" customHeight="1">
      <c r="B94" s="419">
        <v>2024</v>
      </c>
      <c r="C94" s="420" t="str">
        <f t="shared" si="17"/>
        <v>MAR</v>
      </c>
      <c r="D94" s="420">
        <v>45366</v>
      </c>
      <c r="E94" s="421">
        <v>174</v>
      </c>
      <c r="F94" s="419" t="s">
        <v>21</v>
      </c>
      <c r="G94" s="419" t="s">
        <v>107</v>
      </c>
      <c r="H94" s="421" t="s">
        <v>22</v>
      </c>
      <c r="I94" s="422" t="s">
        <v>35</v>
      </c>
      <c r="J94" s="355" t="s">
        <v>364</v>
      </c>
      <c r="K94" s="423" t="s">
        <v>109</v>
      </c>
      <c r="L94" s="424">
        <v>5325504.01</v>
      </c>
      <c r="M94" s="425">
        <v>850290.56</v>
      </c>
      <c r="N94" s="425">
        <f t="shared" si="18"/>
        <v>4475213.4499999993</v>
      </c>
      <c r="O94" s="426">
        <f t="shared" si="20"/>
        <v>17901</v>
      </c>
      <c r="P94" s="426">
        <f t="shared" si="21"/>
        <v>4457312.4499999993</v>
      </c>
      <c r="Q94" s="426">
        <f>Tabla1[[#This Row],[Valor a Consignar a la ANI]]</f>
        <v>4457312.4499999993</v>
      </c>
      <c r="R94" s="419">
        <v>2024</v>
      </c>
      <c r="S94" s="419">
        <v>5</v>
      </c>
      <c r="T94" s="360">
        <v>45440</v>
      </c>
      <c r="U94" s="426">
        <f t="shared" si="19"/>
        <v>0</v>
      </c>
      <c r="V94" s="427"/>
    </row>
    <row r="95" spans="2:25" ht="67.2" customHeight="1">
      <c r="B95" s="463">
        <v>2024</v>
      </c>
      <c r="C95" s="472" t="str">
        <f t="shared" si="17"/>
        <v>ABR</v>
      </c>
      <c r="D95" s="472">
        <v>45391</v>
      </c>
      <c r="E95" s="455">
        <v>184</v>
      </c>
      <c r="F95" s="456" t="s">
        <v>21</v>
      </c>
      <c r="G95" s="456" t="s">
        <v>107</v>
      </c>
      <c r="H95" s="455" t="s">
        <v>22</v>
      </c>
      <c r="I95" s="457" t="s">
        <v>32</v>
      </c>
      <c r="J95" s="458" t="s">
        <v>371</v>
      </c>
      <c r="K95" s="459" t="s">
        <v>97</v>
      </c>
      <c r="L95" s="460">
        <v>26877150</v>
      </c>
      <c r="M95" s="461">
        <v>4291309.66</v>
      </c>
      <c r="N95" s="461">
        <f t="shared" si="18"/>
        <v>22585840.34</v>
      </c>
      <c r="O95" s="462">
        <f t="shared" si="20"/>
        <v>90343</v>
      </c>
      <c r="P95" s="462">
        <f t="shared" si="21"/>
        <v>22495497.34</v>
      </c>
      <c r="Q95" s="462">
        <f>Tabla1[[#This Row],[Valor a Consignar a la ANI]]</f>
        <v>22495497.34</v>
      </c>
      <c r="R95" s="463">
        <v>2024</v>
      </c>
      <c r="S95" s="463">
        <v>5</v>
      </c>
      <c r="T95" s="464">
        <v>45440</v>
      </c>
      <c r="U95" s="462">
        <f t="shared" si="19"/>
        <v>0</v>
      </c>
      <c r="V95" s="465"/>
    </row>
    <row r="96" spans="2:25" ht="67.2" customHeight="1">
      <c r="B96" s="456">
        <v>2024</v>
      </c>
      <c r="C96" s="472" t="str">
        <f t="shared" si="17"/>
        <v>ABR</v>
      </c>
      <c r="D96" s="472">
        <v>45391</v>
      </c>
      <c r="E96" s="455">
        <v>185</v>
      </c>
      <c r="F96" s="456" t="s">
        <v>21</v>
      </c>
      <c r="G96" s="456" t="s">
        <v>107</v>
      </c>
      <c r="H96" s="455" t="s">
        <v>22</v>
      </c>
      <c r="I96" s="457" t="s">
        <v>110</v>
      </c>
      <c r="J96" s="458" t="s">
        <v>371</v>
      </c>
      <c r="K96" s="459" t="s">
        <v>111</v>
      </c>
      <c r="L96" s="466">
        <v>40192964</v>
      </c>
      <c r="M96" s="461">
        <v>6417364</v>
      </c>
      <c r="N96" s="461">
        <f t="shared" si="18"/>
        <v>33775600</v>
      </c>
      <c r="O96" s="462">
        <f t="shared" si="20"/>
        <v>135102</v>
      </c>
      <c r="P96" s="462">
        <f t="shared" si="21"/>
        <v>33640498</v>
      </c>
      <c r="Q96" s="462">
        <f>Tabla1[[#This Row],[Valor a Consignar a la ANI]]</f>
        <v>33640498</v>
      </c>
      <c r="R96" s="463">
        <v>2024</v>
      </c>
      <c r="S96" s="463">
        <v>5</v>
      </c>
      <c r="T96" s="464">
        <v>45440</v>
      </c>
      <c r="U96" s="462">
        <f t="shared" si="19"/>
        <v>0</v>
      </c>
      <c r="V96" s="465"/>
    </row>
    <row r="97" spans="2:22" ht="67.2" customHeight="1">
      <c r="B97" s="463">
        <v>2024</v>
      </c>
      <c r="C97" s="472" t="str">
        <f t="shared" si="17"/>
        <v>ABR</v>
      </c>
      <c r="D97" s="472">
        <v>45391</v>
      </c>
      <c r="E97" s="455">
        <v>186</v>
      </c>
      <c r="F97" s="456" t="s">
        <v>21</v>
      </c>
      <c r="G97" s="456" t="s">
        <v>107</v>
      </c>
      <c r="H97" s="455" t="s">
        <v>22</v>
      </c>
      <c r="I97" s="457" t="s">
        <v>35</v>
      </c>
      <c r="J97" s="458" t="s">
        <v>371</v>
      </c>
      <c r="K97" s="459" t="s">
        <v>38</v>
      </c>
      <c r="L97" s="460">
        <v>2827964</v>
      </c>
      <c r="M97" s="461">
        <v>451523.66</v>
      </c>
      <c r="N97" s="461">
        <f t="shared" si="18"/>
        <v>2376440.34</v>
      </c>
      <c r="O97" s="462">
        <f t="shared" si="20"/>
        <v>9506</v>
      </c>
      <c r="P97" s="462">
        <f t="shared" si="21"/>
        <v>2366934.34</v>
      </c>
      <c r="Q97" s="462">
        <f>Tabla1[[#This Row],[Valor a Consignar a la ANI]]</f>
        <v>2366934.34</v>
      </c>
      <c r="R97" s="463">
        <v>2024</v>
      </c>
      <c r="S97" s="463">
        <v>5</v>
      </c>
      <c r="T97" s="464">
        <v>45440</v>
      </c>
      <c r="U97" s="462">
        <f t="shared" si="19"/>
        <v>0</v>
      </c>
      <c r="V97" s="465"/>
    </row>
    <row r="98" spans="2:22" ht="67.2" customHeight="1">
      <c r="B98" s="456">
        <v>2024</v>
      </c>
      <c r="C98" s="472" t="str">
        <f t="shared" si="17"/>
        <v>ABR</v>
      </c>
      <c r="D98" s="472">
        <v>45391</v>
      </c>
      <c r="E98" s="455">
        <v>187</v>
      </c>
      <c r="F98" s="456" t="s">
        <v>21</v>
      </c>
      <c r="G98" s="456" t="s">
        <v>107</v>
      </c>
      <c r="H98" s="455" t="s">
        <v>22</v>
      </c>
      <c r="I98" s="457" t="s">
        <v>35</v>
      </c>
      <c r="J98" s="458" t="s">
        <v>371</v>
      </c>
      <c r="K98" s="459" t="s">
        <v>108</v>
      </c>
      <c r="L98" s="460">
        <v>4760000</v>
      </c>
      <c r="M98" s="461">
        <v>760000</v>
      </c>
      <c r="N98" s="461">
        <f t="shared" si="18"/>
        <v>4000000</v>
      </c>
      <c r="O98" s="462">
        <f t="shared" si="20"/>
        <v>16000</v>
      </c>
      <c r="P98" s="462">
        <f t="shared" si="21"/>
        <v>3984000</v>
      </c>
      <c r="Q98" s="462">
        <f>Tabla1[[#This Row],[Valor a Consignar a la ANI]]</f>
        <v>3984000</v>
      </c>
      <c r="R98" s="463">
        <v>2024</v>
      </c>
      <c r="S98" s="463">
        <v>5</v>
      </c>
      <c r="T98" s="464">
        <v>45440</v>
      </c>
      <c r="U98" s="462">
        <f t="shared" si="19"/>
        <v>0</v>
      </c>
      <c r="V98" s="465"/>
    </row>
    <row r="99" spans="2:22" ht="67.2" customHeight="1">
      <c r="B99" s="463">
        <v>2024</v>
      </c>
      <c r="C99" s="472" t="str">
        <f t="shared" si="17"/>
        <v>ABR</v>
      </c>
      <c r="D99" s="472">
        <v>45391</v>
      </c>
      <c r="E99" s="455">
        <v>188</v>
      </c>
      <c r="F99" s="456" t="s">
        <v>21</v>
      </c>
      <c r="G99" s="456" t="s">
        <v>107</v>
      </c>
      <c r="H99" s="467" t="s">
        <v>22</v>
      </c>
      <c r="I99" s="468" t="s">
        <v>35</v>
      </c>
      <c r="J99" s="458" t="s">
        <v>371</v>
      </c>
      <c r="K99" s="469" t="s">
        <v>109</v>
      </c>
      <c r="L99" s="470">
        <v>5325504.01</v>
      </c>
      <c r="M99" s="471">
        <v>850290.56</v>
      </c>
      <c r="N99" s="471">
        <f t="shared" si="18"/>
        <v>4475213.4499999993</v>
      </c>
      <c r="O99" s="462">
        <f t="shared" si="20"/>
        <v>17901</v>
      </c>
      <c r="P99" s="462">
        <f t="shared" si="21"/>
        <v>4457312.4499999993</v>
      </c>
      <c r="Q99" s="462">
        <f>Tabla1[[#This Row],[Valor a Consignar a la ANI]]</f>
        <v>4457312.4499999993</v>
      </c>
      <c r="R99" s="463">
        <v>2024</v>
      </c>
      <c r="S99" s="463">
        <v>5</v>
      </c>
      <c r="T99" s="464">
        <v>45440</v>
      </c>
      <c r="U99" s="462">
        <f t="shared" si="19"/>
        <v>0</v>
      </c>
      <c r="V99" s="465"/>
    </row>
    <row r="100" spans="2:22" s="488" customFormat="1" ht="67.2" customHeight="1">
      <c r="B100" s="489">
        <v>2024</v>
      </c>
      <c r="C100" s="490" t="str">
        <f t="shared" si="17"/>
        <v>MAY</v>
      </c>
      <c r="D100" s="490">
        <v>45415</v>
      </c>
      <c r="E100" s="491">
        <v>207</v>
      </c>
      <c r="F100" s="492" t="s">
        <v>21</v>
      </c>
      <c r="G100" s="492" t="s">
        <v>107</v>
      </c>
      <c r="H100" s="491" t="s">
        <v>22</v>
      </c>
      <c r="I100" s="493" t="s">
        <v>32</v>
      </c>
      <c r="J100" s="494" t="s">
        <v>445</v>
      </c>
      <c r="K100" s="495" t="s">
        <v>97</v>
      </c>
      <c r="L100" s="496">
        <v>26877150</v>
      </c>
      <c r="M100" s="497">
        <v>4291309.66</v>
      </c>
      <c r="N100" s="497">
        <f t="shared" si="18"/>
        <v>22585840.34</v>
      </c>
      <c r="O100" s="498">
        <f t="shared" si="20"/>
        <v>90343</v>
      </c>
      <c r="P100" s="498">
        <f t="shared" si="21"/>
        <v>22495497.34</v>
      </c>
      <c r="Q100" s="498">
        <f>Tabla1[[#This Row],[Valor a Consignar a la ANI]]</f>
        <v>22495497.34</v>
      </c>
      <c r="R100" s="489">
        <v>2024</v>
      </c>
      <c r="S100" s="489">
        <v>5</v>
      </c>
      <c r="T100" s="499">
        <v>45440</v>
      </c>
      <c r="U100" s="498">
        <f t="shared" si="19"/>
        <v>0</v>
      </c>
      <c r="V100" s="500"/>
    </row>
    <row r="101" spans="2:22" s="488" customFormat="1" ht="67.2" customHeight="1">
      <c r="B101" s="492">
        <v>2024</v>
      </c>
      <c r="C101" s="490" t="str">
        <f t="shared" si="17"/>
        <v>MAY</v>
      </c>
      <c r="D101" s="490">
        <v>45415</v>
      </c>
      <c r="E101" s="491">
        <v>206</v>
      </c>
      <c r="F101" s="492" t="s">
        <v>21</v>
      </c>
      <c r="G101" s="492" t="s">
        <v>107</v>
      </c>
      <c r="H101" s="491" t="s">
        <v>22</v>
      </c>
      <c r="I101" s="493" t="s">
        <v>110</v>
      </c>
      <c r="J101" s="494" t="s">
        <v>445</v>
      </c>
      <c r="K101" s="495" t="s">
        <v>111</v>
      </c>
      <c r="L101" s="501">
        <v>40192964</v>
      </c>
      <c r="M101" s="497">
        <v>6417364</v>
      </c>
      <c r="N101" s="497">
        <f t="shared" si="18"/>
        <v>33775600</v>
      </c>
      <c r="O101" s="498">
        <f t="shared" si="20"/>
        <v>135102</v>
      </c>
      <c r="P101" s="498">
        <f t="shared" si="21"/>
        <v>33640498</v>
      </c>
      <c r="Q101" s="498">
        <f>Tabla1[[#This Row],[Valor a Consignar a la ANI]]</f>
        <v>33640498</v>
      </c>
      <c r="R101" s="489">
        <v>2024</v>
      </c>
      <c r="S101" s="489">
        <v>5</v>
      </c>
      <c r="T101" s="499">
        <v>45440</v>
      </c>
      <c r="U101" s="498">
        <f t="shared" si="19"/>
        <v>0</v>
      </c>
      <c r="V101" s="500"/>
    </row>
    <row r="102" spans="2:22" s="488" customFormat="1" ht="67.2" customHeight="1">
      <c r="B102" s="489">
        <v>2024</v>
      </c>
      <c r="C102" s="490" t="str">
        <f t="shared" si="17"/>
        <v>MAY</v>
      </c>
      <c r="D102" s="490">
        <v>45415</v>
      </c>
      <c r="E102" s="491">
        <v>205</v>
      </c>
      <c r="F102" s="492" t="s">
        <v>21</v>
      </c>
      <c r="G102" s="492" t="s">
        <v>107</v>
      </c>
      <c r="H102" s="491" t="s">
        <v>22</v>
      </c>
      <c r="I102" s="493" t="s">
        <v>35</v>
      </c>
      <c r="J102" s="494" t="s">
        <v>445</v>
      </c>
      <c r="K102" s="495" t="s">
        <v>38</v>
      </c>
      <c r="L102" s="496">
        <v>2827964</v>
      </c>
      <c r="M102" s="497">
        <v>451523.66</v>
      </c>
      <c r="N102" s="497">
        <f t="shared" si="18"/>
        <v>2376440.34</v>
      </c>
      <c r="O102" s="498">
        <f t="shared" si="20"/>
        <v>9506</v>
      </c>
      <c r="P102" s="498">
        <f t="shared" si="21"/>
        <v>2366934.34</v>
      </c>
      <c r="Q102" s="498">
        <v>2366934.34</v>
      </c>
      <c r="R102" s="489">
        <v>2024</v>
      </c>
      <c r="S102" s="489">
        <v>7</v>
      </c>
      <c r="T102" s="499">
        <v>45504</v>
      </c>
      <c r="U102" s="498">
        <f t="shared" si="19"/>
        <v>0</v>
      </c>
      <c r="V102" s="500"/>
    </row>
    <row r="103" spans="2:22" s="488" customFormat="1" ht="67.2" customHeight="1">
      <c r="B103" s="492">
        <v>2024</v>
      </c>
      <c r="C103" s="490" t="str">
        <f t="shared" si="17"/>
        <v>MAY</v>
      </c>
      <c r="D103" s="490">
        <v>45415</v>
      </c>
      <c r="E103" s="491">
        <v>204</v>
      </c>
      <c r="F103" s="492" t="s">
        <v>21</v>
      </c>
      <c r="G103" s="492" t="s">
        <v>107</v>
      </c>
      <c r="H103" s="491" t="s">
        <v>22</v>
      </c>
      <c r="I103" s="493" t="s">
        <v>35</v>
      </c>
      <c r="J103" s="494" t="s">
        <v>445</v>
      </c>
      <c r="K103" s="495" t="s">
        <v>446</v>
      </c>
      <c r="L103" s="496">
        <v>4760000</v>
      </c>
      <c r="M103" s="497">
        <v>760000</v>
      </c>
      <c r="N103" s="497">
        <f t="shared" si="18"/>
        <v>4000000</v>
      </c>
      <c r="O103" s="498">
        <f t="shared" si="20"/>
        <v>16000</v>
      </c>
      <c r="P103" s="498">
        <f t="shared" si="21"/>
        <v>3984000</v>
      </c>
      <c r="Q103" s="498">
        <v>3984000</v>
      </c>
      <c r="R103" s="489">
        <v>2024</v>
      </c>
      <c r="S103" s="489">
        <v>7</v>
      </c>
      <c r="T103" s="499">
        <v>45504</v>
      </c>
      <c r="U103" s="498">
        <f t="shared" si="19"/>
        <v>0</v>
      </c>
      <c r="V103" s="500"/>
    </row>
    <row r="104" spans="2:22" s="488" customFormat="1" ht="67.2" customHeight="1">
      <c r="B104" s="489">
        <v>2024</v>
      </c>
      <c r="C104" s="490" t="str">
        <f t="shared" si="17"/>
        <v>MAY</v>
      </c>
      <c r="D104" s="490">
        <v>45415</v>
      </c>
      <c r="E104" s="491">
        <v>203</v>
      </c>
      <c r="F104" s="492" t="s">
        <v>21</v>
      </c>
      <c r="G104" s="492" t="s">
        <v>107</v>
      </c>
      <c r="H104" s="502" t="s">
        <v>22</v>
      </c>
      <c r="I104" s="503" t="s">
        <v>35</v>
      </c>
      <c r="J104" s="494" t="s">
        <v>445</v>
      </c>
      <c r="K104" s="504" t="s">
        <v>109</v>
      </c>
      <c r="L104" s="505">
        <v>5325504.01</v>
      </c>
      <c r="M104" s="506">
        <v>850290.56</v>
      </c>
      <c r="N104" s="506">
        <f t="shared" si="18"/>
        <v>4475213.4499999993</v>
      </c>
      <c r="O104" s="498">
        <f t="shared" si="20"/>
        <v>17901</v>
      </c>
      <c r="P104" s="498">
        <f t="shared" si="21"/>
        <v>4457312.4499999993</v>
      </c>
      <c r="Q104" s="498">
        <v>4457312.45</v>
      </c>
      <c r="R104" s="489">
        <v>2024</v>
      </c>
      <c r="S104" s="489">
        <v>7</v>
      </c>
      <c r="T104" s="499">
        <v>45504</v>
      </c>
      <c r="U104" s="498">
        <f t="shared" si="19"/>
        <v>0</v>
      </c>
      <c r="V104" s="500"/>
    </row>
    <row r="105" spans="2:22" ht="67.2" customHeight="1">
      <c r="B105" s="474">
        <v>2024</v>
      </c>
      <c r="C105" s="475" t="str">
        <f t="shared" si="17"/>
        <v>MAY</v>
      </c>
      <c r="D105" s="475">
        <v>45419</v>
      </c>
      <c r="E105" s="476" t="s">
        <v>412</v>
      </c>
      <c r="F105" s="477">
        <v>54</v>
      </c>
      <c r="G105" s="477">
        <v>150</v>
      </c>
      <c r="H105" s="476" t="s">
        <v>22</v>
      </c>
      <c r="I105" s="478" t="s">
        <v>35</v>
      </c>
      <c r="J105" s="479" t="s">
        <v>172</v>
      </c>
      <c r="K105" s="480" t="s">
        <v>108</v>
      </c>
      <c r="L105" s="481">
        <v>-4760000</v>
      </c>
      <c r="M105" s="482">
        <v>-760000</v>
      </c>
      <c r="N105" s="482">
        <f t="shared" ref="N105:N136" si="22">+L105-M105</f>
        <v>-4000000</v>
      </c>
      <c r="O105" s="483">
        <f t="shared" si="20"/>
        <v>-16000</v>
      </c>
      <c r="P105" s="483">
        <f t="shared" si="21"/>
        <v>-3984000</v>
      </c>
      <c r="Q105" s="483"/>
      <c r="R105" s="474"/>
      <c r="S105" s="474"/>
      <c r="T105" s="484"/>
      <c r="U105" s="483">
        <f t="shared" ref="U105:U136" si="23">P105-Q105</f>
        <v>-3984000</v>
      </c>
      <c r="V105" s="486" t="s">
        <v>411</v>
      </c>
    </row>
    <row r="106" spans="2:22" ht="67.2" customHeight="1">
      <c r="B106" s="474">
        <v>2024</v>
      </c>
      <c r="C106" s="475" t="str">
        <f t="shared" si="17"/>
        <v>MAY</v>
      </c>
      <c r="D106" s="475">
        <v>45419</v>
      </c>
      <c r="E106" s="476" t="s">
        <v>413</v>
      </c>
      <c r="F106" s="477">
        <v>55</v>
      </c>
      <c r="G106" s="477">
        <v>173</v>
      </c>
      <c r="H106" s="476" t="s">
        <v>22</v>
      </c>
      <c r="I106" s="478" t="s">
        <v>35</v>
      </c>
      <c r="J106" s="479" t="s">
        <v>364</v>
      </c>
      <c r="K106" s="480" t="s">
        <v>108</v>
      </c>
      <c r="L106" s="481">
        <v>-4760000</v>
      </c>
      <c r="M106" s="482">
        <v>-760000</v>
      </c>
      <c r="N106" s="482">
        <f t="shared" si="22"/>
        <v>-4000000</v>
      </c>
      <c r="O106" s="483">
        <f t="shared" si="20"/>
        <v>-16000</v>
      </c>
      <c r="P106" s="483">
        <f t="shared" si="21"/>
        <v>-3984000</v>
      </c>
      <c r="Q106" s="483"/>
      <c r="R106" s="474"/>
      <c r="S106" s="474"/>
      <c r="T106" s="484"/>
      <c r="U106" s="483">
        <f t="shared" si="23"/>
        <v>-3984000</v>
      </c>
      <c r="V106" s="486" t="s">
        <v>414</v>
      </c>
    </row>
    <row r="107" spans="2:22" ht="67.2" customHeight="1">
      <c r="B107" s="507">
        <v>2024</v>
      </c>
      <c r="C107" s="508" t="str">
        <f t="shared" si="17"/>
        <v>MAY</v>
      </c>
      <c r="D107" s="508">
        <v>45419</v>
      </c>
      <c r="E107" s="509">
        <v>211</v>
      </c>
      <c r="F107" s="507" t="s">
        <v>21</v>
      </c>
      <c r="G107" s="507" t="s">
        <v>107</v>
      </c>
      <c r="H107" s="509" t="s">
        <v>22</v>
      </c>
      <c r="I107" s="510" t="s">
        <v>35</v>
      </c>
      <c r="J107" s="511" t="s">
        <v>172</v>
      </c>
      <c r="K107" s="512" t="s">
        <v>108</v>
      </c>
      <c r="L107" s="513">
        <v>4760000</v>
      </c>
      <c r="M107" s="514">
        <v>760000</v>
      </c>
      <c r="N107" s="514">
        <f t="shared" si="22"/>
        <v>4000000</v>
      </c>
      <c r="O107" s="515">
        <f t="shared" si="20"/>
        <v>16000</v>
      </c>
      <c r="P107" s="515">
        <f t="shared" si="21"/>
        <v>3984000</v>
      </c>
      <c r="Q107" s="515">
        <v>3984000</v>
      </c>
      <c r="R107" s="489">
        <v>2024</v>
      </c>
      <c r="S107" s="489">
        <v>7</v>
      </c>
      <c r="T107" s="499">
        <v>45504</v>
      </c>
      <c r="U107" s="515">
        <f t="shared" si="23"/>
        <v>0</v>
      </c>
      <c r="V107" s="516"/>
    </row>
    <row r="108" spans="2:22" ht="67.2" customHeight="1">
      <c r="B108" s="507">
        <v>2024</v>
      </c>
      <c r="C108" s="508" t="str">
        <f t="shared" si="17"/>
        <v>MAY</v>
      </c>
      <c r="D108" s="508">
        <v>45419</v>
      </c>
      <c r="E108" s="509">
        <v>212</v>
      </c>
      <c r="F108" s="507" t="s">
        <v>21</v>
      </c>
      <c r="G108" s="507" t="s">
        <v>107</v>
      </c>
      <c r="H108" s="509" t="s">
        <v>22</v>
      </c>
      <c r="I108" s="510" t="s">
        <v>35</v>
      </c>
      <c r="J108" s="511" t="s">
        <v>364</v>
      </c>
      <c r="K108" s="512" t="s">
        <v>108</v>
      </c>
      <c r="L108" s="513">
        <v>4760000</v>
      </c>
      <c r="M108" s="514">
        <v>760000</v>
      </c>
      <c r="N108" s="514">
        <f t="shared" si="22"/>
        <v>4000000</v>
      </c>
      <c r="O108" s="515">
        <f t="shared" si="20"/>
        <v>16000</v>
      </c>
      <c r="P108" s="515">
        <f t="shared" si="21"/>
        <v>3984000</v>
      </c>
      <c r="Q108" s="515">
        <v>3984000</v>
      </c>
      <c r="R108" s="489">
        <v>2024</v>
      </c>
      <c r="S108" s="489">
        <v>7</v>
      </c>
      <c r="T108" s="499">
        <v>45504</v>
      </c>
      <c r="U108" s="515">
        <f t="shared" si="23"/>
        <v>0</v>
      </c>
      <c r="V108" s="516"/>
    </row>
    <row r="109" spans="2:22" ht="67.2" customHeight="1">
      <c r="B109" s="238">
        <v>2024</v>
      </c>
      <c r="C109" s="239" t="str">
        <f t="shared" si="17"/>
        <v>JUN</v>
      </c>
      <c r="D109" s="239">
        <v>45454</v>
      </c>
      <c r="E109" s="240">
        <v>219</v>
      </c>
      <c r="F109" s="532" t="s">
        <v>21</v>
      </c>
      <c r="G109" s="532" t="s">
        <v>107</v>
      </c>
      <c r="H109" s="240" t="s">
        <v>22</v>
      </c>
      <c r="I109" s="241" t="s">
        <v>32</v>
      </c>
      <c r="J109" s="242" t="s">
        <v>447</v>
      </c>
      <c r="K109" s="243" t="s">
        <v>97</v>
      </c>
      <c r="L109" s="244">
        <v>26877150</v>
      </c>
      <c r="M109" s="245">
        <v>4291309.66</v>
      </c>
      <c r="N109" s="245">
        <f t="shared" si="22"/>
        <v>22585840.34</v>
      </c>
      <c r="O109" s="246">
        <f t="shared" si="20"/>
        <v>90343</v>
      </c>
      <c r="P109" s="246">
        <f t="shared" si="21"/>
        <v>22495497.34</v>
      </c>
      <c r="Q109" s="246">
        <v>22495497.34</v>
      </c>
      <c r="R109" s="238">
        <v>2024</v>
      </c>
      <c r="S109" s="238">
        <v>6</v>
      </c>
      <c r="T109" s="247">
        <v>45469</v>
      </c>
      <c r="U109" s="246">
        <f t="shared" si="23"/>
        <v>0</v>
      </c>
      <c r="V109" s="404"/>
    </row>
    <row r="110" spans="2:22" ht="71.400000000000006" customHeight="1">
      <c r="B110" s="238">
        <v>2024</v>
      </c>
      <c r="C110" s="533" t="str">
        <f t="shared" si="17"/>
        <v>JUN</v>
      </c>
      <c r="D110" s="239">
        <v>45454</v>
      </c>
      <c r="E110" s="240">
        <v>220</v>
      </c>
      <c r="F110" s="532" t="s">
        <v>21</v>
      </c>
      <c r="G110" s="532" t="s">
        <v>107</v>
      </c>
      <c r="H110" s="240" t="s">
        <v>22</v>
      </c>
      <c r="I110" s="241" t="s">
        <v>110</v>
      </c>
      <c r="J110" s="242" t="s">
        <v>447</v>
      </c>
      <c r="K110" s="243" t="s">
        <v>111</v>
      </c>
      <c r="L110" s="534">
        <v>40192964</v>
      </c>
      <c r="M110" s="245">
        <v>6417364</v>
      </c>
      <c r="N110" s="245">
        <f t="shared" si="22"/>
        <v>33775600</v>
      </c>
      <c r="O110" s="246">
        <f t="shared" ref="O110:O141" si="24">ROUND(N110*0.004,0)</f>
        <v>135102</v>
      </c>
      <c r="P110" s="246">
        <f t="shared" ref="P110:P141" si="25">N110-O110</f>
        <v>33640498</v>
      </c>
      <c r="Q110" s="246">
        <v>33640498</v>
      </c>
      <c r="R110" s="238">
        <v>2024</v>
      </c>
      <c r="S110" s="238">
        <v>7</v>
      </c>
      <c r="T110" s="247">
        <v>45504</v>
      </c>
      <c r="U110" s="246">
        <f t="shared" si="23"/>
        <v>0</v>
      </c>
      <c r="V110" s="404"/>
    </row>
    <row r="111" spans="2:22" ht="59.4" customHeight="1">
      <c r="B111" s="238">
        <v>2024</v>
      </c>
      <c r="C111" s="239" t="str">
        <f t="shared" si="17"/>
        <v>JUN</v>
      </c>
      <c r="D111" s="239">
        <v>45454</v>
      </c>
      <c r="E111" s="240">
        <v>221</v>
      </c>
      <c r="F111" s="532" t="s">
        <v>21</v>
      </c>
      <c r="G111" s="532" t="s">
        <v>107</v>
      </c>
      <c r="H111" s="535" t="s">
        <v>22</v>
      </c>
      <c r="I111" s="536" t="s">
        <v>35</v>
      </c>
      <c r="J111" s="242" t="s">
        <v>447</v>
      </c>
      <c r="K111" s="537" t="s">
        <v>109</v>
      </c>
      <c r="L111" s="538">
        <v>5325504.01</v>
      </c>
      <c r="M111" s="539">
        <v>850290.56</v>
      </c>
      <c r="N111" s="539">
        <f t="shared" si="22"/>
        <v>4475213.4499999993</v>
      </c>
      <c r="O111" s="246">
        <f t="shared" si="24"/>
        <v>17901</v>
      </c>
      <c r="P111" s="246">
        <f t="shared" si="25"/>
        <v>4457312.4499999993</v>
      </c>
      <c r="Q111" s="246">
        <v>4457312.45</v>
      </c>
      <c r="R111" s="238">
        <v>2024</v>
      </c>
      <c r="S111" s="238">
        <v>9</v>
      </c>
      <c r="T111" s="247">
        <v>45565</v>
      </c>
      <c r="U111" s="246">
        <f t="shared" si="23"/>
        <v>0</v>
      </c>
      <c r="V111" s="404"/>
    </row>
    <row r="112" spans="2:22" ht="55.8" customHeight="1">
      <c r="B112" s="238">
        <v>2024</v>
      </c>
      <c r="C112" s="239" t="str">
        <f t="shared" si="17"/>
        <v>JUN</v>
      </c>
      <c r="D112" s="239">
        <v>45454</v>
      </c>
      <c r="E112" s="240">
        <v>222</v>
      </c>
      <c r="F112" s="532" t="s">
        <v>21</v>
      </c>
      <c r="G112" s="532" t="s">
        <v>107</v>
      </c>
      <c r="H112" s="240" t="s">
        <v>22</v>
      </c>
      <c r="I112" s="241" t="s">
        <v>35</v>
      </c>
      <c r="J112" s="242" t="s">
        <v>447</v>
      </c>
      <c r="K112" s="243" t="s">
        <v>108</v>
      </c>
      <c r="L112" s="244">
        <v>4760000</v>
      </c>
      <c r="M112" s="245">
        <v>760000</v>
      </c>
      <c r="N112" s="245">
        <f t="shared" si="22"/>
        <v>4000000</v>
      </c>
      <c r="O112" s="246">
        <f t="shared" si="24"/>
        <v>16000</v>
      </c>
      <c r="P112" s="246">
        <f t="shared" si="25"/>
        <v>3984000</v>
      </c>
      <c r="Q112" s="246">
        <v>3984000</v>
      </c>
      <c r="R112" s="238">
        <v>2024</v>
      </c>
      <c r="S112" s="238">
        <v>9</v>
      </c>
      <c r="T112" s="247">
        <v>45565</v>
      </c>
      <c r="U112" s="246">
        <f t="shared" si="23"/>
        <v>0</v>
      </c>
      <c r="V112" s="404"/>
    </row>
    <row r="113" spans="2:22" ht="50.4" customHeight="1">
      <c r="B113" s="238">
        <v>2024</v>
      </c>
      <c r="C113" s="239" t="str">
        <f t="shared" si="17"/>
        <v>JUN</v>
      </c>
      <c r="D113" s="239">
        <v>45454</v>
      </c>
      <c r="E113" s="240">
        <v>223</v>
      </c>
      <c r="F113" s="532" t="s">
        <v>21</v>
      </c>
      <c r="G113" s="532" t="s">
        <v>107</v>
      </c>
      <c r="H113" s="240" t="s">
        <v>22</v>
      </c>
      <c r="I113" s="241" t="s">
        <v>35</v>
      </c>
      <c r="J113" s="242" t="s">
        <v>447</v>
      </c>
      <c r="K113" s="243" t="s">
        <v>38</v>
      </c>
      <c r="L113" s="244">
        <v>2827964</v>
      </c>
      <c r="M113" s="245">
        <v>451523.66</v>
      </c>
      <c r="N113" s="245">
        <f t="shared" si="22"/>
        <v>2376440.34</v>
      </c>
      <c r="O113" s="246">
        <f t="shared" si="24"/>
        <v>9506</v>
      </c>
      <c r="P113" s="246">
        <f t="shared" si="25"/>
        <v>2366934.34</v>
      </c>
      <c r="Q113" s="246">
        <v>2366934.34</v>
      </c>
      <c r="R113" s="238">
        <v>2024</v>
      </c>
      <c r="S113" s="238">
        <v>9</v>
      </c>
      <c r="T113" s="247">
        <v>45565</v>
      </c>
      <c r="U113" s="246">
        <f t="shared" si="23"/>
        <v>0</v>
      </c>
      <c r="V113" s="404"/>
    </row>
    <row r="114" spans="2:22" ht="72.599999999999994" customHeight="1">
      <c r="B114" s="351">
        <v>2024</v>
      </c>
      <c r="C114" s="554" t="str">
        <f t="shared" si="17"/>
        <v>JUL</v>
      </c>
      <c r="D114" s="352">
        <v>45483</v>
      </c>
      <c r="E114" s="353">
        <v>240</v>
      </c>
      <c r="F114" s="351" t="s">
        <v>21</v>
      </c>
      <c r="G114" s="351" t="s">
        <v>107</v>
      </c>
      <c r="H114" s="353" t="s">
        <v>22</v>
      </c>
      <c r="I114" s="354" t="s">
        <v>110</v>
      </c>
      <c r="J114" s="355" t="s">
        <v>485</v>
      </c>
      <c r="K114" s="356" t="s">
        <v>111</v>
      </c>
      <c r="L114" s="358">
        <v>40192964</v>
      </c>
      <c r="M114" s="358">
        <v>6417364</v>
      </c>
      <c r="N114" s="358">
        <f t="shared" si="22"/>
        <v>33775600</v>
      </c>
      <c r="O114" s="359">
        <f t="shared" si="24"/>
        <v>135102</v>
      </c>
      <c r="P114" s="359">
        <f t="shared" si="25"/>
        <v>33640498</v>
      </c>
      <c r="Q114" s="359">
        <v>33640498</v>
      </c>
      <c r="R114" s="351">
        <v>2024</v>
      </c>
      <c r="S114" s="593">
        <v>8</v>
      </c>
      <c r="T114" s="360">
        <v>45533</v>
      </c>
      <c r="U114" s="359">
        <f t="shared" si="23"/>
        <v>0</v>
      </c>
      <c r="V114" s="410"/>
    </row>
    <row r="115" spans="2:22" ht="63.6" customHeight="1">
      <c r="B115" s="351">
        <v>2024</v>
      </c>
      <c r="C115" s="352" t="str">
        <f t="shared" si="17"/>
        <v>JUL</v>
      </c>
      <c r="D115" s="352">
        <v>45483</v>
      </c>
      <c r="E115" s="353">
        <v>241</v>
      </c>
      <c r="F115" s="351" t="s">
        <v>21</v>
      </c>
      <c r="G115" s="351" t="s">
        <v>107</v>
      </c>
      <c r="H115" s="353" t="s">
        <v>22</v>
      </c>
      <c r="I115" s="354" t="s">
        <v>35</v>
      </c>
      <c r="J115" s="355" t="s">
        <v>485</v>
      </c>
      <c r="K115" s="356" t="s">
        <v>109</v>
      </c>
      <c r="L115" s="358">
        <v>5325504.01</v>
      </c>
      <c r="M115" s="358">
        <v>850290.56</v>
      </c>
      <c r="N115" s="358">
        <f t="shared" si="22"/>
        <v>4475213.4499999993</v>
      </c>
      <c r="O115" s="359">
        <f t="shared" si="24"/>
        <v>17901</v>
      </c>
      <c r="P115" s="359">
        <f t="shared" si="25"/>
        <v>4457312.4499999993</v>
      </c>
      <c r="Q115" s="359">
        <v>4457312.45</v>
      </c>
      <c r="R115" s="351">
        <v>2024</v>
      </c>
      <c r="S115" s="351">
        <v>9</v>
      </c>
      <c r="T115" s="360">
        <v>45565</v>
      </c>
      <c r="U115" s="359">
        <f t="shared" si="23"/>
        <v>0</v>
      </c>
      <c r="V115" s="410"/>
    </row>
    <row r="116" spans="2:22" ht="60" customHeight="1">
      <c r="B116" s="419">
        <v>2024</v>
      </c>
      <c r="C116" s="420" t="str">
        <f t="shared" si="17"/>
        <v>JUL</v>
      </c>
      <c r="D116" s="352">
        <v>45483</v>
      </c>
      <c r="E116" s="421">
        <v>242</v>
      </c>
      <c r="F116" s="419" t="s">
        <v>21</v>
      </c>
      <c r="G116" s="419" t="s">
        <v>107</v>
      </c>
      <c r="H116" s="421" t="s">
        <v>22</v>
      </c>
      <c r="I116" s="422" t="s">
        <v>35</v>
      </c>
      <c r="J116" s="355" t="s">
        <v>485</v>
      </c>
      <c r="K116" s="423" t="s">
        <v>38</v>
      </c>
      <c r="L116" s="358">
        <v>3090399.06</v>
      </c>
      <c r="M116" s="425">
        <v>493425.06</v>
      </c>
      <c r="N116" s="425">
        <f t="shared" si="22"/>
        <v>2596974</v>
      </c>
      <c r="O116" s="426">
        <f t="shared" si="24"/>
        <v>10388</v>
      </c>
      <c r="P116" s="426">
        <f t="shared" si="25"/>
        <v>2586586</v>
      </c>
      <c r="Q116" s="426">
        <v>2586586</v>
      </c>
      <c r="R116" s="351">
        <v>2024</v>
      </c>
      <c r="S116" s="351">
        <v>9</v>
      </c>
      <c r="T116" s="360">
        <v>45565</v>
      </c>
      <c r="U116" s="426">
        <f t="shared" si="23"/>
        <v>0</v>
      </c>
      <c r="V116" s="427"/>
    </row>
    <row r="117" spans="2:22" ht="60" customHeight="1">
      <c r="B117" s="555">
        <v>2024</v>
      </c>
      <c r="C117" s="556" t="str">
        <f t="shared" si="17"/>
        <v>JUL</v>
      </c>
      <c r="D117" s="352">
        <v>45483</v>
      </c>
      <c r="E117" s="353">
        <v>243</v>
      </c>
      <c r="F117" s="351" t="s">
        <v>21</v>
      </c>
      <c r="G117" s="351" t="s">
        <v>107</v>
      </c>
      <c r="H117" s="353" t="s">
        <v>22</v>
      </c>
      <c r="I117" s="354" t="s">
        <v>35</v>
      </c>
      <c r="J117" s="355" t="s">
        <v>485</v>
      </c>
      <c r="K117" s="356" t="s">
        <v>108</v>
      </c>
      <c r="L117" s="358">
        <v>4760000</v>
      </c>
      <c r="M117" s="358">
        <v>760000</v>
      </c>
      <c r="N117" s="358">
        <f t="shared" si="22"/>
        <v>4000000</v>
      </c>
      <c r="O117" s="359">
        <f t="shared" si="24"/>
        <v>16000</v>
      </c>
      <c r="P117" s="359">
        <f t="shared" si="25"/>
        <v>3984000</v>
      </c>
      <c r="Q117" s="359">
        <v>396640.38</v>
      </c>
      <c r="R117" s="351">
        <v>2024</v>
      </c>
      <c r="S117" s="351">
        <v>7</v>
      </c>
      <c r="T117" s="360">
        <v>45504</v>
      </c>
      <c r="U117" s="359">
        <f t="shared" si="23"/>
        <v>3587359.62</v>
      </c>
      <c r="V117" s="427"/>
    </row>
    <row r="118" spans="2:22" ht="60" customHeight="1">
      <c r="B118" s="555">
        <v>2024</v>
      </c>
      <c r="C118" s="556" t="str">
        <f t="shared" si="17"/>
        <v>JUL</v>
      </c>
      <c r="D118" s="352">
        <v>45483</v>
      </c>
      <c r="E118" s="353">
        <v>243</v>
      </c>
      <c r="F118" s="351" t="s">
        <v>21</v>
      </c>
      <c r="G118" s="351" t="s">
        <v>107</v>
      </c>
      <c r="H118" s="353" t="s">
        <v>22</v>
      </c>
      <c r="I118" s="354" t="s">
        <v>35</v>
      </c>
      <c r="J118" s="355" t="s">
        <v>485</v>
      </c>
      <c r="K118" s="356" t="s">
        <v>108</v>
      </c>
      <c r="L118" s="358"/>
      <c r="M118" s="358"/>
      <c r="N118" s="358">
        <f t="shared" si="22"/>
        <v>0</v>
      </c>
      <c r="O118" s="359">
        <f t="shared" si="24"/>
        <v>0</v>
      </c>
      <c r="P118" s="359">
        <f t="shared" si="25"/>
        <v>0</v>
      </c>
      <c r="Q118" s="359">
        <v>3587359.62</v>
      </c>
      <c r="R118" s="351">
        <v>2024</v>
      </c>
      <c r="S118" s="351">
        <v>9</v>
      </c>
      <c r="T118" s="360">
        <v>45565</v>
      </c>
      <c r="U118" s="359">
        <f t="shared" si="23"/>
        <v>-3587359.62</v>
      </c>
      <c r="V118" s="410"/>
    </row>
    <row r="119" spans="2:22" ht="60" customHeight="1">
      <c r="B119" s="555">
        <v>2024</v>
      </c>
      <c r="C119" s="556" t="str">
        <f t="shared" si="17"/>
        <v>JUL</v>
      </c>
      <c r="D119" s="352">
        <v>45483</v>
      </c>
      <c r="E119" s="353">
        <v>245</v>
      </c>
      <c r="F119" s="351" t="s">
        <v>21</v>
      </c>
      <c r="G119" s="351" t="s">
        <v>107</v>
      </c>
      <c r="H119" s="353" t="s">
        <v>22</v>
      </c>
      <c r="I119" s="354" t="s">
        <v>32</v>
      </c>
      <c r="J119" s="355" t="s">
        <v>485</v>
      </c>
      <c r="K119" s="356" t="s">
        <v>97</v>
      </c>
      <c r="L119" s="358">
        <v>29371348.52</v>
      </c>
      <c r="M119" s="358">
        <v>4689543.04</v>
      </c>
      <c r="N119" s="358">
        <f t="shared" si="22"/>
        <v>24681805.48</v>
      </c>
      <c r="O119" s="359">
        <f t="shared" si="24"/>
        <v>98727</v>
      </c>
      <c r="P119" s="359">
        <f t="shared" si="25"/>
        <v>24583078.48</v>
      </c>
      <c r="Q119" s="359">
        <v>24583078.48</v>
      </c>
      <c r="R119" s="351">
        <v>2024</v>
      </c>
      <c r="S119" s="351">
        <v>7</v>
      </c>
      <c r="T119" s="360">
        <v>45504</v>
      </c>
      <c r="U119" s="359">
        <f t="shared" si="23"/>
        <v>0</v>
      </c>
      <c r="V119" s="427"/>
    </row>
    <row r="120" spans="2:22" ht="60" customHeight="1">
      <c r="B120" s="582">
        <v>2024</v>
      </c>
      <c r="C120" s="583" t="str">
        <f t="shared" si="17"/>
        <v>AGO</v>
      </c>
      <c r="D120" s="583">
        <v>45513</v>
      </c>
      <c r="E120" s="585">
        <v>253</v>
      </c>
      <c r="F120" s="585" t="s">
        <v>21</v>
      </c>
      <c r="G120" s="585" t="s">
        <v>107</v>
      </c>
      <c r="H120" s="584" t="s">
        <v>22</v>
      </c>
      <c r="I120" s="586" t="s">
        <v>32</v>
      </c>
      <c r="J120" s="574" t="s">
        <v>526</v>
      </c>
      <c r="K120" s="587" t="s">
        <v>97</v>
      </c>
      <c r="L120" s="588">
        <v>29371348.52</v>
      </c>
      <c r="M120" s="589">
        <v>4689543.04</v>
      </c>
      <c r="N120" s="589">
        <f t="shared" si="22"/>
        <v>24681805.48</v>
      </c>
      <c r="O120" s="590">
        <f t="shared" si="24"/>
        <v>98727</v>
      </c>
      <c r="P120" s="590">
        <f t="shared" si="25"/>
        <v>24583078.48</v>
      </c>
      <c r="Q120" s="590">
        <v>24583078.48</v>
      </c>
      <c r="R120" s="585">
        <v>2024</v>
      </c>
      <c r="S120" s="585">
        <v>8</v>
      </c>
      <c r="T120" s="591">
        <v>45533</v>
      </c>
      <c r="U120" s="590">
        <f t="shared" si="23"/>
        <v>0</v>
      </c>
      <c r="V120" s="592"/>
    </row>
    <row r="121" spans="2:22" ht="88.2" customHeight="1">
      <c r="B121" s="569">
        <v>2024</v>
      </c>
      <c r="C121" s="570" t="str">
        <f t="shared" si="17"/>
        <v>AGO</v>
      </c>
      <c r="D121" s="570">
        <v>45513</v>
      </c>
      <c r="E121" s="569">
        <v>254</v>
      </c>
      <c r="F121" s="569" t="s">
        <v>21</v>
      </c>
      <c r="G121" s="569" t="s">
        <v>107</v>
      </c>
      <c r="H121" s="572" t="s">
        <v>22</v>
      </c>
      <c r="I121" s="573" t="s">
        <v>110</v>
      </c>
      <c r="J121" s="574" t="s">
        <v>526</v>
      </c>
      <c r="K121" s="575" t="s">
        <v>111</v>
      </c>
      <c r="L121" s="576">
        <v>40192964</v>
      </c>
      <c r="M121" s="577">
        <v>6417364</v>
      </c>
      <c r="N121" s="577">
        <f t="shared" si="22"/>
        <v>33775600</v>
      </c>
      <c r="O121" s="578">
        <f t="shared" si="24"/>
        <v>135102</v>
      </c>
      <c r="P121" s="578">
        <f t="shared" si="25"/>
        <v>33640498</v>
      </c>
      <c r="Q121" s="578">
        <v>33640498</v>
      </c>
      <c r="R121" s="569">
        <v>2024</v>
      </c>
      <c r="S121" s="569">
        <v>9</v>
      </c>
      <c r="T121" s="579">
        <v>45565</v>
      </c>
      <c r="U121" s="578">
        <f t="shared" si="23"/>
        <v>0</v>
      </c>
      <c r="V121" s="580"/>
    </row>
    <row r="122" spans="2:22" ht="60" customHeight="1">
      <c r="B122" s="569">
        <v>2024</v>
      </c>
      <c r="C122" s="571" t="str">
        <f t="shared" si="17"/>
        <v>AGO</v>
      </c>
      <c r="D122" s="571">
        <v>45513</v>
      </c>
      <c r="E122" s="569">
        <v>255</v>
      </c>
      <c r="F122" s="569" t="s">
        <v>21</v>
      </c>
      <c r="G122" s="569" t="s">
        <v>107</v>
      </c>
      <c r="H122" s="572" t="s">
        <v>22</v>
      </c>
      <c r="I122" s="573" t="s">
        <v>35</v>
      </c>
      <c r="J122" s="574" t="s">
        <v>526</v>
      </c>
      <c r="K122" s="575" t="s">
        <v>109</v>
      </c>
      <c r="L122" s="576">
        <v>5325504.01</v>
      </c>
      <c r="M122" s="577">
        <v>850290.56</v>
      </c>
      <c r="N122" s="577">
        <f t="shared" si="22"/>
        <v>4475213.4499999993</v>
      </c>
      <c r="O122" s="578">
        <f t="shared" si="24"/>
        <v>17901</v>
      </c>
      <c r="P122" s="578">
        <f t="shared" si="25"/>
        <v>4457312.4499999993</v>
      </c>
      <c r="Q122" s="578">
        <v>4457312.4499999993</v>
      </c>
      <c r="R122" s="569">
        <v>2024</v>
      </c>
      <c r="S122" s="569">
        <v>11</v>
      </c>
      <c r="T122" s="579">
        <v>45623</v>
      </c>
      <c r="U122" s="578">
        <f t="shared" si="23"/>
        <v>0</v>
      </c>
      <c r="V122" s="580"/>
    </row>
    <row r="123" spans="2:22" ht="60" customHeight="1">
      <c r="B123" s="569">
        <v>2024</v>
      </c>
      <c r="C123" s="571" t="str">
        <f t="shared" si="17"/>
        <v>AGO</v>
      </c>
      <c r="D123" s="571">
        <v>45513</v>
      </c>
      <c r="E123" s="569">
        <v>256</v>
      </c>
      <c r="F123" s="569" t="s">
        <v>21</v>
      </c>
      <c r="G123" s="569" t="s">
        <v>107</v>
      </c>
      <c r="H123" s="572" t="s">
        <v>22</v>
      </c>
      <c r="I123" s="573" t="s">
        <v>35</v>
      </c>
      <c r="J123" s="574" t="s">
        <v>526</v>
      </c>
      <c r="K123" s="575" t="s">
        <v>38</v>
      </c>
      <c r="L123" s="576">
        <v>3090399.06</v>
      </c>
      <c r="M123" s="577">
        <v>493425.06</v>
      </c>
      <c r="N123" s="577">
        <f t="shared" si="22"/>
        <v>2596974</v>
      </c>
      <c r="O123" s="578">
        <f t="shared" si="24"/>
        <v>10388</v>
      </c>
      <c r="P123" s="578">
        <f t="shared" si="25"/>
        <v>2586586</v>
      </c>
      <c r="Q123" s="578">
        <v>2586586</v>
      </c>
      <c r="R123" s="569">
        <v>2024</v>
      </c>
      <c r="S123" s="569">
        <v>11</v>
      </c>
      <c r="T123" s="579">
        <v>45623</v>
      </c>
      <c r="U123" s="578">
        <f t="shared" si="23"/>
        <v>0</v>
      </c>
      <c r="V123" s="580"/>
    </row>
    <row r="124" spans="2:22" ht="60" customHeight="1">
      <c r="B124" s="581">
        <v>2024</v>
      </c>
      <c r="C124" s="570" t="str">
        <f t="shared" si="17"/>
        <v>AGO</v>
      </c>
      <c r="D124" s="570">
        <v>45513</v>
      </c>
      <c r="E124" s="569">
        <v>257</v>
      </c>
      <c r="F124" s="569" t="s">
        <v>21</v>
      </c>
      <c r="G124" s="569" t="s">
        <v>107</v>
      </c>
      <c r="H124" s="572" t="s">
        <v>22</v>
      </c>
      <c r="I124" s="573" t="s">
        <v>35</v>
      </c>
      <c r="J124" s="574" t="s">
        <v>526</v>
      </c>
      <c r="K124" s="575" t="s">
        <v>108</v>
      </c>
      <c r="L124" s="576">
        <v>4760000</v>
      </c>
      <c r="M124" s="577">
        <v>760000</v>
      </c>
      <c r="N124" s="577">
        <f t="shared" si="22"/>
        <v>4000000</v>
      </c>
      <c r="O124" s="578">
        <f t="shared" si="24"/>
        <v>16000</v>
      </c>
      <c r="P124" s="578">
        <f t="shared" si="25"/>
        <v>3984000</v>
      </c>
      <c r="Q124" s="578">
        <v>3984000</v>
      </c>
      <c r="R124" s="569">
        <v>2024</v>
      </c>
      <c r="S124" s="569">
        <v>11</v>
      </c>
      <c r="T124" s="579">
        <v>45623</v>
      </c>
      <c r="U124" s="578">
        <f t="shared" si="23"/>
        <v>0</v>
      </c>
      <c r="V124" s="580"/>
    </row>
    <row r="125" spans="2:22" ht="120" customHeight="1">
      <c r="B125" s="581">
        <v>2024</v>
      </c>
      <c r="C125" s="570" t="str">
        <f t="shared" si="17"/>
        <v>AGO</v>
      </c>
      <c r="D125" s="570">
        <v>45531</v>
      </c>
      <c r="E125" s="569">
        <v>265</v>
      </c>
      <c r="F125" s="569" t="s">
        <v>21</v>
      </c>
      <c r="G125" s="569" t="s">
        <v>107</v>
      </c>
      <c r="H125" s="572" t="s">
        <v>22</v>
      </c>
      <c r="I125" s="586" t="s">
        <v>32</v>
      </c>
      <c r="J125" s="574" t="s">
        <v>529</v>
      </c>
      <c r="K125" s="587" t="s">
        <v>97</v>
      </c>
      <c r="L125" s="576">
        <v>166279.97</v>
      </c>
      <c r="M125" s="577">
        <v>26548.9</v>
      </c>
      <c r="N125" s="577">
        <f t="shared" si="22"/>
        <v>139731.07</v>
      </c>
      <c r="O125" s="578">
        <f t="shared" si="24"/>
        <v>559</v>
      </c>
      <c r="P125" s="578">
        <f t="shared" si="25"/>
        <v>139172.07</v>
      </c>
      <c r="Q125" s="578">
        <v>139172.07</v>
      </c>
      <c r="R125" s="569">
        <v>2024</v>
      </c>
      <c r="S125" s="569">
        <v>9</v>
      </c>
      <c r="T125" s="579">
        <v>45565</v>
      </c>
      <c r="U125" s="578">
        <f t="shared" si="23"/>
        <v>0</v>
      </c>
      <c r="V125" s="594" t="s">
        <v>527</v>
      </c>
    </row>
    <row r="126" spans="2:22" ht="116.4" customHeight="1">
      <c r="B126" s="581">
        <v>2024</v>
      </c>
      <c r="C126" s="570" t="str">
        <f t="shared" si="17"/>
        <v>AGO</v>
      </c>
      <c r="D126" s="570">
        <v>45531</v>
      </c>
      <c r="E126" s="569">
        <v>266</v>
      </c>
      <c r="F126" s="569" t="s">
        <v>21</v>
      </c>
      <c r="G126" s="569" t="s">
        <v>107</v>
      </c>
      <c r="H126" s="572" t="s">
        <v>22</v>
      </c>
      <c r="I126" s="573" t="s">
        <v>35</v>
      </c>
      <c r="J126" s="574" t="s">
        <v>528</v>
      </c>
      <c r="K126" s="575" t="s">
        <v>38</v>
      </c>
      <c r="L126" s="576">
        <v>87478.35</v>
      </c>
      <c r="M126" s="577">
        <v>13967.13</v>
      </c>
      <c r="N126" s="577">
        <f t="shared" si="22"/>
        <v>73511.22</v>
      </c>
      <c r="O126" s="578">
        <f t="shared" si="24"/>
        <v>294</v>
      </c>
      <c r="P126" s="578">
        <f t="shared" si="25"/>
        <v>73217.22</v>
      </c>
      <c r="Q126" s="578"/>
      <c r="R126" s="569"/>
      <c r="S126" s="569"/>
      <c r="T126" s="579"/>
      <c r="U126" s="578">
        <f t="shared" si="23"/>
        <v>73217.22</v>
      </c>
      <c r="V126" s="594" t="s">
        <v>530</v>
      </c>
    </row>
    <row r="127" spans="2:22" ht="116.4" customHeight="1">
      <c r="B127" s="609">
        <v>2024</v>
      </c>
      <c r="C127" s="609" t="str">
        <f t="shared" si="17"/>
        <v>SEP</v>
      </c>
      <c r="D127" s="610">
        <v>45559</v>
      </c>
      <c r="E127" s="609">
        <v>281</v>
      </c>
      <c r="F127" s="611" t="s">
        <v>21</v>
      </c>
      <c r="G127" s="611" t="s">
        <v>107</v>
      </c>
      <c r="H127" s="612" t="s">
        <v>22</v>
      </c>
      <c r="I127" s="613" t="s">
        <v>35</v>
      </c>
      <c r="J127" s="614" t="s">
        <v>557</v>
      </c>
      <c r="K127" s="615" t="s">
        <v>109</v>
      </c>
      <c r="L127" s="616">
        <v>5325504.01</v>
      </c>
      <c r="M127" s="617">
        <v>850290.56</v>
      </c>
      <c r="N127" s="617">
        <f t="shared" si="22"/>
        <v>4475213.4499999993</v>
      </c>
      <c r="O127" s="618">
        <f t="shared" si="24"/>
        <v>17901</v>
      </c>
      <c r="P127" s="618">
        <f t="shared" si="25"/>
        <v>4457312.4499999993</v>
      </c>
      <c r="Q127" s="618">
        <v>4457312.4499999993</v>
      </c>
      <c r="R127" s="611">
        <v>2024</v>
      </c>
      <c r="S127" s="611">
        <v>11</v>
      </c>
      <c r="T127" s="619">
        <v>45623</v>
      </c>
      <c r="U127" s="618">
        <f t="shared" si="23"/>
        <v>0</v>
      </c>
      <c r="V127" s="620"/>
    </row>
    <row r="128" spans="2:22" ht="116.4" customHeight="1">
      <c r="B128" s="609">
        <v>2024</v>
      </c>
      <c r="C128" s="609" t="str">
        <f t="shared" si="17"/>
        <v>SEP</v>
      </c>
      <c r="D128" s="610">
        <v>45559</v>
      </c>
      <c r="E128" s="609">
        <v>282</v>
      </c>
      <c r="F128" s="611" t="s">
        <v>21</v>
      </c>
      <c r="G128" s="611" t="s">
        <v>107</v>
      </c>
      <c r="H128" s="612" t="s">
        <v>22</v>
      </c>
      <c r="I128" s="613" t="s">
        <v>35</v>
      </c>
      <c r="J128" s="614" t="s">
        <v>557</v>
      </c>
      <c r="K128" s="615" t="s">
        <v>38</v>
      </c>
      <c r="L128" s="616">
        <v>3090399.06</v>
      </c>
      <c r="M128" s="617">
        <v>493425.06</v>
      </c>
      <c r="N128" s="617">
        <f t="shared" si="22"/>
        <v>2596974</v>
      </c>
      <c r="O128" s="618">
        <f t="shared" si="24"/>
        <v>10388</v>
      </c>
      <c r="P128" s="618">
        <f t="shared" si="25"/>
        <v>2586586</v>
      </c>
      <c r="Q128" s="618">
        <v>2586586</v>
      </c>
      <c r="R128" s="611">
        <v>2024</v>
      </c>
      <c r="S128" s="611">
        <v>11</v>
      </c>
      <c r="T128" s="619">
        <v>45623</v>
      </c>
      <c r="U128" s="618">
        <f t="shared" si="23"/>
        <v>0</v>
      </c>
      <c r="V128" s="620"/>
    </row>
    <row r="129" spans="2:22" ht="116.4" customHeight="1">
      <c r="B129" s="609">
        <v>2024</v>
      </c>
      <c r="C129" s="609" t="str">
        <f t="shared" si="17"/>
        <v>SEP</v>
      </c>
      <c r="D129" s="610">
        <v>45559</v>
      </c>
      <c r="E129" s="609">
        <v>283</v>
      </c>
      <c r="F129" s="611" t="s">
        <v>21</v>
      </c>
      <c r="G129" s="611" t="s">
        <v>107</v>
      </c>
      <c r="H129" s="612" t="s">
        <v>22</v>
      </c>
      <c r="I129" s="613" t="s">
        <v>35</v>
      </c>
      <c r="J129" s="614" t="s">
        <v>557</v>
      </c>
      <c r="K129" s="615" t="s">
        <v>108</v>
      </c>
      <c r="L129" s="616">
        <v>4760000</v>
      </c>
      <c r="M129" s="617">
        <v>760000</v>
      </c>
      <c r="N129" s="617">
        <f t="shared" si="22"/>
        <v>4000000</v>
      </c>
      <c r="O129" s="618">
        <f t="shared" si="24"/>
        <v>16000</v>
      </c>
      <c r="P129" s="618">
        <f t="shared" si="25"/>
        <v>3984000</v>
      </c>
      <c r="Q129" s="618">
        <v>3984000</v>
      </c>
      <c r="R129" s="611">
        <v>2024</v>
      </c>
      <c r="S129" s="611">
        <v>11</v>
      </c>
      <c r="T129" s="619">
        <v>45623</v>
      </c>
      <c r="U129" s="618">
        <f t="shared" si="23"/>
        <v>0</v>
      </c>
      <c r="V129" s="620"/>
    </row>
    <row r="130" spans="2:22" ht="116.4" customHeight="1">
      <c r="B130" s="609">
        <v>2024</v>
      </c>
      <c r="C130" s="609" t="str">
        <f t="shared" si="17"/>
        <v>SEP</v>
      </c>
      <c r="D130" s="610">
        <v>45559</v>
      </c>
      <c r="E130" s="609">
        <v>284</v>
      </c>
      <c r="F130" s="611" t="s">
        <v>21</v>
      </c>
      <c r="G130" s="611" t="s">
        <v>107</v>
      </c>
      <c r="H130" s="612" t="s">
        <v>22</v>
      </c>
      <c r="I130" s="613" t="s">
        <v>110</v>
      </c>
      <c r="J130" s="614" t="s">
        <v>557</v>
      </c>
      <c r="K130" s="615" t="s">
        <v>111</v>
      </c>
      <c r="L130" s="616">
        <v>40192964</v>
      </c>
      <c r="M130" s="617">
        <v>6417364</v>
      </c>
      <c r="N130" s="617">
        <f t="shared" si="22"/>
        <v>33775600</v>
      </c>
      <c r="O130" s="618">
        <f t="shared" si="24"/>
        <v>135102</v>
      </c>
      <c r="P130" s="618">
        <f t="shared" si="25"/>
        <v>33640498</v>
      </c>
      <c r="Q130" s="618">
        <v>33640498</v>
      </c>
      <c r="R130" s="611">
        <v>2024</v>
      </c>
      <c r="S130" s="611">
        <v>10</v>
      </c>
      <c r="T130" s="619">
        <v>45596</v>
      </c>
      <c r="U130" s="618">
        <f t="shared" si="23"/>
        <v>0</v>
      </c>
      <c r="V130" s="620"/>
    </row>
    <row r="131" spans="2:22" ht="116.4" customHeight="1">
      <c r="B131" s="621">
        <v>2024</v>
      </c>
      <c r="C131" s="622" t="str">
        <f t="shared" si="17"/>
        <v>SEP</v>
      </c>
      <c r="D131" s="610">
        <v>45559</v>
      </c>
      <c r="E131" s="609">
        <v>285</v>
      </c>
      <c r="F131" s="609" t="s">
        <v>21</v>
      </c>
      <c r="G131" s="609" t="s">
        <v>107</v>
      </c>
      <c r="H131" s="623" t="s">
        <v>22</v>
      </c>
      <c r="I131" s="624" t="s">
        <v>32</v>
      </c>
      <c r="J131" s="614" t="s">
        <v>557</v>
      </c>
      <c r="K131" s="625" t="s">
        <v>97</v>
      </c>
      <c r="L131" s="626">
        <v>29371348.52</v>
      </c>
      <c r="M131" s="627">
        <v>4689543.04</v>
      </c>
      <c r="N131" s="627">
        <f t="shared" si="22"/>
        <v>24681805.48</v>
      </c>
      <c r="O131" s="628">
        <f t="shared" si="24"/>
        <v>98727</v>
      </c>
      <c r="P131" s="628">
        <f t="shared" si="25"/>
        <v>24583078.48</v>
      </c>
      <c r="Q131" s="618">
        <v>24583078.48</v>
      </c>
      <c r="R131" s="611">
        <v>2024</v>
      </c>
      <c r="S131" s="611">
        <v>9</v>
      </c>
      <c r="T131" s="619">
        <v>45565</v>
      </c>
      <c r="U131" s="618">
        <f t="shared" si="23"/>
        <v>0</v>
      </c>
      <c r="V131" s="620"/>
    </row>
    <row r="132" spans="2:22" ht="116.4" customHeight="1">
      <c r="B132" s="630">
        <v>2024</v>
      </c>
      <c r="C132" s="631" t="str">
        <f t="shared" si="17"/>
        <v>OCT</v>
      </c>
      <c r="D132" s="631">
        <v>45575</v>
      </c>
      <c r="E132" s="632">
        <v>290</v>
      </c>
      <c r="F132" s="633" t="s">
        <v>21</v>
      </c>
      <c r="G132" s="633" t="s">
        <v>107</v>
      </c>
      <c r="H132" s="632" t="s">
        <v>22</v>
      </c>
      <c r="I132" s="634" t="s">
        <v>110</v>
      </c>
      <c r="J132" s="635" t="s">
        <v>628</v>
      </c>
      <c r="K132" s="636" t="s">
        <v>111</v>
      </c>
      <c r="L132" s="637">
        <v>40192964</v>
      </c>
      <c r="M132" s="638">
        <v>6417364</v>
      </c>
      <c r="N132" s="638">
        <f t="shared" si="22"/>
        <v>33775600</v>
      </c>
      <c r="O132" s="639">
        <f t="shared" si="24"/>
        <v>135102</v>
      </c>
      <c r="P132" s="639">
        <f t="shared" si="25"/>
        <v>33640498</v>
      </c>
      <c r="Q132" s="639">
        <v>33640498</v>
      </c>
      <c r="R132" s="633">
        <v>2024</v>
      </c>
      <c r="S132" s="633">
        <v>10</v>
      </c>
      <c r="T132" s="640">
        <v>45596</v>
      </c>
      <c r="U132" s="639">
        <f t="shared" si="23"/>
        <v>0</v>
      </c>
      <c r="V132" s="641"/>
    </row>
    <row r="133" spans="2:22" ht="116.4" customHeight="1">
      <c r="B133" s="630">
        <v>2024</v>
      </c>
      <c r="C133" s="631" t="str">
        <f t="shared" ref="C133:C203" si="26">UPPER(TEXT(D133,"MMM"))</f>
        <v>OCT</v>
      </c>
      <c r="D133" s="631">
        <v>45575</v>
      </c>
      <c r="E133" s="632">
        <v>291</v>
      </c>
      <c r="F133" s="642" t="s">
        <v>21</v>
      </c>
      <c r="G133" s="642" t="s">
        <v>107</v>
      </c>
      <c r="H133" s="643" t="s">
        <v>22</v>
      </c>
      <c r="I133" s="644" t="s">
        <v>32</v>
      </c>
      <c r="J133" s="635" t="s">
        <v>628</v>
      </c>
      <c r="K133" s="645" t="s">
        <v>97</v>
      </c>
      <c r="L133" s="646">
        <v>29371348.52</v>
      </c>
      <c r="M133" s="647">
        <v>4689543.04</v>
      </c>
      <c r="N133" s="647">
        <f t="shared" si="22"/>
        <v>24681805.48</v>
      </c>
      <c r="O133" s="648">
        <f t="shared" si="24"/>
        <v>98727</v>
      </c>
      <c r="P133" s="648">
        <f t="shared" si="25"/>
        <v>24583078.48</v>
      </c>
      <c r="Q133" s="639">
        <v>24583078.48</v>
      </c>
      <c r="R133" s="633">
        <v>2024</v>
      </c>
      <c r="S133" s="633">
        <v>10</v>
      </c>
      <c r="T133" s="640">
        <v>45596</v>
      </c>
      <c r="U133" s="639">
        <f t="shared" si="23"/>
        <v>0</v>
      </c>
      <c r="V133" s="641"/>
    </row>
    <row r="134" spans="2:22" ht="116.4" customHeight="1">
      <c r="B134" s="630">
        <v>2024</v>
      </c>
      <c r="C134" s="631" t="str">
        <f t="shared" si="26"/>
        <v>OCT</v>
      </c>
      <c r="D134" s="631">
        <v>45575</v>
      </c>
      <c r="E134" s="632">
        <v>292</v>
      </c>
      <c r="F134" s="633" t="s">
        <v>21</v>
      </c>
      <c r="G134" s="633" t="s">
        <v>107</v>
      </c>
      <c r="H134" s="632" t="s">
        <v>22</v>
      </c>
      <c r="I134" s="634" t="s">
        <v>35</v>
      </c>
      <c r="J134" s="635" t="s">
        <v>628</v>
      </c>
      <c r="K134" s="636" t="s">
        <v>109</v>
      </c>
      <c r="L134" s="637">
        <v>5325504.01</v>
      </c>
      <c r="M134" s="638">
        <v>850290.56</v>
      </c>
      <c r="N134" s="638">
        <f t="shared" si="22"/>
        <v>4475213.4499999993</v>
      </c>
      <c r="O134" s="639">
        <f t="shared" si="24"/>
        <v>17901</v>
      </c>
      <c r="P134" s="639">
        <f t="shared" si="25"/>
        <v>4457312.4499999993</v>
      </c>
      <c r="Q134" s="639">
        <v>4457312.4499999993</v>
      </c>
      <c r="R134" s="633">
        <v>2024</v>
      </c>
      <c r="S134" s="633">
        <v>11</v>
      </c>
      <c r="T134" s="640">
        <v>45623</v>
      </c>
      <c r="U134" s="639">
        <f t="shared" si="23"/>
        <v>0</v>
      </c>
      <c r="V134" s="641"/>
    </row>
    <row r="135" spans="2:22" ht="116.4" customHeight="1">
      <c r="B135" s="630">
        <v>2024</v>
      </c>
      <c r="C135" s="631" t="str">
        <f t="shared" si="26"/>
        <v>OCT</v>
      </c>
      <c r="D135" s="631">
        <v>45575</v>
      </c>
      <c r="E135" s="632">
        <v>293</v>
      </c>
      <c r="F135" s="633" t="s">
        <v>21</v>
      </c>
      <c r="G135" s="633" t="s">
        <v>107</v>
      </c>
      <c r="H135" s="632" t="s">
        <v>22</v>
      </c>
      <c r="I135" s="634" t="s">
        <v>35</v>
      </c>
      <c r="J135" s="635" t="s">
        <v>628</v>
      </c>
      <c r="K135" s="636" t="s">
        <v>108</v>
      </c>
      <c r="L135" s="637">
        <v>4760000</v>
      </c>
      <c r="M135" s="638">
        <v>760000</v>
      </c>
      <c r="N135" s="638">
        <f t="shared" si="22"/>
        <v>4000000</v>
      </c>
      <c r="O135" s="639">
        <f t="shared" si="24"/>
        <v>16000</v>
      </c>
      <c r="P135" s="639">
        <f t="shared" si="25"/>
        <v>3984000</v>
      </c>
      <c r="Q135" s="639">
        <v>3984000</v>
      </c>
      <c r="R135" s="633">
        <v>2024</v>
      </c>
      <c r="S135" s="633">
        <v>11</v>
      </c>
      <c r="T135" s="640">
        <v>45623</v>
      </c>
      <c r="U135" s="639">
        <f t="shared" si="23"/>
        <v>0</v>
      </c>
      <c r="V135" s="641"/>
    </row>
    <row r="136" spans="2:22" ht="116.4" customHeight="1">
      <c r="B136" s="630">
        <v>2024</v>
      </c>
      <c r="C136" s="631" t="str">
        <f t="shared" si="26"/>
        <v>OCT</v>
      </c>
      <c r="D136" s="631">
        <v>45575</v>
      </c>
      <c r="E136" s="632">
        <v>294</v>
      </c>
      <c r="F136" s="633" t="s">
        <v>21</v>
      </c>
      <c r="G136" s="633" t="s">
        <v>107</v>
      </c>
      <c r="H136" s="632" t="s">
        <v>22</v>
      </c>
      <c r="I136" s="634" t="s">
        <v>35</v>
      </c>
      <c r="J136" s="635" t="s">
        <v>628</v>
      </c>
      <c r="K136" s="636" t="s">
        <v>38</v>
      </c>
      <c r="L136" s="637">
        <v>3090399.06</v>
      </c>
      <c r="M136" s="638">
        <v>493425.06</v>
      </c>
      <c r="N136" s="638">
        <f t="shared" si="22"/>
        <v>2596974</v>
      </c>
      <c r="O136" s="639">
        <f t="shared" si="24"/>
        <v>10388</v>
      </c>
      <c r="P136" s="639">
        <f t="shared" si="25"/>
        <v>2586586</v>
      </c>
      <c r="Q136" s="639">
        <v>2586586</v>
      </c>
      <c r="R136" s="633">
        <v>2024</v>
      </c>
      <c r="S136" s="633">
        <v>11</v>
      </c>
      <c r="T136" s="640">
        <v>45623</v>
      </c>
      <c r="U136" s="639">
        <f t="shared" si="23"/>
        <v>0</v>
      </c>
      <c r="V136" s="641"/>
    </row>
    <row r="137" spans="2:22" ht="116.4" customHeight="1">
      <c r="B137" s="630">
        <v>2024</v>
      </c>
      <c r="C137" s="631" t="str">
        <f t="shared" si="26"/>
        <v>OCT</v>
      </c>
      <c r="D137" s="631">
        <v>45567</v>
      </c>
      <c r="E137" s="632" t="s">
        <v>594</v>
      </c>
      <c r="F137" s="633">
        <v>62</v>
      </c>
      <c r="G137" s="633">
        <v>266</v>
      </c>
      <c r="H137" s="632" t="s">
        <v>22</v>
      </c>
      <c r="I137" s="634" t="s">
        <v>35</v>
      </c>
      <c r="J137" s="649" t="s">
        <v>528</v>
      </c>
      <c r="K137" s="636" t="s">
        <v>38</v>
      </c>
      <c r="L137" s="637">
        <v>-87478.35</v>
      </c>
      <c r="M137" s="638">
        <v>-13967.13</v>
      </c>
      <c r="N137" s="638">
        <f t="shared" ref="N137:N171" si="27">+L137-M137</f>
        <v>-73511.22</v>
      </c>
      <c r="O137" s="639">
        <f t="shared" si="24"/>
        <v>-294</v>
      </c>
      <c r="P137" s="639">
        <f t="shared" si="25"/>
        <v>-73217.22</v>
      </c>
      <c r="Q137" s="639"/>
      <c r="R137" s="633"/>
      <c r="S137" s="633"/>
      <c r="T137" s="640"/>
      <c r="U137" s="639">
        <f t="shared" ref="U137:U171" si="28">P137-Q137</f>
        <v>-73217.22</v>
      </c>
      <c r="V137" s="652" t="s">
        <v>603</v>
      </c>
    </row>
    <row r="138" spans="2:22" ht="116.4" customHeight="1">
      <c r="B138" s="630">
        <v>2024</v>
      </c>
      <c r="C138" s="631" t="str">
        <f t="shared" si="26"/>
        <v>OCT</v>
      </c>
      <c r="D138" s="631">
        <v>45586</v>
      </c>
      <c r="E138" s="632">
        <v>299</v>
      </c>
      <c r="F138" s="633" t="s">
        <v>21</v>
      </c>
      <c r="G138" s="633" t="s">
        <v>107</v>
      </c>
      <c r="H138" s="632" t="s">
        <v>22</v>
      </c>
      <c r="I138" s="634" t="s">
        <v>35</v>
      </c>
      <c r="J138" s="649" t="s">
        <v>597</v>
      </c>
      <c r="K138" s="636" t="s">
        <v>108</v>
      </c>
      <c r="L138" s="637">
        <v>476000</v>
      </c>
      <c r="M138" s="638">
        <v>76000</v>
      </c>
      <c r="N138" s="638">
        <f t="shared" si="27"/>
        <v>400000</v>
      </c>
      <c r="O138" s="639">
        <f t="shared" si="24"/>
        <v>1600</v>
      </c>
      <c r="P138" s="639">
        <f t="shared" si="25"/>
        <v>398400</v>
      </c>
      <c r="Q138" s="639">
        <v>398400</v>
      </c>
      <c r="R138" s="633">
        <v>2024</v>
      </c>
      <c r="S138" s="633">
        <v>11</v>
      </c>
      <c r="T138" s="640">
        <v>45623</v>
      </c>
      <c r="U138" s="639">
        <f t="shared" si="28"/>
        <v>0</v>
      </c>
      <c r="V138" s="641"/>
    </row>
    <row r="139" spans="2:22" ht="116.4" customHeight="1">
      <c r="B139" s="630">
        <v>2024</v>
      </c>
      <c r="C139" s="631" t="str">
        <f t="shared" si="26"/>
        <v>OCT</v>
      </c>
      <c r="D139" s="631">
        <v>45594</v>
      </c>
      <c r="E139" s="632">
        <v>307</v>
      </c>
      <c r="F139" s="633" t="s">
        <v>21</v>
      </c>
      <c r="G139" s="633" t="s">
        <v>107</v>
      </c>
      <c r="H139" s="632" t="s">
        <v>22</v>
      </c>
      <c r="I139" s="634" t="s">
        <v>595</v>
      </c>
      <c r="J139" s="649" t="s">
        <v>596</v>
      </c>
      <c r="K139" s="636" t="s">
        <v>38</v>
      </c>
      <c r="L139" s="637">
        <v>936018.38</v>
      </c>
      <c r="M139" s="638">
        <v>149448.31</v>
      </c>
      <c r="N139" s="638">
        <f t="shared" si="27"/>
        <v>786570.07000000007</v>
      </c>
      <c r="O139" s="639">
        <f t="shared" si="24"/>
        <v>3146</v>
      </c>
      <c r="P139" s="639">
        <f t="shared" si="25"/>
        <v>783424.07000000007</v>
      </c>
      <c r="Q139" s="639"/>
      <c r="R139" s="633"/>
      <c r="S139" s="633"/>
      <c r="T139" s="640"/>
      <c r="U139" s="639">
        <f t="shared" si="28"/>
        <v>783424.07000000007</v>
      </c>
      <c r="V139" s="652" t="s">
        <v>602</v>
      </c>
    </row>
    <row r="140" spans="2:22" ht="116.4" customHeight="1">
      <c r="B140" s="664">
        <v>2024</v>
      </c>
      <c r="C140" s="665" t="str">
        <f t="shared" si="26"/>
        <v>NOV</v>
      </c>
      <c r="D140" s="665">
        <v>45597</v>
      </c>
      <c r="E140" s="656">
        <v>309</v>
      </c>
      <c r="F140" s="666" t="s">
        <v>21</v>
      </c>
      <c r="G140" s="666" t="s">
        <v>107</v>
      </c>
      <c r="H140" s="667" t="s">
        <v>22</v>
      </c>
      <c r="I140" s="668" t="s">
        <v>32</v>
      </c>
      <c r="J140" s="673" t="s">
        <v>631</v>
      </c>
      <c r="K140" s="675" t="s">
        <v>630</v>
      </c>
      <c r="L140" s="669">
        <v>3907577.68</v>
      </c>
      <c r="M140" s="661">
        <v>623898.96</v>
      </c>
      <c r="N140" s="661">
        <f t="shared" si="27"/>
        <v>3283678.72</v>
      </c>
      <c r="O140" s="662">
        <f t="shared" si="24"/>
        <v>13135</v>
      </c>
      <c r="P140" s="662">
        <f t="shared" si="25"/>
        <v>3270543.72</v>
      </c>
      <c r="Q140" s="662">
        <v>3270543.72</v>
      </c>
      <c r="R140" s="657">
        <v>2025</v>
      </c>
      <c r="S140" s="657">
        <v>2</v>
      </c>
      <c r="T140" s="663">
        <v>45714</v>
      </c>
      <c r="U140" s="662">
        <f t="shared" si="28"/>
        <v>0</v>
      </c>
      <c r="V140" s="674" t="s">
        <v>632</v>
      </c>
    </row>
    <row r="141" spans="2:22" ht="116.4" customHeight="1">
      <c r="B141" s="664">
        <v>2024</v>
      </c>
      <c r="C141" s="665" t="str">
        <f t="shared" si="26"/>
        <v>NOV</v>
      </c>
      <c r="D141" s="665">
        <v>45603</v>
      </c>
      <c r="E141" s="656">
        <v>312</v>
      </c>
      <c r="F141" s="666" t="s">
        <v>21</v>
      </c>
      <c r="G141" s="666" t="s">
        <v>107</v>
      </c>
      <c r="H141" s="667" t="s">
        <v>22</v>
      </c>
      <c r="I141" s="668" t="s">
        <v>32</v>
      </c>
      <c r="J141" s="673" t="s">
        <v>634</v>
      </c>
      <c r="K141" s="675" t="s">
        <v>630</v>
      </c>
      <c r="L141" s="669">
        <v>2494198.52</v>
      </c>
      <c r="M141" s="661">
        <v>398233.38</v>
      </c>
      <c r="N141" s="661">
        <f t="shared" si="27"/>
        <v>2095965.1400000001</v>
      </c>
      <c r="O141" s="662">
        <f t="shared" si="24"/>
        <v>8384</v>
      </c>
      <c r="P141" s="662">
        <f t="shared" si="25"/>
        <v>2087581.1400000001</v>
      </c>
      <c r="Q141" s="662">
        <v>2087581.1400000001</v>
      </c>
      <c r="R141" s="657">
        <v>2025</v>
      </c>
      <c r="S141" s="657">
        <v>2</v>
      </c>
      <c r="T141" s="663">
        <v>45714</v>
      </c>
      <c r="U141" s="662">
        <f t="shared" si="28"/>
        <v>0</v>
      </c>
      <c r="V141" s="674" t="s">
        <v>635</v>
      </c>
    </row>
    <row r="142" spans="2:22" ht="116.4" customHeight="1">
      <c r="B142" s="664">
        <v>2024</v>
      </c>
      <c r="C142" s="665" t="str">
        <f t="shared" si="26"/>
        <v>NOV</v>
      </c>
      <c r="D142" s="665">
        <v>45609</v>
      </c>
      <c r="E142" s="656">
        <v>314</v>
      </c>
      <c r="F142" s="666" t="s">
        <v>21</v>
      </c>
      <c r="G142" s="666" t="s">
        <v>107</v>
      </c>
      <c r="H142" s="667" t="s">
        <v>22</v>
      </c>
      <c r="I142" s="668" t="s">
        <v>32</v>
      </c>
      <c r="J142" s="659" t="s">
        <v>629</v>
      </c>
      <c r="K142" s="675" t="s">
        <v>97</v>
      </c>
      <c r="L142" s="669">
        <v>29371348.52</v>
      </c>
      <c r="M142" s="670">
        <v>4689543.04</v>
      </c>
      <c r="N142" s="670">
        <f t="shared" si="27"/>
        <v>24681805.48</v>
      </c>
      <c r="O142" s="671">
        <f t="shared" ref="O142:O161" si="29">ROUND(N142*0.004,0)</f>
        <v>98727</v>
      </c>
      <c r="P142" s="671">
        <f t="shared" ref="P142:P151" si="30">N142-O142</f>
        <v>24583078.48</v>
      </c>
      <c r="Q142" s="662">
        <v>24583078.48</v>
      </c>
      <c r="R142" s="657">
        <v>2025</v>
      </c>
      <c r="S142" s="657">
        <v>2</v>
      </c>
      <c r="T142" s="663">
        <v>45348</v>
      </c>
      <c r="U142" s="662">
        <f t="shared" si="28"/>
        <v>0</v>
      </c>
      <c r="V142" s="672"/>
    </row>
    <row r="143" spans="2:22" ht="116.4" customHeight="1">
      <c r="B143" s="664">
        <v>2024</v>
      </c>
      <c r="C143" s="665" t="str">
        <f t="shared" si="26"/>
        <v>NOV</v>
      </c>
      <c r="D143" s="665">
        <v>45609</v>
      </c>
      <c r="E143" s="656">
        <v>315</v>
      </c>
      <c r="F143" s="657" t="s">
        <v>21</v>
      </c>
      <c r="G143" s="657" t="s">
        <v>107</v>
      </c>
      <c r="H143" s="656" t="s">
        <v>22</v>
      </c>
      <c r="I143" s="658" t="s">
        <v>110</v>
      </c>
      <c r="J143" s="659" t="s">
        <v>629</v>
      </c>
      <c r="K143" s="676" t="s">
        <v>111</v>
      </c>
      <c r="L143" s="660">
        <v>40192964</v>
      </c>
      <c r="M143" s="661">
        <v>6417364</v>
      </c>
      <c r="N143" s="661">
        <f t="shared" si="27"/>
        <v>33775600</v>
      </c>
      <c r="O143" s="662">
        <f t="shared" si="29"/>
        <v>135102</v>
      </c>
      <c r="P143" s="662">
        <f t="shared" si="30"/>
        <v>33640498</v>
      </c>
      <c r="Q143" s="662">
        <v>33640498</v>
      </c>
      <c r="R143" s="657">
        <v>2024</v>
      </c>
      <c r="S143" s="657">
        <v>11</v>
      </c>
      <c r="T143" s="663">
        <v>45623</v>
      </c>
      <c r="U143" s="662">
        <f t="shared" si="28"/>
        <v>0</v>
      </c>
      <c r="V143" s="672"/>
    </row>
    <row r="144" spans="2:22" ht="116.4" customHeight="1">
      <c r="B144" s="664">
        <v>2024</v>
      </c>
      <c r="C144" s="665" t="str">
        <f t="shared" si="26"/>
        <v>NOV</v>
      </c>
      <c r="D144" s="665">
        <v>45609</v>
      </c>
      <c r="E144" s="656">
        <v>316</v>
      </c>
      <c r="F144" s="657" t="s">
        <v>21</v>
      </c>
      <c r="G144" s="657" t="s">
        <v>107</v>
      </c>
      <c r="H144" s="656" t="s">
        <v>22</v>
      </c>
      <c r="I144" s="658" t="s">
        <v>35</v>
      </c>
      <c r="J144" s="659" t="s">
        <v>629</v>
      </c>
      <c r="K144" s="676" t="s">
        <v>109</v>
      </c>
      <c r="L144" s="660">
        <v>5325504.01</v>
      </c>
      <c r="M144" s="661">
        <v>850290.56</v>
      </c>
      <c r="N144" s="661">
        <f t="shared" si="27"/>
        <v>4475213.4499999993</v>
      </c>
      <c r="O144" s="662">
        <f t="shared" si="29"/>
        <v>17901</v>
      </c>
      <c r="P144" s="662">
        <f t="shared" si="30"/>
        <v>4457312.4499999993</v>
      </c>
      <c r="Q144" s="662">
        <v>4457312.4499999993</v>
      </c>
      <c r="R144" s="657">
        <v>2025</v>
      </c>
      <c r="S144" s="657">
        <v>2</v>
      </c>
      <c r="T144" s="663">
        <v>45348</v>
      </c>
      <c r="U144" s="662">
        <f t="shared" si="28"/>
        <v>0</v>
      </c>
      <c r="V144" s="672"/>
    </row>
    <row r="145" spans="2:22" ht="116.4" customHeight="1">
      <c r="B145" s="664">
        <v>2024</v>
      </c>
      <c r="C145" s="665" t="str">
        <f t="shared" si="26"/>
        <v>NOV</v>
      </c>
      <c r="D145" s="665">
        <v>45609</v>
      </c>
      <c r="E145" s="656">
        <v>317</v>
      </c>
      <c r="F145" s="657" t="s">
        <v>21</v>
      </c>
      <c r="G145" s="657" t="s">
        <v>107</v>
      </c>
      <c r="H145" s="656" t="s">
        <v>22</v>
      </c>
      <c r="I145" s="658" t="s">
        <v>35</v>
      </c>
      <c r="J145" s="659" t="s">
        <v>629</v>
      </c>
      <c r="K145" s="676" t="s">
        <v>108</v>
      </c>
      <c r="L145" s="660">
        <v>4804172.8</v>
      </c>
      <c r="M145" s="661">
        <v>767052.80000000005</v>
      </c>
      <c r="N145" s="661">
        <f t="shared" si="27"/>
        <v>4037120</v>
      </c>
      <c r="O145" s="662">
        <f t="shared" si="29"/>
        <v>16148</v>
      </c>
      <c r="P145" s="662">
        <f t="shared" si="30"/>
        <v>4020972</v>
      </c>
      <c r="Q145" s="662">
        <v>4020972</v>
      </c>
      <c r="R145" s="657">
        <v>2025</v>
      </c>
      <c r="S145" s="657">
        <v>2</v>
      </c>
      <c r="T145" s="663">
        <v>45714</v>
      </c>
      <c r="U145" s="662">
        <f t="shared" si="28"/>
        <v>0</v>
      </c>
      <c r="V145" s="672"/>
    </row>
    <row r="146" spans="2:22" ht="116.4" customHeight="1">
      <c r="B146" s="664">
        <v>2024</v>
      </c>
      <c r="C146" s="665" t="str">
        <f t="shared" si="26"/>
        <v>NOV</v>
      </c>
      <c r="D146" s="665">
        <v>45609</v>
      </c>
      <c r="E146" s="656">
        <v>318</v>
      </c>
      <c r="F146" s="657" t="s">
        <v>21</v>
      </c>
      <c r="G146" s="657" t="s">
        <v>107</v>
      </c>
      <c r="H146" s="656" t="s">
        <v>22</v>
      </c>
      <c r="I146" s="658" t="s">
        <v>35</v>
      </c>
      <c r="J146" s="659" t="s">
        <v>629</v>
      </c>
      <c r="K146" s="676" t="s">
        <v>38</v>
      </c>
      <c r="L146" s="660">
        <v>3090399.06</v>
      </c>
      <c r="M146" s="661">
        <v>493425.06</v>
      </c>
      <c r="N146" s="661">
        <f t="shared" si="27"/>
        <v>2596974</v>
      </c>
      <c r="O146" s="662">
        <f t="shared" si="29"/>
        <v>10388</v>
      </c>
      <c r="P146" s="662">
        <f t="shared" si="30"/>
        <v>2586586</v>
      </c>
      <c r="Q146" s="662">
        <v>2586586</v>
      </c>
      <c r="R146" s="657">
        <v>2025</v>
      </c>
      <c r="S146" s="657">
        <v>2</v>
      </c>
      <c r="T146" s="663">
        <v>45714</v>
      </c>
      <c r="U146" s="662">
        <f t="shared" si="28"/>
        <v>0</v>
      </c>
      <c r="V146" s="672"/>
    </row>
    <row r="147" spans="2:22" ht="116.4" customHeight="1">
      <c r="B147" s="581">
        <v>2024</v>
      </c>
      <c r="C147" s="570" t="str">
        <f t="shared" si="26"/>
        <v>DIC</v>
      </c>
      <c r="D147" s="570">
        <v>45635</v>
      </c>
      <c r="E147" s="572">
        <v>331</v>
      </c>
      <c r="F147" s="585" t="s">
        <v>21</v>
      </c>
      <c r="G147" s="585" t="s">
        <v>107</v>
      </c>
      <c r="H147" s="584" t="s">
        <v>22</v>
      </c>
      <c r="I147" s="586" t="s">
        <v>32</v>
      </c>
      <c r="J147" s="574" t="s">
        <v>655</v>
      </c>
      <c r="K147" s="698" t="s">
        <v>97</v>
      </c>
      <c r="L147" s="588">
        <v>29371348.52</v>
      </c>
      <c r="M147" s="589">
        <v>4689543.04</v>
      </c>
      <c r="N147" s="589">
        <f t="shared" si="27"/>
        <v>24681805.48</v>
      </c>
      <c r="O147" s="590">
        <f t="shared" si="29"/>
        <v>98727</v>
      </c>
      <c r="P147" s="590">
        <f t="shared" si="30"/>
        <v>24583078.48</v>
      </c>
      <c r="Q147" s="578">
        <v>24583078.48</v>
      </c>
      <c r="R147" s="569">
        <v>2025</v>
      </c>
      <c r="S147" s="569">
        <v>4</v>
      </c>
      <c r="T147" s="579">
        <v>45770</v>
      </c>
      <c r="U147" s="578">
        <f t="shared" si="28"/>
        <v>0</v>
      </c>
      <c r="V147" s="699"/>
    </row>
    <row r="148" spans="2:22" ht="116.4" customHeight="1">
      <c r="B148" s="581">
        <v>2024</v>
      </c>
      <c r="C148" s="570" t="str">
        <f t="shared" si="26"/>
        <v>DIC</v>
      </c>
      <c r="D148" s="570">
        <v>45635</v>
      </c>
      <c r="E148" s="572">
        <v>332</v>
      </c>
      <c r="F148" s="569" t="s">
        <v>21</v>
      </c>
      <c r="G148" s="569" t="s">
        <v>107</v>
      </c>
      <c r="H148" s="572" t="s">
        <v>22</v>
      </c>
      <c r="I148" s="573" t="s">
        <v>110</v>
      </c>
      <c r="J148" s="574" t="s">
        <v>655</v>
      </c>
      <c r="K148" s="700" t="s">
        <v>111</v>
      </c>
      <c r="L148" s="576">
        <v>40192964</v>
      </c>
      <c r="M148" s="577">
        <v>6417364</v>
      </c>
      <c r="N148" s="577">
        <f t="shared" si="27"/>
        <v>33775600</v>
      </c>
      <c r="O148" s="578">
        <f t="shared" si="29"/>
        <v>135102</v>
      </c>
      <c r="P148" s="578">
        <f t="shared" si="30"/>
        <v>33640498</v>
      </c>
      <c r="Q148" s="578">
        <f>Tabla1[[#This Row],[Valor a Consignar a la ANI]]</f>
        <v>33640498</v>
      </c>
      <c r="R148" s="569">
        <v>2025</v>
      </c>
      <c r="S148" s="569">
        <v>5</v>
      </c>
      <c r="T148" s="579">
        <v>45805</v>
      </c>
      <c r="U148" s="578">
        <f t="shared" si="28"/>
        <v>0</v>
      </c>
      <c r="V148" s="699"/>
    </row>
    <row r="149" spans="2:22" ht="116.4" customHeight="1">
      <c r="B149" s="581">
        <v>2024</v>
      </c>
      <c r="C149" s="570" t="str">
        <f t="shared" si="26"/>
        <v>DIC</v>
      </c>
      <c r="D149" s="570">
        <v>45635</v>
      </c>
      <c r="E149" s="572">
        <v>328</v>
      </c>
      <c r="F149" s="569" t="s">
        <v>21</v>
      </c>
      <c r="G149" s="569" t="s">
        <v>107</v>
      </c>
      <c r="H149" s="572" t="s">
        <v>22</v>
      </c>
      <c r="I149" s="573" t="s">
        <v>35</v>
      </c>
      <c r="J149" s="574" t="s">
        <v>655</v>
      </c>
      <c r="K149" s="700" t="s">
        <v>109</v>
      </c>
      <c r="L149" s="576">
        <v>5819710.7800000003</v>
      </c>
      <c r="M149" s="577">
        <v>929197.52</v>
      </c>
      <c r="N149" s="577">
        <f t="shared" si="27"/>
        <v>4890513.26</v>
      </c>
      <c r="O149" s="578">
        <f t="shared" si="29"/>
        <v>19562</v>
      </c>
      <c r="P149" s="578">
        <f t="shared" si="30"/>
        <v>4870951.26</v>
      </c>
      <c r="Q149" s="578">
        <v>4870951.26</v>
      </c>
      <c r="R149" s="569">
        <v>2025</v>
      </c>
      <c r="S149" s="569">
        <v>4</v>
      </c>
      <c r="T149" s="579">
        <v>45770</v>
      </c>
      <c r="U149" s="578">
        <f t="shared" si="28"/>
        <v>0</v>
      </c>
      <c r="V149" s="699"/>
    </row>
    <row r="150" spans="2:22" ht="116.4" customHeight="1">
      <c r="B150" s="581">
        <v>2024</v>
      </c>
      <c r="C150" s="570" t="str">
        <f t="shared" si="26"/>
        <v>DIC</v>
      </c>
      <c r="D150" s="570">
        <v>45635</v>
      </c>
      <c r="E150" s="572">
        <v>329</v>
      </c>
      <c r="F150" s="569" t="s">
        <v>21</v>
      </c>
      <c r="G150" s="569" t="s">
        <v>107</v>
      </c>
      <c r="H150" s="572" t="s">
        <v>22</v>
      </c>
      <c r="I150" s="573" t="s">
        <v>35</v>
      </c>
      <c r="J150" s="574" t="s">
        <v>655</v>
      </c>
      <c r="K150" s="700" t="s">
        <v>108</v>
      </c>
      <c r="L150" s="576">
        <v>5201728</v>
      </c>
      <c r="M150" s="577">
        <v>830528</v>
      </c>
      <c r="N150" s="577">
        <f t="shared" si="27"/>
        <v>4371200</v>
      </c>
      <c r="O150" s="578">
        <f t="shared" si="29"/>
        <v>17485</v>
      </c>
      <c r="P150" s="578">
        <f t="shared" si="30"/>
        <v>4353715</v>
      </c>
      <c r="Q150" s="578">
        <v>4353715</v>
      </c>
      <c r="R150" s="569">
        <v>2025</v>
      </c>
      <c r="S150" s="569">
        <v>4</v>
      </c>
      <c r="T150" s="579">
        <v>45770</v>
      </c>
      <c r="U150" s="578">
        <f t="shared" si="28"/>
        <v>0</v>
      </c>
      <c r="V150" s="699"/>
    </row>
    <row r="151" spans="2:22" ht="116.4" customHeight="1">
      <c r="B151" s="581">
        <v>2024</v>
      </c>
      <c r="C151" s="570" t="str">
        <f t="shared" si="26"/>
        <v>DIC</v>
      </c>
      <c r="D151" s="570">
        <v>45635</v>
      </c>
      <c r="E151" s="572">
        <v>330</v>
      </c>
      <c r="F151" s="569" t="s">
        <v>21</v>
      </c>
      <c r="G151" s="569" t="s">
        <v>107</v>
      </c>
      <c r="H151" s="572" t="s">
        <v>22</v>
      </c>
      <c r="I151" s="573" t="s">
        <v>35</v>
      </c>
      <c r="J151" s="574" t="s">
        <v>655</v>
      </c>
      <c r="K151" s="700" t="s">
        <v>38</v>
      </c>
      <c r="L151" s="576">
        <v>3090399.06</v>
      </c>
      <c r="M151" s="577">
        <v>493425.06</v>
      </c>
      <c r="N151" s="577">
        <f t="shared" si="27"/>
        <v>2596974</v>
      </c>
      <c r="O151" s="578">
        <f t="shared" si="29"/>
        <v>10388</v>
      </c>
      <c r="P151" s="578">
        <f t="shared" si="30"/>
        <v>2586586</v>
      </c>
      <c r="Q151" s="578">
        <v>366977.92973828316</v>
      </c>
      <c r="R151" s="569">
        <v>2025</v>
      </c>
      <c r="S151" s="569">
        <v>2</v>
      </c>
      <c r="T151" s="579">
        <v>45714</v>
      </c>
      <c r="U151" s="578">
        <f t="shared" si="28"/>
        <v>2219608.0702617168</v>
      </c>
      <c r="V151" s="699"/>
    </row>
    <row r="152" spans="2:22" ht="116.4" customHeight="1">
      <c r="B152" s="581">
        <v>2024</v>
      </c>
      <c r="C152" s="570" t="str">
        <f t="shared" si="26"/>
        <v>DIC</v>
      </c>
      <c r="D152" s="570">
        <v>45635</v>
      </c>
      <c r="E152" s="572">
        <v>330</v>
      </c>
      <c r="F152" s="569" t="s">
        <v>21</v>
      </c>
      <c r="G152" s="569" t="s">
        <v>107</v>
      </c>
      <c r="H152" s="572" t="s">
        <v>22</v>
      </c>
      <c r="I152" s="573" t="s">
        <v>35</v>
      </c>
      <c r="J152" s="574" t="s">
        <v>655</v>
      </c>
      <c r="K152" s="700" t="s">
        <v>779</v>
      </c>
      <c r="L152" s="576"/>
      <c r="M152" s="576"/>
      <c r="N152" s="576">
        <f t="shared" si="27"/>
        <v>0</v>
      </c>
      <c r="O152" s="576">
        <f t="shared" si="29"/>
        <v>0</v>
      </c>
      <c r="P152" s="576"/>
      <c r="Q152" s="576">
        <v>1574619.6085938399</v>
      </c>
      <c r="R152" s="569">
        <v>2025</v>
      </c>
      <c r="S152" s="569">
        <v>4</v>
      </c>
      <c r="T152" s="579">
        <v>45770</v>
      </c>
      <c r="U152" s="576">
        <f t="shared" si="28"/>
        <v>-1574619.6085938399</v>
      </c>
      <c r="V152" s="576"/>
    </row>
    <row r="153" spans="2:22" ht="116.4" customHeight="1">
      <c r="B153" s="581">
        <v>2024</v>
      </c>
      <c r="C153" s="570" t="str">
        <f t="shared" si="26"/>
        <v>DIC</v>
      </c>
      <c r="D153" s="570">
        <v>45635</v>
      </c>
      <c r="E153" s="569">
        <v>330</v>
      </c>
      <c r="F153" s="569" t="s">
        <v>21</v>
      </c>
      <c r="G153" s="569" t="s">
        <v>107</v>
      </c>
      <c r="H153" s="572" t="s">
        <v>22</v>
      </c>
      <c r="I153" s="573" t="s">
        <v>35</v>
      </c>
      <c r="J153" s="574" t="s">
        <v>655</v>
      </c>
      <c r="K153" s="700" t="s">
        <v>38</v>
      </c>
      <c r="L153" s="576"/>
      <c r="M153" s="576"/>
      <c r="N153" s="576">
        <f t="shared" si="27"/>
        <v>0</v>
      </c>
      <c r="O153" s="576">
        <f t="shared" si="29"/>
        <v>0</v>
      </c>
      <c r="P153" s="576">
        <f t="shared" ref="P153:P191" si="31">N153-O153</f>
        <v>0</v>
      </c>
      <c r="Q153" s="576">
        <v>644988.46</v>
      </c>
      <c r="R153" s="569">
        <v>2025</v>
      </c>
      <c r="S153" s="569">
        <v>5</v>
      </c>
      <c r="T153" s="579">
        <v>45805</v>
      </c>
      <c r="U153" s="576">
        <f t="shared" si="28"/>
        <v>-644988.46</v>
      </c>
      <c r="V153" s="576"/>
    </row>
    <row r="154" spans="2:22" ht="116.4" customHeight="1">
      <c r="B154" s="581">
        <v>2024</v>
      </c>
      <c r="C154" s="570" t="str">
        <f t="shared" si="26"/>
        <v>DIC</v>
      </c>
      <c r="D154" s="570">
        <v>45635</v>
      </c>
      <c r="E154" s="572">
        <v>334</v>
      </c>
      <c r="F154" s="569" t="s">
        <v>21</v>
      </c>
      <c r="G154" s="569" t="s">
        <v>107</v>
      </c>
      <c r="H154" s="572" t="s">
        <v>22</v>
      </c>
      <c r="I154" s="586" t="s">
        <v>32</v>
      </c>
      <c r="J154" s="574" t="s">
        <v>656</v>
      </c>
      <c r="K154" s="698" t="s">
        <v>97</v>
      </c>
      <c r="L154" s="576">
        <v>2327918.61</v>
      </c>
      <c r="M154" s="577">
        <v>371684.48</v>
      </c>
      <c r="N154" s="577">
        <f t="shared" si="27"/>
        <v>1956234.13</v>
      </c>
      <c r="O154" s="578">
        <f t="shared" si="29"/>
        <v>7825</v>
      </c>
      <c r="P154" s="578">
        <f t="shared" si="31"/>
        <v>1948409.13</v>
      </c>
      <c r="Q154" s="578">
        <v>1948409.13</v>
      </c>
      <c r="R154" s="569">
        <v>2025</v>
      </c>
      <c r="S154" s="569">
        <v>2</v>
      </c>
      <c r="T154" s="579">
        <v>45714</v>
      </c>
      <c r="U154" s="578">
        <f t="shared" si="28"/>
        <v>0</v>
      </c>
      <c r="V154" s="701" t="s">
        <v>657</v>
      </c>
    </row>
    <row r="155" spans="2:22" ht="116.4" customHeight="1">
      <c r="B155" s="773">
        <v>2025</v>
      </c>
      <c r="C155" s="774" t="str">
        <f t="shared" si="26"/>
        <v>ENE</v>
      </c>
      <c r="D155" s="774">
        <v>45671</v>
      </c>
      <c r="E155" s="767">
        <v>358</v>
      </c>
      <c r="F155" s="758" t="s">
        <v>21</v>
      </c>
      <c r="G155" s="758" t="s">
        <v>107</v>
      </c>
      <c r="H155" s="759" t="s">
        <v>22</v>
      </c>
      <c r="I155" s="760" t="s">
        <v>32</v>
      </c>
      <c r="J155" s="761" t="s">
        <v>681</v>
      </c>
      <c r="K155" s="762" t="s">
        <v>97</v>
      </c>
      <c r="L155" s="763">
        <v>29371348.52</v>
      </c>
      <c r="M155" s="764">
        <f>+Tabla1[[#This Row],[Valor Facturado]]-Tabla1[[#This Row],[Valor Facturado]]/1.19</f>
        <v>4689543.0410084017</v>
      </c>
      <c r="N155" s="764">
        <f t="shared" si="27"/>
        <v>24681805.478991598</v>
      </c>
      <c r="O155" s="765">
        <f t="shared" si="29"/>
        <v>98727</v>
      </c>
      <c r="P155" s="765">
        <f t="shared" si="31"/>
        <v>24583078.478991598</v>
      </c>
      <c r="Q155" s="772">
        <f>Tabla1[[#This Row],[Valor a Consignar a la ANI]]</f>
        <v>24583078.478991598</v>
      </c>
      <c r="R155" s="766">
        <v>2025</v>
      </c>
      <c r="S155" s="766">
        <v>7</v>
      </c>
      <c r="T155" s="775">
        <v>45845</v>
      </c>
      <c r="U155" s="772">
        <f t="shared" si="28"/>
        <v>0</v>
      </c>
      <c r="V155" s="776"/>
    </row>
    <row r="156" spans="2:22" ht="116.4" customHeight="1">
      <c r="B156" s="773">
        <v>2025</v>
      </c>
      <c r="C156" s="774" t="str">
        <f t="shared" si="26"/>
        <v>ENE</v>
      </c>
      <c r="D156" s="774">
        <v>45674</v>
      </c>
      <c r="E156" s="767">
        <v>356</v>
      </c>
      <c r="F156" s="766" t="s">
        <v>21</v>
      </c>
      <c r="G156" s="766" t="s">
        <v>107</v>
      </c>
      <c r="H156" s="767" t="s">
        <v>22</v>
      </c>
      <c r="I156" s="768" t="s">
        <v>110</v>
      </c>
      <c r="J156" s="761" t="s">
        <v>681</v>
      </c>
      <c r="K156" s="769" t="s">
        <v>111</v>
      </c>
      <c r="L156" s="770">
        <v>42282998.127999999</v>
      </c>
      <c r="M156" s="764">
        <f>+Tabla1[[#This Row],[Valor Facturado]]-Tabla1[[#This Row],[Valor Facturado]]/1.19</f>
        <v>6751066.9279999956</v>
      </c>
      <c r="N156" s="771">
        <f t="shared" si="27"/>
        <v>35531931.200000003</v>
      </c>
      <c r="O156" s="772">
        <f t="shared" si="29"/>
        <v>142128</v>
      </c>
      <c r="P156" s="772">
        <f t="shared" si="31"/>
        <v>35389803.200000003</v>
      </c>
      <c r="Q156" s="772">
        <f>Tabla1[[#This Row],[Valor a Consignar a la ANI]]</f>
        <v>35389803.200000003</v>
      </c>
      <c r="R156" s="766">
        <v>2025</v>
      </c>
      <c r="S156" s="766">
        <v>7</v>
      </c>
      <c r="T156" s="775">
        <v>45845</v>
      </c>
      <c r="U156" s="772">
        <f t="shared" si="28"/>
        <v>0</v>
      </c>
      <c r="V156" s="776"/>
    </row>
    <row r="157" spans="2:22" ht="116.4" customHeight="1">
      <c r="B157" s="773">
        <v>2025</v>
      </c>
      <c r="C157" s="774" t="str">
        <f t="shared" si="26"/>
        <v>ENE</v>
      </c>
      <c r="D157" s="774">
        <v>45674</v>
      </c>
      <c r="E157" s="767">
        <v>353</v>
      </c>
      <c r="F157" s="766" t="s">
        <v>21</v>
      </c>
      <c r="G157" s="766" t="s">
        <v>107</v>
      </c>
      <c r="H157" s="767" t="s">
        <v>22</v>
      </c>
      <c r="I157" s="768" t="s">
        <v>35</v>
      </c>
      <c r="J157" s="761" t="s">
        <v>681</v>
      </c>
      <c r="K157" s="769" t="s">
        <v>109</v>
      </c>
      <c r="L157" s="770">
        <v>5819710.7800000003</v>
      </c>
      <c r="M157" s="764">
        <f>+Tabla1[[#This Row],[Valor Facturado]]-Tabla1[[#This Row],[Valor Facturado]]/1.19</f>
        <v>929197.51949579827</v>
      </c>
      <c r="N157" s="771">
        <f t="shared" si="27"/>
        <v>4890513.260504202</v>
      </c>
      <c r="O157" s="772">
        <f t="shared" si="29"/>
        <v>19562</v>
      </c>
      <c r="P157" s="772">
        <f t="shared" si="31"/>
        <v>4870951.260504202</v>
      </c>
      <c r="Q157" s="772">
        <f>Tabla1[[#This Row],[Valor a Consignar a la ANI]]</f>
        <v>4870951.260504202</v>
      </c>
      <c r="R157" s="766">
        <v>2025</v>
      </c>
      <c r="S157" s="766">
        <v>7</v>
      </c>
      <c r="T157" s="775">
        <v>45845</v>
      </c>
      <c r="U157" s="772">
        <f t="shared" si="28"/>
        <v>0</v>
      </c>
      <c r="V157" s="776"/>
    </row>
    <row r="158" spans="2:22" ht="116.4" customHeight="1">
      <c r="B158" s="773">
        <v>2025</v>
      </c>
      <c r="C158" s="774" t="str">
        <f t="shared" si="26"/>
        <v>ENE</v>
      </c>
      <c r="D158" s="774">
        <v>45674</v>
      </c>
      <c r="E158" s="767">
        <v>354</v>
      </c>
      <c r="F158" s="766" t="s">
        <v>21</v>
      </c>
      <c r="G158" s="766" t="s">
        <v>107</v>
      </c>
      <c r="H158" s="767" t="s">
        <v>22</v>
      </c>
      <c r="I158" s="768" t="s">
        <v>35</v>
      </c>
      <c r="J158" s="761" t="s">
        <v>681</v>
      </c>
      <c r="K158" s="769" t="s">
        <v>108</v>
      </c>
      <c r="L158" s="770">
        <v>5201728</v>
      </c>
      <c r="M158" s="764">
        <f>+Tabla1[[#This Row],[Valor Facturado]]-Tabla1[[#This Row],[Valor Facturado]]/1.19</f>
        <v>830528</v>
      </c>
      <c r="N158" s="771">
        <f t="shared" si="27"/>
        <v>4371200</v>
      </c>
      <c r="O158" s="772">
        <f t="shared" si="29"/>
        <v>17485</v>
      </c>
      <c r="P158" s="772">
        <f t="shared" si="31"/>
        <v>4353715</v>
      </c>
      <c r="Q158" s="772"/>
      <c r="R158" s="766"/>
      <c r="S158" s="766"/>
      <c r="T158" s="775"/>
      <c r="U158" s="772">
        <f t="shared" si="28"/>
        <v>4353715</v>
      </c>
      <c r="V158" s="776"/>
    </row>
    <row r="159" spans="2:22" ht="116.4" customHeight="1">
      <c r="B159" s="773">
        <v>2025</v>
      </c>
      <c r="C159" s="774" t="str">
        <f t="shared" ref="C159" si="32">UPPER(TEXT(D159,"MMM"))</f>
        <v>ENE</v>
      </c>
      <c r="D159" s="774">
        <v>45674</v>
      </c>
      <c r="E159" s="767">
        <v>354</v>
      </c>
      <c r="F159" s="766" t="s">
        <v>21</v>
      </c>
      <c r="G159" s="766" t="s">
        <v>107</v>
      </c>
      <c r="H159" s="767" t="s">
        <v>22</v>
      </c>
      <c r="I159" s="768" t="s">
        <v>35</v>
      </c>
      <c r="J159" s="761" t="s">
        <v>681</v>
      </c>
      <c r="K159" s="769" t="s">
        <v>867</v>
      </c>
      <c r="L159" s="770"/>
      <c r="M159" s="764">
        <f>+Tabla1[[#This Row],[Valor Facturado]]-Tabla1[[#This Row],[Valor Facturado]]/1.19</f>
        <v>0</v>
      </c>
      <c r="N159" s="771">
        <f t="shared" ref="N159" si="33">+L159-M159</f>
        <v>0</v>
      </c>
      <c r="O159" s="772">
        <f t="shared" ref="O159" si="34">ROUND(N159*0.004,0)</f>
        <v>0</v>
      </c>
      <c r="P159" s="772">
        <f t="shared" ref="P159" si="35">N159-O159</f>
        <v>0</v>
      </c>
      <c r="Q159" s="772">
        <v>3954701.6</v>
      </c>
      <c r="R159" s="766">
        <v>2025</v>
      </c>
      <c r="S159" s="766">
        <v>7</v>
      </c>
      <c r="T159" s="775">
        <v>45845</v>
      </c>
      <c r="U159" s="772">
        <f t="shared" ref="U159" si="36">P159-Q159</f>
        <v>-3954701.6</v>
      </c>
      <c r="V159" s="776"/>
    </row>
    <row r="160" spans="2:22" ht="116.4" customHeight="1">
      <c r="B160" s="773">
        <v>2025</v>
      </c>
      <c r="C160" s="774" t="str">
        <f t="shared" ref="C160" si="37">UPPER(TEXT(D160,"MMM"))</f>
        <v>ENE</v>
      </c>
      <c r="D160" s="774">
        <v>45674</v>
      </c>
      <c r="E160" s="767">
        <v>354</v>
      </c>
      <c r="F160" s="766" t="s">
        <v>21</v>
      </c>
      <c r="G160" s="766" t="s">
        <v>107</v>
      </c>
      <c r="H160" s="767" t="s">
        <v>22</v>
      </c>
      <c r="I160" s="768" t="s">
        <v>35</v>
      </c>
      <c r="J160" s="761" t="s">
        <v>681</v>
      </c>
      <c r="K160" s="769" t="s">
        <v>917</v>
      </c>
      <c r="L160" s="770"/>
      <c r="M160" s="764">
        <f>+Tabla1[[#This Row],[Valor Facturado]]-Tabla1[[#This Row],[Valor Facturado]]/1.19</f>
        <v>0</v>
      </c>
      <c r="N160" s="771">
        <f t="shared" ref="N160" si="38">+L160-M160</f>
        <v>0</v>
      </c>
      <c r="O160" s="772">
        <f t="shared" ref="O160" si="39">ROUND(N160*0.004,0)</f>
        <v>0</v>
      </c>
      <c r="P160" s="772">
        <f t="shared" ref="P160" si="40">N160-O160</f>
        <v>0</v>
      </c>
      <c r="Q160" s="772">
        <v>399013.4</v>
      </c>
      <c r="R160" s="766">
        <v>2025</v>
      </c>
      <c r="S160" s="766">
        <v>8</v>
      </c>
      <c r="T160" s="775">
        <v>45873</v>
      </c>
      <c r="U160" s="772">
        <f t="shared" ref="U160" si="41">P160-Q160</f>
        <v>-399013.4</v>
      </c>
      <c r="V160" s="776"/>
    </row>
    <row r="161" spans="2:23" ht="116.4" customHeight="1">
      <c r="B161" s="773">
        <v>2025</v>
      </c>
      <c r="C161" s="774" t="str">
        <f t="shared" si="26"/>
        <v>ENE</v>
      </c>
      <c r="D161" s="774">
        <v>45674</v>
      </c>
      <c r="E161" s="767">
        <v>355</v>
      </c>
      <c r="F161" s="766" t="s">
        <v>21</v>
      </c>
      <c r="G161" s="766" t="s">
        <v>107</v>
      </c>
      <c r="H161" s="767" t="s">
        <v>22</v>
      </c>
      <c r="I161" s="768" t="s">
        <v>35</v>
      </c>
      <c r="J161" s="761" t="s">
        <v>681</v>
      </c>
      <c r="K161" s="769" t="s">
        <v>38</v>
      </c>
      <c r="L161" s="770">
        <v>3090399.06</v>
      </c>
      <c r="M161" s="764">
        <f>+Tabla1[[#This Row],[Valor Facturado]]-Tabla1[[#This Row],[Valor Facturado]]/1.19</f>
        <v>493425.06000000006</v>
      </c>
      <c r="N161" s="771">
        <f t="shared" si="27"/>
        <v>2596974</v>
      </c>
      <c r="O161" s="772">
        <f t="shared" si="29"/>
        <v>10388</v>
      </c>
      <c r="P161" s="772">
        <f t="shared" si="31"/>
        <v>2586586</v>
      </c>
      <c r="Q161" s="772"/>
      <c r="R161" s="766"/>
      <c r="S161" s="766"/>
      <c r="T161" s="775"/>
      <c r="U161" s="772">
        <f t="shared" si="28"/>
        <v>2586586</v>
      </c>
      <c r="V161" s="776"/>
    </row>
    <row r="162" spans="2:23" ht="116.4" customHeight="1">
      <c r="B162" s="773">
        <v>2025</v>
      </c>
      <c r="C162" s="774" t="str">
        <f t="shared" si="26"/>
        <v>ENE</v>
      </c>
      <c r="D162" s="774">
        <v>45674</v>
      </c>
      <c r="E162" s="767">
        <v>355</v>
      </c>
      <c r="F162" s="766" t="s">
        <v>21</v>
      </c>
      <c r="G162" s="766" t="s">
        <v>107</v>
      </c>
      <c r="H162" s="767" t="s">
        <v>22</v>
      </c>
      <c r="I162" s="768" t="s">
        <v>35</v>
      </c>
      <c r="J162" s="761" t="s">
        <v>681</v>
      </c>
      <c r="K162" s="769" t="s">
        <v>38</v>
      </c>
      <c r="L162" s="770"/>
      <c r="M162" s="764"/>
      <c r="N162" s="771">
        <f t="shared" si="27"/>
        <v>0</v>
      </c>
      <c r="O162" s="772"/>
      <c r="P162" s="772">
        <f t="shared" si="31"/>
        <v>0</v>
      </c>
      <c r="Q162" s="772">
        <v>347368.41833211499</v>
      </c>
      <c r="R162" s="766">
        <v>2025</v>
      </c>
      <c r="S162" s="766">
        <v>5</v>
      </c>
      <c r="T162" s="956">
        <v>45805</v>
      </c>
      <c r="U162" s="772">
        <f t="shared" si="28"/>
        <v>-347368.41833211499</v>
      </c>
      <c r="V162" s="776"/>
    </row>
    <row r="163" spans="2:23" ht="116.4" customHeight="1">
      <c r="B163" s="773">
        <v>2025</v>
      </c>
      <c r="C163" s="774" t="str">
        <f t="shared" si="26"/>
        <v>ENE</v>
      </c>
      <c r="D163" s="774">
        <v>45674</v>
      </c>
      <c r="E163" s="767">
        <v>356</v>
      </c>
      <c r="F163" s="766" t="s">
        <v>21</v>
      </c>
      <c r="G163" s="766" t="s">
        <v>107</v>
      </c>
      <c r="H163" s="767" t="s">
        <v>22</v>
      </c>
      <c r="I163" s="768" t="s">
        <v>35</v>
      </c>
      <c r="J163" s="761" t="s">
        <v>681</v>
      </c>
      <c r="K163" s="769" t="s">
        <v>779</v>
      </c>
      <c r="L163" s="770"/>
      <c r="M163" s="764"/>
      <c r="N163" s="771">
        <f t="shared" ref="N163" si="42">+L163-M163</f>
        <v>0</v>
      </c>
      <c r="O163" s="772"/>
      <c r="P163" s="772">
        <f t="shared" ref="P163" si="43">N163-O163</f>
        <v>0</v>
      </c>
      <c r="Q163" s="772">
        <v>2239217.58</v>
      </c>
      <c r="R163" s="766">
        <v>2025</v>
      </c>
      <c r="S163" s="766">
        <v>7</v>
      </c>
      <c r="T163" s="956">
        <v>45845</v>
      </c>
      <c r="U163" s="772">
        <f t="shared" ref="U163" si="44">P163-Q163</f>
        <v>-2239217.58</v>
      </c>
      <c r="V163" s="776"/>
    </row>
    <row r="164" spans="2:23" ht="116.4" customHeight="1">
      <c r="B164" s="805">
        <v>2025</v>
      </c>
      <c r="C164" s="806" t="str">
        <f t="shared" si="26"/>
        <v>FEB</v>
      </c>
      <c r="D164" s="806">
        <v>45699</v>
      </c>
      <c r="E164" s="253">
        <v>366</v>
      </c>
      <c r="F164" s="251" t="s">
        <v>21</v>
      </c>
      <c r="G164" s="251" t="s">
        <v>107</v>
      </c>
      <c r="H164" s="253" t="s">
        <v>22</v>
      </c>
      <c r="I164" s="254" t="s">
        <v>110</v>
      </c>
      <c r="J164" s="255" t="s">
        <v>749</v>
      </c>
      <c r="K164" s="838" t="s">
        <v>111</v>
      </c>
      <c r="L164" s="839">
        <v>42282998.127999999</v>
      </c>
      <c r="M164" s="837">
        <f>+Tabla1[[#This Row],[Valor Facturado]]-Tabla1[[#This Row],[Valor Facturado]]/1.19</f>
        <v>6751066.9279999956</v>
      </c>
      <c r="N164" s="840">
        <f t="shared" si="27"/>
        <v>35531931.200000003</v>
      </c>
      <c r="O164" s="259">
        <f t="shared" ref="O164:O199" si="45">ROUND(N164*0.004,0)</f>
        <v>142128</v>
      </c>
      <c r="P164" s="259">
        <f t="shared" si="31"/>
        <v>35389803.200000003</v>
      </c>
      <c r="Q164" s="259">
        <f>Tabla1[[#This Row],[Valor a Consignar a la ANI]]</f>
        <v>35389803.200000003</v>
      </c>
      <c r="R164" s="251">
        <v>2025</v>
      </c>
      <c r="S164" s="251">
        <v>8</v>
      </c>
      <c r="T164" s="260">
        <v>45873</v>
      </c>
      <c r="U164" s="259">
        <f t="shared" si="28"/>
        <v>0</v>
      </c>
      <c r="V164" s="811"/>
    </row>
    <row r="165" spans="2:23" ht="116.4" customHeight="1">
      <c r="B165" s="805">
        <v>2025</v>
      </c>
      <c r="C165" s="806" t="str">
        <f t="shared" si="26"/>
        <v>FEB</v>
      </c>
      <c r="D165" s="806">
        <v>45699</v>
      </c>
      <c r="E165" s="253">
        <v>367</v>
      </c>
      <c r="F165" s="807" t="s">
        <v>21</v>
      </c>
      <c r="G165" s="807" t="s">
        <v>107</v>
      </c>
      <c r="H165" s="808" t="s">
        <v>22</v>
      </c>
      <c r="I165" s="809" t="s">
        <v>32</v>
      </c>
      <c r="J165" s="255" t="s">
        <v>749</v>
      </c>
      <c r="K165" s="835" t="s">
        <v>97</v>
      </c>
      <c r="L165" s="836">
        <v>29371348.52</v>
      </c>
      <c r="M165" s="837">
        <f>+Tabla1[[#This Row],[Valor Facturado]]-Tabla1[[#This Row],[Valor Facturado]]/1.19</f>
        <v>4689543.0410084017</v>
      </c>
      <c r="N165" s="837">
        <f t="shared" si="27"/>
        <v>24681805.478991598</v>
      </c>
      <c r="O165" s="810">
        <f t="shared" si="45"/>
        <v>98727</v>
      </c>
      <c r="P165" s="810">
        <f t="shared" si="31"/>
        <v>24583078.478991598</v>
      </c>
      <c r="Q165" s="259">
        <f>Tabla1[[#This Row],[Valor a Consignar a la ANI]]</f>
        <v>24583078.478991598</v>
      </c>
      <c r="R165" s="251">
        <v>2025</v>
      </c>
      <c r="S165" s="251">
        <v>8</v>
      </c>
      <c r="T165" s="260">
        <v>45873</v>
      </c>
      <c r="U165" s="259">
        <f t="shared" si="28"/>
        <v>0</v>
      </c>
      <c r="V165" s="811"/>
    </row>
    <row r="166" spans="2:23" ht="116.4" customHeight="1">
      <c r="B166" s="805">
        <v>2025</v>
      </c>
      <c r="C166" s="806" t="str">
        <f t="shared" si="26"/>
        <v>FEB</v>
      </c>
      <c r="D166" s="806">
        <v>45699</v>
      </c>
      <c r="E166" s="253">
        <v>368</v>
      </c>
      <c r="F166" s="251" t="s">
        <v>21</v>
      </c>
      <c r="G166" s="251" t="s">
        <v>107</v>
      </c>
      <c r="H166" s="253" t="s">
        <v>22</v>
      </c>
      <c r="I166" s="254" t="s">
        <v>35</v>
      </c>
      <c r="J166" s="255" t="s">
        <v>749</v>
      </c>
      <c r="K166" s="838" t="s">
        <v>109</v>
      </c>
      <c r="L166" s="839">
        <v>5819710.7800000003</v>
      </c>
      <c r="M166" s="837">
        <f>+Tabla1[[#This Row],[Valor Facturado]]-Tabla1[[#This Row],[Valor Facturado]]/1.19</f>
        <v>929197.51949579827</v>
      </c>
      <c r="N166" s="840">
        <f t="shared" si="27"/>
        <v>4890513.260504202</v>
      </c>
      <c r="O166" s="259">
        <f t="shared" si="45"/>
        <v>19562</v>
      </c>
      <c r="P166" s="259">
        <f t="shared" si="31"/>
        <v>4870951.260504202</v>
      </c>
      <c r="Q166" s="259">
        <f>Tabla1[[#This Row],[Valor a Consignar a la ANI]]</f>
        <v>4870951.260504202</v>
      </c>
      <c r="R166" s="251">
        <v>2025</v>
      </c>
      <c r="S166" s="251">
        <v>8</v>
      </c>
      <c r="T166" s="260">
        <v>45873</v>
      </c>
      <c r="U166" s="259">
        <f t="shared" si="28"/>
        <v>0</v>
      </c>
      <c r="V166" s="811"/>
    </row>
    <row r="167" spans="2:23" ht="116.4" customHeight="1">
      <c r="B167" s="805">
        <v>2025</v>
      </c>
      <c r="C167" s="806" t="str">
        <f t="shared" si="26"/>
        <v>FEB</v>
      </c>
      <c r="D167" s="806">
        <v>45699</v>
      </c>
      <c r="E167" s="253">
        <v>369</v>
      </c>
      <c r="F167" s="251" t="s">
        <v>21</v>
      </c>
      <c r="G167" s="251" t="s">
        <v>107</v>
      </c>
      <c r="H167" s="253" t="s">
        <v>22</v>
      </c>
      <c r="I167" s="254" t="s">
        <v>35</v>
      </c>
      <c r="J167" s="255" t="s">
        <v>749</v>
      </c>
      <c r="K167" s="838" t="s">
        <v>108</v>
      </c>
      <c r="L167" s="839">
        <v>5201728</v>
      </c>
      <c r="M167" s="837">
        <f>+Tabla1[[#This Row],[Valor Facturado]]-Tabla1[[#This Row],[Valor Facturado]]/1.19</f>
        <v>830528</v>
      </c>
      <c r="N167" s="840">
        <f t="shared" si="27"/>
        <v>4371200</v>
      </c>
      <c r="O167" s="259">
        <f t="shared" si="45"/>
        <v>17485</v>
      </c>
      <c r="P167" s="259">
        <f t="shared" si="31"/>
        <v>4353715</v>
      </c>
      <c r="Q167" s="259">
        <f>Tabla1[[#This Row],[Valor a Consignar a la ANI]]</f>
        <v>4353715</v>
      </c>
      <c r="R167" s="251">
        <v>2025</v>
      </c>
      <c r="S167" s="251">
        <v>8</v>
      </c>
      <c r="T167" s="260">
        <v>45873</v>
      </c>
      <c r="U167" s="259">
        <f t="shared" si="28"/>
        <v>0</v>
      </c>
      <c r="V167" s="811"/>
    </row>
    <row r="168" spans="2:23" ht="116.4" customHeight="1">
      <c r="B168" s="805">
        <v>2025</v>
      </c>
      <c r="C168" s="806" t="str">
        <f t="shared" si="26"/>
        <v>FEB</v>
      </c>
      <c r="D168" s="806">
        <v>45699</v>
      </c>
      <c r="E168" s="253">
        <v>370</v>
      </c>
      <c r="F168" s="251" t="s">
        <v>21</v>
      </c>
      <c r="G168" s="251" t="s">
        <v>107</v>
      </c>
      <c r="H168" s="253" t="s">
        <v>22</v>
      </c>
      <c r="I168" s="254" t="s">
        <v>35</v>
      </c>
      <c r="J168" s="255" t="s">
        <v>749</v>
      </c>
      <c r="K168" s="838" t="s">
        <v>38</v>
      </c>
      <c r="L168" s="839">
        <v>3090399.06</v>
      </c>
      <c r="M168" s="837">
        <f>+Tabla1[[#This Row],[Valor Facturado]]-Tabla1[[#This Row],[Valor Facturado]]/1.19</f>
        <v>493425.06000000006</v>
      </c>
      <c r="N168" s="840">
        <f t="shared" si="27"/>
        <v>2596974</v>
      </c>
      <c r="O168" s="259">
        <f t="shared" si="45"/>
        <v>10388</v>
      </c>
      <c r="P168" s="259">
        <f t="shared" si="31"/>
        <v>2586586</v>
      </c>
      <c r="Q168" s="259">
        <f>Tabla1[[#This Row],[Valor a Consignar a la ANI]]</f>
        <v>2586586</v>
      </c>
      <c r="R168" s="251">
        <v>2025</v>
      </c>
      <c r="S168" s="251">
        <v>8</v>
      </c>
      <c r="T168" s="260">
        <v>45873</v>
      </c>
      <c r="U168" s="259">
        <f t="shared" si="28"/>
        <v>0</v>
      </c>
      <c r="V168" s="811"/>
    </row>
    <row r="169" spans="2:23" ht="71.400000000000006" customHeight="1">
      <c r="B169" s="845">
        <v>2025</v>
      </c>
      <c r="C169" s="846" t="str">
        <f t="shared" si="26"/>
        <v>MAR</v>
      </c>
      <c r="D169" s="846">
        <v>45729</v>
      </c>
      <c r="E169" s="847">
        <v>381</v>
      </c>
      <c r="F169" s="848" t="s">
        <v>21</v>
      </c>
      <c r="G169" s="848" t="s">
        <v>107</v>
      </c>
      <c r="H169" s="847" t="s">
        <v>22</v>
      </c>
      <c r="I169" s="849" t="s">
        <v>110</v>
      </c>
      <c r="J169" s="850" t="s">
        <v>750</v>
      </c>
      <c r="K169" s="851" t="s">
        <v>111</v>
      </c>
      <c r="L169" s="852">
        <v>42282998.127999999</v>
      </c>
      <c r="M169" s="853">
        <f>+Tabla1[[#This Row],[Valor Facturado]]-Tabla1[[#This Row],[Valor Facturado]]/1.19</f>
        <v>6751066.9279999956</v>
      </c>
      <c r="N169" s="854">
        <f t="shared" si="27"/>
        <v>35531931.200000003</v>
      </c>
      <c r="O169" s="855">
        <f t="shared" si="45"/>
        <v>142128</v>
      </c>
      <c r="P169" s="855">
        <f t="shared" si="31"/>
        <v>35389803.200000003</v>
      </c>
      <c r="Q169" s="855">
        <v>35389803.200000003</v>
      </c>
      <c r="R169" s="848">
        <v>2025</v>
      </c>
      <c r="S169" s="848">
        <v>9</v>
      </c>
      <c r="T169" s="856">
        <v>45904</v>
      </c>
      <c r="U169" s="855">
        <f t="shared" si="28"/>
        <v>0</v>
      </c>
      <c r="V169" s="857"/>
    </row>
    <row r="170" spans="2:23" s="782" customFormat="1" ht="33.6" customHeight="1">
      <c r="B170" s="845">
        <v>2025</v>
      </c>
      <c r="C170" s="846" t="str">
        <f t="shared" si="26"/>
        <v>MAR</v>
      </c>
      <c r="D170" s="846">
        <v>45729</v>
      </c>
      <c r="E170" s="847">
        <v>383</v>
      </c>
      <c r="F170" s="848" t="s">
        <v>21</v>
      </c>
      <c r="G170" s="848" t="s">
        <v>107</v>
      </c>
      <c r="H170" s="847" t="s">
        <v>22</v>
      </c>
      <c r="I170" s="849" t="s">
        <v>35</v>
      </c>
      <c r="J170" s="850" t="s">
        <v>750</v>
      </c>
      <c r="K170" s="851" t="s">
        <v>109</v>
      </c>
      <c r="L170" s="852">
        <v>5819710.7800000003</v>
      </c>
      <c r="M170" s="853">
        <f>+Tabla1[[#This Row],[Valor Facturado]]-Tabla1[[#This Row],[Valor Facturado]]/1.19</f>
        <v>929197.51949579827</v>
      </c>
      <c r="N170" s="854">
        <f t="shared" si="27"/>
        <v>4890513.260504202</v>
      </c>
      <c r="O170" s="855">
        <f t="shared" si="45"/>
        <v>19562</v>
      </c>
      <c r="P170" s="855">
        <f t="shared" si="31"/>
        <v>4870951.260504202</v>
      </c>
      <c r="Q170" s="855">
        <f>Tabla1[[#This Row],[Valor a Consignar a la ANI]]</f>
        <v>4870951.260504202</v>
      </c>
      <c r="R170" s="848">
        <v>2025</v>
      </c>
      <c r="S170" s="848">
        <v>8</v>
      </c>
      <c r="T170" s="856">
        <v>45874</v>
      </c>
      <c r="U170" s="855">
        <f t="shared" si="28"/>
        <v>0</v>
      </c>
      <c r="V170" s="857"/>
    </row>
    <row r="171" spans="2:23" ht="43.8" customHeight="1">
      <c r="B171" s="845">
        <v>2025</v>
      </c>
      <c r="C171" s="846" t="str">
        <f t="shared" si="26"/>
        <v>MAR</v>
      </c>
      <c r="D171" s="846">
        <v>45729</v>
      </c>
      <c r="E171" s="847">
        <v>384</v>
      </c>
      <c r="F171" s="848" t="s">
        <v>21</v>
      </c>
      <c r="G171" s="848" t="s">
        <v>107</v>
      </c>
      <c r="H171" s="847" t="s">
        <v>22</v>
      </c>
      <c r="I171" s="849" t="s">
        <v>35</v>
      </c>
      <c r="J171" s="850" t="s">
        <v>750</v>
      </c>
      <c r="K171" s="851" t="s">
        <v>108</v>
      </c>
      <c r="L171" s="852">
        <v>5201728</v>
      </c>
      <c r="M171" s="853">
        <f>+Tabla1[[#This Row],[Valor Facturado]]-Tabla1[[#This Row],[Valor Facturado]]/1.19</f>
        <v>830528</v>
      </c>
      <c r="N171" s="854">
        <f t="shared" si="27"/>
        <v>4371200</v>
      </c>
      <c r="O171" s="855">
        <f t="shared" si="45"/>
        <v>17485</v>
      </c>
      <c r="P171" s="855">
        <f t="shared" si="31"/>
        <v>4353715</v>
      </c>
      <c r="Q171" s="855">
        <f>Tabla1[[#This Row],[Valor a Consignar a la ANI]]</f>
        <v>4353715</v>
      </c>
      <c r="R171" s="848">
        <v>2025</v>
      </c>
      <c r="S171" s="848">
        <v>8</v>
      </c>
      <c r="T171" s="856">
        <v>45875</v>
      </c>
      <c r="U171" s="855">
        <f t="shared" si="28"/>
        <v>0</v>
      </c>
      <c r="V171" s="857"/>
      <c r="W171" s="834"/>
    </row>
    <row r="172" spans="2:23" ht="76.2" customHeight="1">
      <c r="B172" s="845">
        <v>2025</v>
      </c>
      <c r="C172" s="846" t="str">
        <f t="shared" si="26"/>
        <v>MAR</v>
      </c>
      <c r="D172" s="846">
        <v>45729</v>
      </c>
      <c r="E172" s="847">
        <v>385</v>
      </c>
      <c r="F172" s="848" t="s">
        <v>21</v>
      </c>
      <c r="G172" s="848" t="s">
        <v>107</v>
      </c>
      <c r="H172" s="847" t="s">
        <v>22</v>
      </c>
      <c r="I172" s="849" t="s">
        <v>35</v>
      </c>
      <c r="J172" s="850" t="s">
        <v>750</v>
      </c>
      <c r="K172" s="851" t="s">
        <v>38</v>
      </c>
      <c r="L172" s="852">
        <v>3181462.82</v>
      </c>
      <c r="M172" s="853">
        <f>+Tabla1[[#This Row],[Valor Facturado]]-Tabla1[[#This Row],[Valor Facturado]]/1.19</f>
        <v>507964.65193277318</v>
      </c>
      <c r="N172" s="854">
        <f t="shared" ref="N172:N209" si="46">+L172-M172</f>
        <v>2673498.1680672267</v>
      </c>
      <c r="O172" s="855">
        <f t="shared" si="45"/>
        <v>10694</v>
      </c>
      <c r="P172" s="855">
        <f t="shared" si="31"/>
        <v>2662804.1680672267</v>
      </c>
      <c r="Q172" s="855">
        <f>Tabla1[[#This Row],[Valor a Consignar a la ANI]]</f>
        <v>2662804.1680672267</v>
      </c>
      <c r="R172" s="848">
        <v>2025</v>
      </c>
      <c r="S172" s="848">
        <v>8</v>
      </c>
      <c r="T172" s="856">
        <v>45876</v>
      </c>
      <c r="U172" s="855">
        <f t="shared" ref="U172:U209" si="47">P172-Q172</f>
        <v>0</v>
      </c>
      <c r="V172" s="857"/>
      <c r="W172" s="131"/>
    </row>
    <row r="173" spans="2:23" ht="40.200000000000003" customHeight="1">
      <c r="B173" s="845">
        <v>2025</v>
      </c>
      <c r="C173" s="846" t="str">
        <f t="shared" si="26"/>
        <v>MAR</v>
      </c>
      <c r="D173" s="846">
        <v>45729</v>
      </c>
      <c r="E173" s="847">
        <v>386</v>
      </c>
      <c r="F173" s="858" t="s">
        <v>21</v>
      </c>
      <c r="G173" s="858" t="s">
        <v>107</v>
      </c>
      <c r="H173" s="859" t="s">
        <v>22</v>
      </c>
      <c r="I173" s="860" t="s">
        <v>32</v>
      </c>
      <c r="J173" s="850" t="s">
        <v>750</v>
      </c>
      <c r="K173" s="861" t="s">
        <v>97</v>
      </c>
      <c r="L173" s="862">
        <v>30236824.25</v>
      </c>
      <c r="M173" s="853">
        <f>+Tabla1[[#This Row],[Valor Facturado]]-Tabla1[[#This Row],[Valor Facturado]]/1.19</f>
        <v>4827728.2415966392</v>
      </c>
      <c r="N173" s="853">
        <f t="shared" si="46"/>
        <v>25409096.008403361</v>
      </c>
      <c r="O173" s="863">
        <f t="shared" si="45"/>
        <v>101636</v>
      </c>
      <c r="P173" s="863">
        <f t="shared" si="31"/>
        <v>25307460.008403361</v>
      </c>
      <c r="Q173" s="855">
        <v>25307460.008403361</v>
      </c>
      <c r="R173" s="848">
        <v>2025</v>
      </c>
      <c r="S173" s="848">
        <v>9</v>
      </c>
      <c r="T173" s="856">
        <v>45904</v>
      </c>
      <c r="U173" s="855">
        <f t="shared" si="47"/>
        <v>0</v>
      </c>
      <c r="V173" s="857"/>
    </row>
    <row r="174" spans="2:23" ht="40.200000000000003" customHeight="1">
      <c r="B174" s="845">
        <v>2025</v>
      </c>
      <c r="C174" s="874" t="str">
        <f t="shared" si="26"/>
        <v>MAR</v>
      </c>
      <c r="D174" s="875">
        <v>45747</v>
      </c>
      <c r="E174" s="210">
        <v>393</v>
      </c>
      <c r="F174" s="207" t="s">
        <v>21</v>
      </c>
      <c r="G174" s="858" t="s">
        <v>107</v>
      </c>
      <c r="H174" s="859" t="s">
        <v>22</v>
      </c>
      <c r="I174" s="209" t="s">
        <v>751</v>
      </c>
      <c r="J174" s="219" t="s">
        <v>752</v>
      </c>
      <c r="K174" s="877" t="s">
        <v>753</v>
      </c>
      <c r="L174" s="221">
        <v>885194.88</v>
      </c>
      <c r="M174" s="853">
        <f>+Tabla1[[#This Row],[Valor Facturado]]-Tabla1[[#This Row],[Valor Facturado]]/1.19</f>
        <v>141333.63630252099</v>
      </c>
      <c r="N174" s="222">
        <f t="shared" si="46"/>
        <v>743861.24369747902</v>
      </c>
      <c r="O174" s="215">
        <f t="shared" si="45"/>
        <v>2975</v>
      </c>
      <c r="P174" s="215">
        <f t="shared" si="31"/>
        <v>740886.24369747902</v>
      </c>
      <c r="Q174" s="215"/>
      <c r="R174" s="207"/>
      <c r="S174" s="207"/>
      <c r="T174" s="217"/>
      <c r="U174" s="215">
        <f t="shared" si="47"/>
        <v>740886.24369747902</v>
      </c>
      <c r="V174" s="876"/>
    </row>
    <row r="175" spans="2:23" ht="40.200000000000003" customHeight="1">
      <c r="B175" s="845">
        <v>2025</v>
      </c>
      <c r="C175" s="874" t="str">
        <f t="shared" si="26"/>
        <v>MAR</v>
      </c>
      <c r="D175" s="875">
        <v>45747</v>
      </c>
      <c r="E175" s="210">
        <v>394</v>
      </c>
      <c r="F175" s="207" t="s">
        <v>21</v>
      </c>
      <c r="G175" s="858" t="s">
        <v>107</v>
      </c>
      <c r="H175" s="859" t="s">
        <v>22</v>
      </c>
      <c r="I175" s="209" t="s">
        <v>751</v>
      </c>
      <c r="J175" s="219" t="s">
        <v>754</v>
      </c>
      <c r="K175" s="877" t="s">
        <v>753</v>
      </c>
      <c r="L175" s="221">
        <v>6638961.5999999996</v>
      </c>
      <c r="M175" s="853">
        <f>+Tabla1[[#This Row],[Valor Facturado]]-Tabla1[[#This Row],[Valor Facturado]]/1.19</f>
        <v>1060002.2722689072</v>
      </c>
      <c r="N175" s="222">
        <f t="shared" si="46"/>
        <v>5578959.3277310925</v>
      </c>
      <c r="O175" s="215">
        <f t="shared" si="45"/>
        <v>22316</v>
      </c>
      <c r="P175" s="215">
        <f t="shared" si="31"/>
        <v>5556643.3277310925</v>
      </c>
      <c r="Q175" s="215"/>
      <c r="R175" s="207"/>
      <c r="S175" s="207"/>
      <c r="T175" s="217"/>
      <c r="U175" s="215">
        <f t="shared" si="47"/>
        <v>5556643.3277310925</v>
      </c>
      <c r="V175" s="876"/>
    </row>
    <row r="176" spans="2:23" ht="40.200000000000003" customHeight="1">
      <c r="B176" s="845">
        <v>2025</v>
      </c>
      <c r="C176" s="874" t="str">
        <f t="shared" si="26"/>
        <v>MAR</v>
      </c>
      <c r="D176" s="875">
        <v>45747</v>
      </c>
      <c r="E176" s="210">
        <v>395</v>
      </c>
      <c r="F176" s="207" t="s">
        <v>21</v>
      </c>
      <c r="G176" s="858" t="s">
        <v>107</v>
      </c>
      <c r="H176" s="859" t="s">
        <v>22</v>
      </c>
      <c r="I176" s="209" t="s">
        <v>751</v>
      </c>
      <c r="J176" s="219" t="s">
        <v>755</v>
      </c>
      <c r="K176" s="877" t="s">
        <v>753</v>
      </c>
      <c r="L176" s="221">
        <v>6638961.5999999996</v>
      </c>
      <c r="M176" s="853">
        <f>+Tabla1[[#This Row],[Valor Facturado]]-Tabla1[[#This Row],[Valor Facturado]]/1.19</f>
        <v>1060002.2722689072</v>
      </c>
      <c r="N176" s="222">
        <f t="shared" si="46"/>
        <v>5578959.3277310925</v>
      </c>
      <c r="O176" s="215">
        <f t="shared" si="45"/>
        <v>22316</v>
      </c>
      <c r="P176" s="215">
        <f t="shared" si="31"/>
        <v>5556643.3277310925</v>
      </c>
      <c r="Q176" s="215"/>
      <c r="R176" s="207"/>
      <c r="S176" s="207"/>
      <c r="T176" s="217"/>
      <c r="U176" s="215">
        <f t="shared" si="47"/>
        <v>5556643.3277310925</v>
      </c>
      <c r="V176" s="876"/>
    </row>
    <row r="177" spans="2:24" ht="40.200000000000003" customHeight="1">
      <c r="B177" s="845">
        <v>2025</v>
      </c>
      <c r="C177" s="874" t="str">
        <f t="shared" si="26"/>
        <v>MAR</v>
      </c>
      <c r="D177" s="875">
        <v>45747</v>
      </c>
      <c r="E177" s="210">
        <v>397</v>
      </c>
      <c r="F177" s="207" t="s">
        <v>21</v>
      </c>
      <c r="G177" s="858" t="s">
        <v>107</v>
      </c>
      <c r="H177" s="859" t="s">
        <v>22</v>
      </c>
      <c r="I177" s="209" t="s">
        <v>751</v>
      </c>
      <c r="J177" s="219" t="s">
        <v>752</v>
      </c>
      <c r="K177" s="877" t="s">
        <v>788</v>
      </c>
      <c r="L177" s="221">
        <v>49936.59</v>
      </c>
      <c r="M177" s="853">
        <f>+Tabla1[[#This Row],[Valor Facturado]]-Tabla1[[#This Row],[Valor Facturado]]/1.19</f>
        <v>7973.0689915966359</v>
      </c>
      <c r="N177" s="222">
        <f t="shared" si="46"/>
        <v>41963.521008403361</v>
      </c>
      <c r="O177" s="215">
        <f t="shared" si="45"/>
        <v>168</v>
      </c>
      <c r="P177" s="215">
        <f t="shared" si="31"/>
        <v>41795.521008403361</v>
      </c>
      <c r="Q177" s="215"/>
      <c r="R177" s="207"/>
      <c r="S177" s="207"/>
      <c r="T177" s="217"/>
      <c r="U177" s="215">
        <f t="shared" si="47"/>
        <v>41795.521008403361</v>
      </c>
      <c r="V177" s="876"/>
    </row>
    <row r="178" spans="2:24" ht="40.200000000000003" customHeight="1">
      <c r="B178" s="845">
        <v>2025</v>
      </c>
      <c r="C178" s="874" t="str">
        <f t="shared" si="26"/>
        <v>MAR</v>
      </c>
      <c r="D178" s="875">
        <v>45747</v>
      </c>
      <c r="E178" s="210">
        <v>398</v>
      </c>
      <c r="F178" s="207" t="s">
        <v>21</v>
      </c>
      <c r="G178" s="858" t="s">
        <v>107</v>
      </c>
      <c r="H178" s="859" t="s">
        <v>22</v>
      </c>
      <c r="I178" s="209" t="s">
        <v>751</v>
      </c>
      <c r="J178" s="219" t="s">
        <v>754</v>
      </c>
      <c r="K178" s="877" t="s">
        <v>788</v>
      </c>
      <c r="L178" s="221">
        <v>374524.42</v>
      </c>
      <c r="M178" s="853">
        <f>+Tabla1[[#This Row],[Valor Facturado]]-Tabla1[[#This Row],[Valor Facturado]]/1.19</f>
        <v>59798.016638655448</v>
      </c>
      <c r="N178" s="222">
        <f t="shared" si="46"/>
        <v>314726.40336134454</v>
      </c>
      <c r="O178" s="215">
        <f t="shared" si="45"/>
        <v>1259</v>
      </c>
      <c r="P178" s="215">
        <f t="shared" si="31"/>
        <v>313467.40336134454</v>
      </c>
      <c r="Q178" s="215"/>
      <c r="R178" s="207"/>
      <c r="S178" s="207"/>
      <c r="T178" s="217"/>
      <c r="U178" s="215">
        <f t="shared" si="47"/>
        <v>313467.40336134454</v>
      </c>
      <c r="V178" s="876"/>
    </row>
    <row r="179" spans="2:24" ht="40.200000000000003" customHeight="1">
      <c r="B179" s="845">
        <v>2025</v>
      </c>
      <c r="C179" s="874" t="str">
        <f t="shared" si="26"/>
        <v>MAR</v>
      </c>
      <c r="D179" s="875">
        <v>45747</v>
      </c>
      <c r="E179" s="210">
        <v>399</v>
      </c>
      <c r="F179" s="207" t="s">
        <v>21</v>
      </c>
      <c r="G179" s="858" t="s">
        <v>107</v>
      </c>
      <c r="H179" s="859" t="s">
        <v>22</v>
      </c>
      <c r="I179" s="209" t="s">
        <v>751</v>
      </c>
      <c r="J179" s="219" t="s">
        <v>755</v>
      </c>
      <c r="K179" s="877" t="s">
        <v>788</v>
      </c>
      <c r="L179" s="221">
        <v>374524.42</v>
      </c>
      <c r="M179" s="853">
        <f>+Tabla1[[#This Row],[Valor Facturado]]-Tabla1[[#This Row],[Valor Facturado]]/1.19</f>
        <v>59798.016638655448</v>
      </c>
      <c r="N179" s="222">
        <f t="shared" si="46"/>
        <v>314726.40336134454</v>
      </c>
      <c r="O179" s="215">
        <f t="shared" si="45"/>
        <v>1259</v>
      </c>
      <c r="P179" s="215">
        <f t="shared" si="31"/>
        <v>313467.40336134454</v>
      </c>
      <c r="Q179" s="215"/>
      <c r="R179" s="207"/>
      <c r="S179" s="207"/>
      <c r="T179" s="217"/>
      <c r="U179" s="215">
        <f t="shared" si="47"/>
        <v>313467.40336134454</v>
      </c>
      <c r="V179" s="876"/>
    </row>
    <row r="180" spans="2:24" ht="71.400000000000006" customHeight="1">
      <c r="B180" s="903">
        <v>2025</v>
      </c>
      <c r="C180" s="904" t="str">
        <f t="shared" si="26"/>
        <v>ABR</v>
      </c>
      <c r="D180" s="904">
        <v>45770</v>
      </c>
      <c r="E180" s="905">
        <v>407</v>
      </c>
      <c r="F180" s="906" t="s">
        <v>21</v>
      </c>
      <c r="G180" s="906" t="s">
        <v>107</v>
      </c>
      <c r="H180" s="905" t="s">
        <v>22</v>
      </c>
      <c r="I180" s="907" t="s">
        <v>110</v>
      </c>
      <c r="J180" s="908" t="s">
        <v>786</v>
      </c>
      <c r="K180" s="909" t="s">
        <v>111</v>
      </c>
      <c r="L180" s="910">
        <v>42282998.127999999</v>
      </c>
      <c r="M180" s="911">
        <f>+Tabla1[[#This Row],[Valor Facturado]]-Tabla1[[#This Row],[Valor Facturado]]/1.19</f>
        <v>6751066.9279999956</v>
      </c>
      <c r="N180" s="912">
        <f t="shared" si="46"/>
        <v>35531931.200000003</v>
      </c>
      <c r="O180" s="913">
        <f t="shared" si="45"/>
        <v>142128</v>
      </c>
      <c r="P180" s="913">
        <f t="shared" si="31"/>
        <v>35389803.200000003</v>
      </c>
      <c r="Q180" s="913">
        <f>Tabla1[[#This Row],[Valor a Consignar a la ANI]]</f>
        <v>35389803.200000003</v>
      </c>
      <c r="R180" s="906">
        <v>2025</v>
      </c>
      <c r="S180" s="906">
        <v>10</v>
      </c>
      <c r="T180" s="914">
        <v>45932</v>
      </c>
      <c r="U180" s="913">
        <f t="shared" si="47"/>
        <v>0</v>
      </c>
      <c r="V180" s="915"/>
    </row>
    <row r="181" spans="2:24" s="782" customFormat="1" ht="33.6" customHeight="1">
      <c r="B181" s="903">
        <v>2025</v>
      </c>
      <c r="C181" s="904" t="str">
        <f t="shared" si="26"/>
        <v>ABR</v>
      </c>
      <c r="D181" s="904">
        <v>45770</v>
      </c>
      <c r="E181" s="905">
        <v>404</v>
      </c>
      <c r="F181" s="906" t="s">
        <v>21</v>
      </c>
      <c r="G181" s="906" t="s">
        <v>107</v>
      </c>
      <c r="H181" s="905" t="s">
        <v>22</v>
      </c>
      <c r="I181" s="907" t="s">
        <v>35</v>
      </c>
      <c r="J181" s="908" t="s">
        <v>786</v>
      </c>
      <c r="K181" s="909" t="s">
        <v>109</v>
      </c>
      <c r="L181" s="910">
        <v>5819710.7800000003</v>
      </c>
      <c r="M181" s="911">
        <f>+Tabla1[[#This Row],[Valor Facturado]]-Tabla1[[#This Row],[Valor Facturado]]/1.19</f>
        <v>929197.51949579827</v>
      </c>
      <c r="N181" s="912">
        <f t="shared" si="46"/>
        <v>4890513.260504202</v>
      </c>
      <c r="O181" s="913">
        <f t="shared" si="45"/>
        <v>19562</v>
      </c>
      <c r="P181" s="913">
        <f t="shared" si="31"/>
        <v>4870951.260504202</v>
      </c>
      <c r="Q181" s="913">
        <v>4870951.260504202</v>
      </c>
      <c r="R181" s="906">
        <v>2025</v>
      </c>
      <c r="S181" s="906">
        <v>9</v>
      </c>
      <c r="T181" s="914">
        <v>45904</v>
      </c>
      <c r="U181" s="913">
        <f t="shared" si="47"/>
        <v>0</v>
      </c>
      <c r="V181" s="915"/>
    </row>
    <row r="182" spans="2:24" ht="43.8" customHeight="1">
      <c r="B182" s="903">
        <v>2025</v>
      </c>
      <c r="C182" s="904" t="str">
        <f t="shared" si="26"/>
        <v>ABR</v>
      </c>
      <c r="D182" s="904">
        <v>45770</v>
      </c>
      <c r="E182" s="905">
        <v>405</v>
      </c>
      <c r="F182" s="906" t="s">
        <v>21</v>
      </c>
      <c r="G182" s="906" t="s">
        <v>107</v>
      </c>
      <c r="H182" s="905" t="s">
        <v>22</v>
      </c>
      <c r="I182" s="907" t="s">
        <v>35</v>
      </c>
      <c r="J182" s="908" t="s">
        <v>786</v>
      </c>
      <c r="K182" s="909" t="s">
        <v>108</v>
      </c>
      <c r="L182" s="910">
        <v>5201728</v>
      </c>
      <c r="M182" s="911">
        <f>+Tabla1[[#This Row],[Valor Facturado]]-Tabla1[[#This Row],[Valor Facturado]]/1.19</f>
        <v>830528</v>
      </c>
      <c r="N182" s="912">
        <f t="shared" si="46"/>
        <v>4371200</v>
      </c>
      <c r="O182" s="913">
        <f t="shared" si="45"/>
        <v>17485</v>
      </c>
      <c r="P182" s="913">
        <f t="shared" si="31"/>
        <v>4353715</v>
      </c>
      <c r="Q182" s="913"/>
      <c r="R182" s="906"/>
      <c r="S182" s="906"/>
      <c r="T182" s="914"/>
      <c r="U182" s="913">
        <f t="shared" si="47"/>
        <v>4353715</v>
      </c>
      <c r="V182" s="915"/>
      <c r="W182" s="834"/>
    </row>
    <row r="183" spans="2:24" ht="43.8" customHeight="1">
      <c r="B183" s="903">
        <v>2025</v>
      </c>
      <c r="C183" s="904" t="str">
        <f t="shared" ref="C183" si="48">UPPER(TEXT(D183,"MMM"))</f>
        <v>ABR</v>
      </c>
      <c r="D183" s="904">
        <v>45770</v>
      </c>
      <c r="E183" s="905">
        <v>405</v>
      </c>
      <c r="F183" s="906" t="s">
        <v>21</v>
      </c>
      <c r="G183" s="906" t="s">
        <v>107</v>
      </c>
      <c r="H183" s="905" t="s">
        <v>22</v>
      </c>
      <c r="I183" s="907" t="s">
        <v>35</v>
      </c>
      <c r="J183" s="908" t="s">
        <v>786</v>
      </c>
      <c r="K183" s="909" t="s">
        <v>867</v>
      </c>
      <c r="L183" s="923"/>
      <c r="M183" s="924"/>
      <c r="N183" s="924">
        <f>+L183-M183</f>
        <v>0</v>
      </c>
      <c r="O183" s="913">
        <f>ROUND(N183*0.004,0)</f>
        <v>0</v>
      </c>
      <c r="P183" s="913">
        <f>N183-O183</f>
        <v>0</v>
      </c>
      <c r="Q183" s="913">
        <v>2843707.63</v>
      </c>
      <c r="R183" s="906">
        <v>2025</v>
      </c>
      <c r="S183" s="906">
        <v>9</v>
      </c>
      <c r="T183" s="914">
        <v>45904</v>
      </c>
      <c r="U183" s="913">
        <f>P183-Q183</f>
        <v>-2843707.63</v>
      </c>
      <c r="V183" s="915"/>
      <c r="W183" s="834"/>
    </row>
    <row r="184" spans="2:24" ht="43.8" customHeight="1">
      <c r="B184" s="903">
        <v>2025</v>
      </c>
      <c r="C184" s="904" t="str">
        <f t="shared" ref="C184" si="49">UPPER(TEXT(D184,"MMM"))</f>
        <v>ABR</v>
      </c>
      <c r="D184" s="904">
        <v>45770</v>
      </c>
      <c r="E184" s="905">
        <v>405</v>
      </c>
      <c r="F184" s="906" t="s">
        <v>21</v>
      </c>
      <c r="G184" s="906" t="s">
        <v>107</v>
      </c>
      <c r="H184" s="905" t="s">
        <v>22</v>
      </c>
      <c r="I184" s="907" t="s">
        <v>35</v>
      </c>
      <c r="J184" s="908" t="s">
        <v>786</v>
      </c>
      <c r="K184" s="909" t="s">
        <v>917</v>
      </c>
      <c r="L184" s="923"/>
      <c r="M184" s="924"/>
      <c r="N184" s="924">
        <f>+L184-M184</f>
        <v>0</v>
      </c>
      <c r="O184" s="913">
        <f>ROUND(N184*0.004,0)</f>
        <v>0</v>
      </c>
      <c r="P184" s="913">
        <f>N184-O184</f>
        <v>0</v>
      </c>
      <c r="Q184" s="913">
        <v>1510007.37</v>
      </c>
      <c r="R184" s="906">
        <v>2025</v>
      </c>
      <c r="S184" s="906">
        <v>10</v>
      </c>
      <c r="T184" s="914">
        <v>45932</v>
      </c>
      <c r="U184" s="913">
        <f>P184-Q184</f>
        <v>-1510007.37</v>
      </c>
      <c r="V184" s="915"/>
      <c r="W184" s="834"/>
    </row>
    <row r="185" spans="2:24" ht="76.2" customHeight="1">
      <c r="B185" s="903">
        <v>2025</v>
      </c>
      <c r="C185" s="904" t="str">
        <f t="shared" si="26"/>
        <v>ABR</v>
      </c>
      <c r="D185" s="904">
        <v>45770</v>
      </c>
      <c r="E185" s="905">
        <v>406</v>
      </c>
      <c r="F185" s="906" t="s">
        <v>21</v>
      </c>
      <c r="G185" s="906" t="s">
        <v>107</v>
      </c>
      <c r="H185" s="905" t="s">
        <v>22</v>
      </c>
      <c r="I185" s="907" t="s">
        <v>35</v>
      </c>
      <c r="J185" s="908" t="s">
        <v>786</v>
      </c>
      <c r="K185" s="909" t="s">
        <v>38</v>
      </c>
      <c r="L185" s="910">
        <v>3251099.81</v>
      </c>
      <c r="M185" s="911">
        <f>+Tabla1[[#This Row],[Valor Facturado]]-Tabla1[[#This Row],[Valor Facturado]]/1.19</f>
        <v>519083.16294117644</v>
      </c>
      <c r="N185" s="912">
        <f t="shared" si="46"/>
        <v>2732016.6470588236</v>
      </c>
      <c r="O185" s="913">
        <f t="shared" si="45"/>
        <v>10928</v>
      </c>
      <c r="P185" s="913">
        <f t="shared" si="31"/>
        <v>2721088.6470588236</v>
      </c>
      <c r="Q185" s="913"/>
      <c r="R185" s="906"/>
      <c r="S185" s="906"/>
      <c r="T185" s="914"/>
      <c r="U185" s="913">
        <f t="shared" si="47"/>
        <v>2721088.6470588236</v>
      </c>
      <c r="V185" s="915"/>
      <c r="W185" s="131"/>
      <c r="X185" s="131"/>
    </row>
    <row r="186" spans="2:24" ht="76.2" customHeight="1">
      <c r="B186" s="903">
        <v>2025</v>
      </c>
      <c r="C186" s="904" t="str">
        <f t="shared" ref="C186" si="50">UPPER(TEXT(D186,"MMM"))</f>
        <v>ABR</v>
      </c>
      <c r="D186" s="904">
        <v>45770</v>
      </c>
      <c r="E186" s="905">
        <v>406</v>
      </c>
      <c r="F186" s="906" t="s">
        <v>21</v>
      </c>
      <c r="G186" s="906" t="s">
        <v>107</v>
      </c>
      <c r="H186" s="905" t="s">
        <v>22</v>
      </c>
      <c r="I186" s="907" t="s">
        <v>35</v>
      </c>
      <c r="J186" s="908" t="s">
        <v>786</v>
      </c>
      <c r="K186" s="909" t="s">
        <v>779</v>
      </c>
      <c r="L186" s="910"/>
      <c r="M186" s="911">
        <f>+Tabla1[[#This Row],[Valor Facturado]]-Tabla1[[#This Row],[Valor Facturado]]/1.19</f>
        <v>0</v>
      </c>
      <c r="N186" s="912">
        <f>+L186-M186</f>
        <v>0</v>
      </c>
      <c r="O186" s="913">
        <f t="shared" ref="O186" si="51">ROUND(N186*0.004,0)</f>
        <v>0</v>
      </c>
      <c r="P186" s="913">
        <f t="shared" ref="P186" si="52">N186-O186</f>
        <v>0</v>
      </c>
      <c r="Q186" s="913">
        <v>1473439.13</v>
      </c>
      <c r="R186" s="906">
        <v>2025</v>
      </c>
      <c r="S186" s="906">
        <v>8</v>
      </c>
      <c r="T186" s="914">
        <v>45873</v>
      </c>
      <c r="U186" s="913">
        <f>P186-Q186</f>
        <v>-1473439.13</v>
      </c>
      <c r="V186" s="915"/>
      <c r="W186" s="131"/>
      <c r="X186" s="131"/>
    </row>
    <row r="187" spans="2:24" ht="76.2" customHeight="1">
      <c r="B187" s="903">
        <v>2025</v>
      </c>
      <c r="C187" s="904" t="str">
        <f t="shared" ref="C187" si="53">UPPER(TEXT(D187,"MMM"))</f>
        <v>ABR</v>
      </c>
      <c r="D187" s="904">
        <v>45770</v>
      </c>
      <c r="E187" s="905">
        <v>406</v>
      </c>
      <c r="F187" s="906" t="s">
        <v>21</v>
      </c>
      <c r="G187" s="906" t="s">
        <v>107</v>
      </c>
      <c r="H187" s="905" t="s">
        <v>22</v>
      </c>
      <c r="I187" s="907" t="s">
        <v>35</v>
      </c>
      <c r="J187" s="908" t="s">
        <v>786</v>
      </c>
      <c r="K187" s="909" t="s">
        <v>948</v>
      </c>
      <c r="L187" s="910"/>
      <c r="M187" s="911">
        <f>+Tabla1[[#This Row],[Valor Facturado]]-Tabla1[[#This Row],[Valor Facturado]]/1.19</f>
        <v>0</v>
      </c>
      <c r="N187" s="912">
        <f>+L187-M187</f>
        <v>0</v>
      </c>
      <c r="O187" s="913">
        <f t="shared" ref="O187" si="54">ROUND(N187*0.004,0)</f>
        <v>0</v>
      </c>
      <c r="P187" s="913">
        <f t="shared" ref="P187" si="55">N187-O187</f>
        <v>0</v>
      </c>
      <c r="Q187" s="913">
        <v>1247649.52</v>
      </c>
      <c r="R187" s="906">
        <v>2025</v>
      </c>
      <c r="S187" s="906">
        <v>9</v>
      </c>
      <c r="T187" s="914">
        <v>45904</v>
      </c>
      <c r="U187" s="913">
        <f>P187-Q187</f>
        <v>-1247649.52</v>
      </c>
      <c r="V187" s="915"/>
      <c r="W187" s="131"/>
      <c r="X187" s="131"/>
    </row>
    <row r="188" spans="2:24" ht="40.200000000000003" customHeight="1">
      <c r="B188" s="903">
        <v>2025</v>
      </c>
      <c r="C188" s="904" t="str">
        <f t="shared" si="26"/>
        <v>ABR</v>
      </c>
      <c r="D188" s="904">
        <v>45770</v>
      </c>
      <c r="E188" s="905">
        <v>408</v>
      </c>
      <c r="F188" s="916" t="s">
        <v>21</v>
      </c>
      <c r="G188" s="916" t="s">
        <v>107</v>
      </c>
      <c r="H188" s="917" t="s">
        <v>22</v>
      </c>
      <c r="I188" s="918" t="s">
        <v>32</v>
      </c>
      <c r="J188" s="908" t="s">
        <v>786</v>
      </c>
      <c r="K188" s="919" t="s">
        <v>97</v>
      </c>
      <c r="L188" s="920">
        <v>30898658.640000001</v>
      </c>
      <c r="M188" s="911">
        <f>+Tabla1[[#This Row],[Valor Facturado]]-Tabla1[[#This Row],[Valor Facturado]]/1.19</f>
        <v>4933399.278655462</v>
      </c>
      <c r="N188" s="911">
        <f t="shared" si="46"/>
        <v>25965259.361344539</v>
      </c>
      <c r="O188" s="921">
        <f t="shared" si="45"/>
        <v>103861</v>
      </c>
      <c r="P188" s="921">
        <f t="shared" si="31"/>
        <v>25861398.361344539</v>
      </c>
      <c r="Q188" s="913">
        <f>Tabla1[[#This Row],[Valor a Consignar a la ANI]]</f>
        <v>25861398.361344539</v>
      </c>
      <c r="R188" s="906">
        <v>2025</v>
      </c>
      <c r="S188" s="906">
        <v>10</v>
      </c>
      <c r="T188" s="914">
        <v>45932</v>
      </c>
      <c r="U188" s="913">
        <f t="shared" si="47"/>
        <v>0</v>
      </c>
      <c r="V188" s="915"/>
      <c r="X188" s="131"/>
    </row>
    <row r="189" spans="2:24" ht="40.200000000000003" customHeight="1">
      <c r="B189" s="903">
        <v>2025</v>
      </c>
      <c r="C189" s="922" t="str">
        <f t="shared" si="26"/>
        <v>ABR</v>
      </c>
      <c r="D189" s="904">
        <v>45757</v>
      </c>
      <c r="E189" s="905" t="s">
        <v>780</v>
      </c>
      <c r="F189" s="906">
        <v>65</v>
      </c>
      <c r="G189" s="916">
        <v>393</v>
      </c>
      <c r="H189" s="917" t="s">
        <v>22</v>
      </c>
      <c r="I189" s="907" t="s">
        <v>751</v>
      </c>
      <c r="J189" s="908" t="s">
        <v>752</v>
      </c>
      <c r="K189" s="909" t="s">
        <v>753</v>
      </c>
      <c r="L189" s="923">
        <v>-885194.88</v>
      </c>
      <c r="M189" s="911">
        <f>+Tabla1[[#This Row],[Valor Facturado]]-Tabla1[[#This Row],[Valor Facturado]]/1.19</f>
        <v>-141333.63630252099</v>
      </c>
      <c r="N189" s="924">
        <f t="shared" si="46"/>
        <v>-743861.24369747902</v>
      </c>
      <c r="O189" s="913">
        <f t="shared" si="45"/>
        <v>-2975</v>
      </c>
      <c r="P189" s="913">
        <f t="shared" si="31"/>
        <v>-740886.24369747902</v>
      </c>
      <c r="Q189" s="913"/>
      <c r="R189" s="906"/>
      <c r="S189" s="906"/>
      <c r="T189" s="914"/>
      <c r="U189" s="913">
        <f t="shared" si="47"/>
        <v>-740886.24369747902</v>
      </c>
      <c r="V189" s="915" t="s">
        <v>789</v>
      </c>
      <c r="X189" s="131"/>
    </row>
    <row r="190" spans="2:24" ht="40.200000000000003" customHeight="1">
      <c r="B190" s="903">
        <v>2025</v>
      </c>
      <c r="C190" s="922" t="str">
        <f t="shared" si="26"/>
        <v>ABR</v>
      </c>
      <c r="D190" s="904">
        <v>45757</v>
      </c>
      <c r="E190" s="905" t="s">
        <v>781</v>
      </c>
      <c r="F190" s="906">
        <v>66</v>
      </c>
      <c r="G190" s="905">
        <v>394</v>
      </c>
      <c r="H190" s="917" t="s">
        <v>22</v>
      </c>
      <c r="I190" s="907" t="s">
        <v>751</v>
      </c>
      <c r="J190" s="908" t="s">
        <v>754</v>
      </c>
      <c r="K190" s="909" t="s">
        <v>753</v>
      </c>
      <c r="L190" s="923">
        <v>-6638961.5999999996</v>
      </c>
      <c r="M190" s="911">
        <f>+Tabla1[[#This Row],[Valor Facturado]]-Tabla1[[#This Row],[Valor Facturado]]/1.19</f>
        <v>-1060002.2722689072</v>
      </c>
      <c r="N190" s="924">
        <f t="shared" si="46"/>
        <v>-5578959.3277310925</v>
      </c>
      <c r="O190" s="913">
        <f t="shared" si="45"/>
        <v>-22316</v>
      </c>
      <c r="P190" s="913">
        <f t="shared" si="31"/>
        <v>-5556643.3277310925</v>
      </c>
      <c r="Q190" s="913"/>
      <c r="R190" s="906"/>
      <c r="S190" s="906"/>
      <c r="T190" s="914"/>
      <c r="U190" s="913">
        <f t="shared" si="47"/>
        <v>-5556643.3277310925</v>
      </c>
      <c r="V190" s="915" t="s">
        <v>790</v>
      </c>
    </row>
    <row r="191" spans="2:24" ht="40.200000000000003" customHeight="1">
      <c r="B191" s="903">
        <v>2025</v>
      </c>
      <c r="C191" s="922" t="str">
        <f t="shared" si="26"/>
        <v>ABR</v>
      </c>
      <c r="D191" s="904">
        <v>45757</v>
      </c>
      <c r="E191" s="905" t="s">
        <v>782</v>
      </c>
      <c r="F191" s="906">
        <v>67</v>
      </c>
      <c r="G191" s="905">
        <v>395</v>
      </c>
      <c r="H191" s="917" t="s">
        <v>22</v>
      </c>
      <c r="I191" s="907" t="s">
        <v>751</v>
      </c>
      <c r="J191" s="908" t="s">
        <v>755</v>
      </c>
      <c r="K191" s="909" t="s">
        <v>753</v>
      </c>
      <c r="L191" s="923">
        <v>-6638961.5999999996</v>
      </c>
      <c r="M191" s="911">
        <f>+Tabla1[[#This Row],[Valor Facturado]]-Tabla1[[#This Row],[Valor Facturado]]/1.19</f>
        <v>-1060002.2722689072</v>
      </c>
      <c r="N191" s="924">
        <f t="shared" si="46"/>
        <v>-5578959.3277310925</v>
      </c>
      <c r="O191" s="913">
        <f t="shared" si="45"/>
        <v>-22316</v>
      </c>
      <c r="P191" s="913">
        <f t="shared" si="31"/>
        <v>-5556643.3277310925</v>
      </c>
      <c r="Q191" s="913"/>
      <c r="R191" s="906"/>
      <c r="S191" s="906"/>
      <c r="T191" s="914"/>
      <c r="U191" s="913">
        <f t="shared" si="47"/>
        <v>-5556643.3277310925</v>
      </c>
      <c r="V191" s="915" t="s">
        <v>791</v>
      </c>
    </row>
    <row r="192" spans="2:24" ht="40.200000000000003" customHeight="1">
      <c r="B192" s="903">
        <v>2025</v>
      </c>
      <c r="C192" s="922" t="str">
        <f t="shared" si="26"/>
        <v>ABR</v>
      </c>
      <c r="D192" s="904">
        <v>45757</v>
      </c>
      <c r="E192" s="905" t="s">
        <v>783</v>
      </c>
      <c r="F192" s="906">
        <v>68</v>
      </c>
      <c r="G192" s="905">
        <v>397</v>
      </c>
      <c r="H192" s="917" t="s">
        <v>22</v>
      </c>
      <c r="I192" s="907" t="s">
        <v>751</v>
      </c>
      <c r="J192" s="908" t="s">
        <v>752</v>
      </c>
      <c r="K192" s="909" t="s">
        <v>788</v>
      </c>
      <c r="L192" s="923">
        <v>-49936.59</v>
      </c>
      <c r="M192" s="911">
        <f>+Tabla1[[#This Row],[Valor Facturado]]-Tabla1[[#This Row],[Valor Facturado]]/1.19</f>
        <v>-7973.0689915966359</v>
      </c>
      <c r="N192" s="924">
        <f t="shared" si="46"/>
        <v>-41963.521008403361</v>
      </c>
      <c r="O192" s="913">
        <f t="shared" si="45"/>
        <v>-168</v>
      </c>
      <c r="P192" s="913">
        <f t="shared" ref="P192:P225" si="56">N192-O192</f>
        <v>-41795.521008403361</v>
      </c>
      <c r="Q192" s="913"/>
      <c r="R192" s="906"/>
      <c r="S192" s="906"/>
      <c r="T192" s="914"/>
      <c r="U192" s="913">
        <f t="shared" si="47"/>
        <v>-41795.521008403361</v>
      </c>
      <c r="V192" s="915" t="s">
        <v>792</v>
      </c>
    </row>
    <row r="193" spans="2:22" ht="40.200000000000003" customHeight="1">
      <c r="B193" s="903">
        <v>2025</v>
      </c>
      <c r="C193" s="922" t="str">
        <f t="shared" si="26"/>
        <v>ABR</v>
      </c>
      <c r="D193" s="904">
        <v>45757</v>
      </c>
      <c r="E193" s="905" t="s">
        <v>784</v>
      </c>
      <c r="F193" s="906">
        <v>69</v>
      </c>
      <c r="G193" s="905">
        <v>398</v>
      </c>
      <c r="H193" s="917" t="s">
        <v>22</v>
      </c>
      <c r="I193" s="907" t="s">
        <v>751</v>
      </c>
      <c r="J193" s="908" t="s">
        <v>754</v>
      </c>
      <c r="K193" s="909" t="s">
        <v>788</v>
      </c>
      <c r="L193" s="923">
        <v>-374524.42</v>
      </c>
      <c r="M193" s="911">
        <f>+Tabla1[[#This Row],[Valor Facturado]]-Tabla1[[#This Row],[Valor Facturado]]/1.19</f>
        <v>-59798.016638655448</v>
      </c>
      <c r="N193" s="924">
        <f t="shared" si="46"/>
        <v>-314726.40336134454</v>
      </c>
      <c r="O193" s="913">
        <f>ROUND(N193*0.004,0)</f>
        <v>-1259</v>
      </c>
      <c r="P193" s="913">
        <f t="shared" si="56"/>
        <v>-313467.40336134454</v>
      </c>
      <c r="Q193" s="913"/>
      <c r="R193" s="906"/>
      <c r="S193" s="906"/>
      <c r="T193" s="914"/>
      <c r="U193" s="913">
        <f t="shared" si="47"/>
        <v>-313467.40336134454</v>
      </c>
      <c r="V193" s="915" t="s">
        <v>793</v>
      </c>
    </row>
    <row r="194" spans="2:22" ht="40.200000000000003" customHeight="1">
      <c r="B194" s="903">
        <v>2025</v>
      </c>
      <c r="C194" s="922" t="str">
        <f t="shared" si="26"/>
        <v>ABR</v>
      </c>
      <c r="D194" s="904">
        <v>45757</v>
      </c>
      <c r="E194" s="905" t="s">
        <v>785</v>
      </c>
      <c r="F194" s="906">
        <v>70</v>
      </c>
      <c r="G194" s="905">
        <v>399</v>
      </c>
      <c r="H194" s="917" t="s">
        <v>22</v>
      </c>
      <c r="I194" s="907" t="s">
        <v>751</v>
      </c>
      <c r="J194" s="908" t="s">
        <v>755</v>
      </c>
      <c r="K194" s="909" t="s">
        <v>788</v>
      </c>
      <c r="L194" s="923">
        <v>-374524.42</v>
      </c>
      <c r="M194" s="911">
        <f>+Tabla1[[#This Row],[Valor Facturado]]-Tabla1[[#This Row],[Valor Facturado]]/1.19</f>
        <v>-59798.016638655448</v>
      </c>
      <c r="N194" s="924">
        <f t="shared" si="46"/>
        <v>-314726.40336134454</v>
      </c>
      <c r="O194" s="913">
        <f t="shared" si="45"/>
        <v>-1259</v>
      </c>
      <c r="P194" s="913">
        <f t="shared" si="56"/>
        <v>-313467.40336134454</v>
      </c>
      <c r="Q194" s="913"/>
      <c r="R194" s="906"/>
      <c r="S194" s="906"/>
      <c r="T194" s="914"/>
      <c r="U194" s="913">
        <f t="shared" si="47"/>
        <v>-313467.40336134454</v>
      </c>
      <c r="V194" s="915" t="s">
        <v>794</v>
      </c>
    </row>
    <row r="195" spans="2:22" ht="40.200000000000003" customHeight="1">
      <c r="B195" s="903">
        <v>2025</v>
      </c>
      <c r="C195" s="904" t="str">
        <f t="shared" si="26"/>
        <v>ABR</v>
      </c>
      <c r="D195" s="904">
        <v>45770</v>
      </c>
      <c r="E195" s="905">
        <v>410</v>
      </c>
      <c r="F195" s="906" t="s">
        <v>21</v>
      </c>
      <c r="G195" s="906" t="s">
        <v>107</v>
      </c>
      <c r="H195" s="917" t="s">
        <v>22</v>
      </c>
      <c r="I195" s="907" t="s">
        <v>751</v>
      </c>
      <c r="J195" s="908" t="s">
        <v>752</v>
      </c>
      <c r="K195" s="909" t="s">
        <v>753</v>
      </c>
      <c r="L195" s="923">
        <v>885194.88</v>
      </c>
      <c r="M195" s="911">
        <f>+Tabla1[[#This Row],[Valor Facturado]]-Tabla1[[#This Row],[Valor Facturado]]/1.19</f>
        <v>141333.63630252099</v>
      </c>
      <c r="N195" s="924">
        <f t="shared" si="46"/>
        <v>743861.24369747902</v>
      </c>
      <c r="O195" s="913">
        <f t="shared" si="45"/>
        <v>2975</v>
      </c>
      <c r="P195" s="913">
        <f t="shared" si="56"/>
        <v>740886.24369747902</v>
      </c>
      <c r="Q195" s="913"/>
      <c r="R195" s="906"/>
      <c r="S195" s="906"/>
      <c r="T195" s="914"/>
      <c r="U195" s="913">
        <f t="shared" si="47"/>
        <v>740886.24369747902</v>
      </c>
      <c r="V195" s="915"/>
    </row>
    <row r="196" spans="2:22" ht="40.200000000000003" customHeight="1">
      <c r="B196" s="903">
        <v>2025</v>
      </c>
      <c r="C196" s="904" t="str">
        <f t="shared" si="26"/>
        <v>ABR</v>
      </c>
      <c r="D196" s="904">
        <v>45770</v>
      </c>
      <c r="E196" s="905">
        <v>411</v>
      </c>
      <c r="F196" s="906" t="s">
        <v>21</v>
      </c>
      <c r="G196" s="906" t="s">
        <v>107</v>
      </c>
      <c r="H196" s="917" t="s">
        <v>22</v>
      </c>
      <c r="I196" s="907" t="s">
        <v>751</v>
      </c>
      <c r="J196" s="908" t="s">
        <v>754</v>
      </c>
      <c r="K196" s="909" t="s">
        <v>753</v>
      </c>
      <c r="L196" s="923">
        <v>6638961.5999999996</v>
      </c>
      <c r="M196" s="911">
        <f>+Tabla1[[#This Row],[Valor Facturado]]-Tabla1[[#This Row],[Valor Facturado]]/1.19</f>
        <v>1060002.2722689072</v>
      </c>
      <c r="N196" s="924">
        <f t="shared" si="46"/>
        <v>5578959.3277310925</v>
      </c>
      <c r="O196" s="913">
        <f t="shared" si="45"/>
        <v>22316</v>
      </c>
      <c r="P196" s="913">
        <f t="shared" si="56"/>
        <v>5556643.3277310925</v>
      </c>
      <c r="Q196" s="913">
        <f>Tabla1[[#This Row],[Valor a Consignar a la ANI]]</f>
        <v>5556643.3277310925</v>
      </c>
      <c r="R196" s="906">
        <v>2025</v>
      </c>
      <c r="S196" s="906">
        <v>10</v>
      </c>
      <c r="T196" s="914">
        <v>45932</v>
      </c>
      <c r="U196" s="913">
        <f t="shared" si="47"/>
        <v>0</v>
      </c>
      <c r="V196" s="915"/>
    </row>
    <row r="197" spans="2:22" ht="40.200000000000003" customHeight="1">
      <c r="B197" s="903">
        <v>2025</v>
      </c>
      <c r="C197" s="904" t="str">
        <f t="shared" si="26"/>
        <v>ABR</v>
      </c>
      <c r="D197" s="904">
        <v>45770</v>
      </c>
      <c r="E197" s="905">
        <v>412</v>
      </c>
      <c r="F197" s="906" t="s">
        <v>21</v>
      </c>
      <c r="G197" s="906" t="s">
        <v>107</v>
      </c>
      <c r="H197" s="917" t="s">
        <v>22</v>
      </c>
      <c r="I197" s="907" t="s">
        <v>751</v>
      </c>
      <c r="J197" s="908" t="s">
        <v>755</v>
      </c>
      <c r="K197" s="909" t="s">
        <v>753</v>
      </c>
      <c r="L197" s="923">
        <v>6638961.5999999996</v>
      </c>
      <c r="M197" s="911">
        <f>+Tabla1[[#This Row],[Valor Facturado]]-Tabla1[[#This Row],[Valor Facturado]]/1.19</f>
        <v>1060002.2722689072</v>
      </c>
      <c r="N197" s="924">
        <f t="shared" si="46"/>
        <v>5578959.3277310925</v>
      </c>
      <c r="O197" s="913">
        <f t="shared" si="45"/>
        <v>22316</v>
      </c>
      <c r="P197" s="913">
        <f t="shared" si="56"/>
        <v>5556643.3277310925</v>
      </c>
      <c r="Q197" s="913">
        <f>Tabla1[[#This Row],[Valor a Consignar a la ANI]]</f>
        <v>5556643.3277310925</v>
      </c>
      <c r="R197" s="906">
        <v>2025</v>
      </c>
      <c r="S197" s="906">
        <v>10</v>
      </c>
      <c r="T197" s="914">
        <v>45932</v>
      </c>
      <c r="U197" s="913">
        <f t="shared" si="47"/>
        <v>0</v>
      </c>
      <c r="V197" s="915"/>
    </row>
    <row r="198" spans="2:22" ht="40.200000000000003" customHeight="1">
      <c r="B198" s="903">
        <v>2025</v>
      </c>
      <c r="C198" s="904" t="str">
        <f t="shared" si="26"/>
        <v>ABR</v>
      </c>
      <c r="D198" s="904">
        <v>45770</v>
      </c>
      <c r="E198" s="905">
        <v>413</v>
      </c>
      <c r="F198" s="906" t="s">
        <v>21</v>
      </c>
      <c r="G198" s="906" t="s">
        <v>107</v>
      </c>
      <c r="H198" s="917" t="s">
        <v>22</v>
      </c>
      <c r="I198" s="907" t="s">
        <v>751</v>
      </c>
      <c r="J198" s="908" t="s">
        <v>752</v>
      </c>
      <c r="K198" s="909" t="s">
        <v>788</v>
      </c>
      <c r="L198" s="923">
        <v>49936.59</v>
      </c>
      <c r="M198" s="911">
        <f>+Tabla1[[#This Row],[Valor Facturado]]-Tabla1[[#This Row],[Valor Facturado]]/1.19</f>
        <v>7973.0689915966359</v>
      </c>
      <c r="N198" s="924">
        <f t="shared" si="46"/>
        <v>41963.521008403361</v>
      </c>
      <c r="O198" s="913">
        <f t="shared" si="45"/>
        <v>168</v>
      </c>
      <c r="P198" s="913">
        <f t="shared" si="56"/>
        <v>41795.521008403361</v>
      </c>
      <c r="Q198" s="913"/>
      <c r="R198" s="906"/>
      <c r="S198" s="906"/>
      <c r="T198" s="914"/>
      <c r="U198" s="913">
        <f t="shared" si="47"/>
        <v>41795.521008403361</v>
      </c>
      <c r="V198" s="915"/>
    </row>
    <row r="199" spans="2:22" ht="40.200000000000003" customHeight="1">
      <c r="B199" s="903">
        <v>2025</v>
      </c>
      <c r="C199" s="904" t="str">
        <f t="shared" si="26"/>
        <v>ABR</v>
      </c>
      <c r="D199" s="904">
        <v>45770</v>
      </c>
      <c r="E199" s="905">
        <v>414</v>
      </c>
      <c r="F199" s="906" t="s">
        <v>21</v>
      </c>
      <c r="G199" s="906" t="s">
        <v>107</v>
      </c>
      <c r="H199" s="917" t="s">
        <v>22</v>
      </c>
      <c r="I199" s="907" t="s">
        <v>751</v>
      </c>
      <c r="J199" s="908" t="s">
        <v>754</v>
      </c>
      <c r="K199" s="909" t="s">
        <v>788</v>
      </c>
      <c r="L199" s="923">
        <v>374524.42</v>
      </c>
      <c r="M199" s="911">
        <f>+Tabla1[[#This Row],[Valor Facturado]]-Tabla1[[#This Row],[Valor Facturado]]/1.19</f>
        <v>59798.016638655448</v>
      </c>
      <c r="N199" s="924">
        <f t="shared" si="46"/>
        <v>314726.40336134454</v>
      </c>
      <c r="O199" s="913">
        <f t="shared" si="45"/>
        <v>1259</v>
      </c>
      <c r="P199" s="913">
        <f t="shared" si="56"/>
        <v>313467.40336134454</v>
      </c>
      <c r="Q199" s="913">
        <f>Tabla1[[#This Row],[Valor a Consignar a la ANI]]</f>
        <v>313467.40336134454</v>
      </c>
      <c r="R199" s="906">
        <v>2025</v>
      </c>
      <c r="S199" s="906">
        <v>10</v>
      </c>
      <c r="T199" s="914">
        <v>45938</v>
      </c>
      <c r="U199" s="913">
        <f t="shared" si="47"/>
        <v>0</v>
      </c>
      <c r="V199" s="915"/>
    </row>
    <row r="200" spans="2:22" ht="40.200000000000003" customHeight="1">
      <c r="B200" s="903">
        <v>2025</v>
      </c>
      <c r="C200" s="904" t="str">
        <f t="shared" si="26"/>
        <v>ABR</v>
      </c>
      <c r="D200" s="904">
        <v>45770</v>
      </c>
      <c r="E200" s="905">
        <v>415</v>
      </c>
      <c r="F200" s="906" t="s">
        <v>21</v>
      </c>
      <c r="G200" s="906" t="s">
        <v>107</v>
      </c>
      <c r="H200" s="917" t="s">
        <v>22</v>
      </c>
      <c r="I200" s="907" t="s">
        <v>751</v>
      </c>
      <c r="J200" s="908" t="s">
        <v>755</v>
      </c>
      <c r="K200" s="909" t="s">
        <v>788</v>
      </c>
      <c r="L200" s="923">
        <v>374524.42</v>
      </c>
      <c r="M200" s="911">
        <f>+Tabla1[[#This Row],[Valor Facturado]]-Tabla1[[#This Row],[Valor Facturado]]/1.19</f>
        <v>59798.016638655448</v>
      </c>
      <c r="N200" s="924">
        <f t="shared" si="46"/>
        <v>314726.40336134454</v>
      </c>
      <c r="O200" s="913">
        <f t="shared" ref="O200:O225" si="57">ROUND(N200*0.004,0)</f>
        <v>1259</v>
      </c>
      <c r="P200" s="913">
        <f t="shared" si="56"/>
        <v>313467.40336134454</v>
      </c>
      <c r="Q200" s="913">
        <f>Tabla1[[#This Row],[Valor a Consignar a la ANI]]</f>
        <v>313467.40336134454</v>
      </c>
      <c r="R200" s="906">
        <v>2025</v>
      </c>
      <c r="S200" s="906">
        <v>10</v>
      </c>
      <c r="T200" s="914">
        <v>45938</v>
      </c>
      <c r="U200" s="913">
        <f t="shared" si="47"/>
        <v>0</v>
      </c>
      <c r="V200" s="915"/>
    </row>
    <row r="201" spans="2:22" ht="40.200000000000003" customHeight="1">
      <c r="B201" s="903">
        <v>2025</v>
      </c>
      <c r="C201" s="904" t="str">
        <f t="shared" si="26"/>
        <v>ABR</v>
      </c>
      <c r="D201" s="904">
        <v>45770</v>
      </c>
      <c r="E201" s="905">
        <v>416</v>
      </c>
      <c r="F201" s="906" t="s">
        <v>21</v>
      </c>
      <c r="G201" s="906" t="s">
        <v>107</v>
      </c>
      <c r="H201" s="917" t="s">
        <v>22</v>
      </c>
      <c r="I201" s="907" t="s">
        <v>751</v>
      </c>
      <c r="J201" s="908" t="s">
        <v>787</v>
      </c>
      <c r="K201" s="909" t="s">
        <v>753</v>
      </c>
      <c r="L201" s="923">
        <v>6638961.5999999996</v>
      </c>
      <c r="M201" s="911">
        <f>+Tabla1[[#This Row],[Valor Facturado]]-Tabla1[[#This Row],[Valor Facturado]]/1.19</f>
        <v>1060002.2722689072</v>
      </c>
      <c r="N201" s="924">
        <f t="shared" si="46"/>
        <v>5578959.3277310925</v>
      </c>
      <c r="O201" s="913">
        <f t="shared" si="57"/>
        <v>22316</v>
      </c>
      <c r="P201" s="913">
        <f t="shared" si="56"/>
        <v>5556643.3277310925</v>
      </c>
      <c r="Q201" s="913">
        <f>Tabla1[[#This Row],[Valor a Consignar a la ANI]]</f>
        <v>5556643.3277310925</v>
      </c>
      <c r="R201" s="906">
        <v>2025</v>
      </c>
      <c r="S201" s="906">
        <v>10</v>
      </c>
      <c r="T201" s="914">
        <v>45932</v>
      </c>
      <c r="U201" s="913">
        <f t="shared" si="47"/>
        <v>0</v>
      </c>
      <c r="V201" s="915"/>
    </row>
    <row r="202" spans="2:22" ht="40.200000000000003" customHeight="1">
      <c r="B202" s="903">
        <v>2025</v>
      </c>
      <c r="C202" s="904" t="str">
        <f t="shared" si="26"/>
        <v>ABR</v>
      </c>
      <c r="D202" s="904">
        <v>45770</v>
      </c>
      <c r="E202" s="905">
        <v>417</v>
      </c>
      <c r="F202" s="906" t="s">
        <v>21</v>
      </c>
      <c r="G202" s="906" t="s">
        <v>107</v>
      </c>
      <c r="H202" s="917" t="s">
        <v>22</v>
      </c>
      <c r="I202" s="907" t="s">
        <v>751</v>
      </c>
      <c r="J202" s="908" t="s">
        <v>787</v>
      </c>
      <c r="K202" s="909" t="s">
        <v>788</v>
      </c>
      <c r="L202" s="923">
        <v>374524.42</v>
      </c>
      <c r="M202" s="911">
        <f>+Tabla1[[#This Row],[Valor Facturado]]-Tabla1[[#This Row],[Valor Facturado]]/1.19</f>
        <v>59798.016638655448</v>
      </c>
      <c r="N202" s="924">
        <f t="shared" si="46"/>
        <v>314726.40336134454</v>
      </c>
      <c r="O202" s="913">
        <f t="shared" si="57"/>
        <v>1259</v>
      </c>
      <c r="P202" s="913">
        <f t="shared" si="56"/>
        <v>313467.40336134454</v>
      </c>
      <c r="Q202" s="913"/>
      <c r="R202" s="906"/>
      <c r="S202" s="906"/>
      <c r="T202" s="914"/>
      <c r="U202" s="913">
        <f t="shared" si="47"/>
        <v>313467.40336134454</v>
      </c>
      <c r="V202" s="915"/>
    </row>
    <row r="203" spans="2:22" ht="40.200000000000003" customHeight="1">
      <c r="B203" s="933">
        <v>2025</v>
      </c>
      <c r="C203" s="934" t="str">
        <f t="shared" si="26"/>
        <v>MAY</v>
      </c>
      <c r="D203" s="934">
        <v>45791</v>
      </c>
      <c r="E203" s="935">
        <v>424</v>
      </c>
      <c r="F203" s="935" t="s">
        <v>21</v>
      </c>
      <c r="G203" s="935" t="s">
        <v>107</v>
      </c>
      <c r="H203" s="946" t="s">
        <v>22</v>
      </c>
      <c r="I203" s="947" t="s">
        <v>35</v>
      </c>
      <c r="J203" s="948" t="s">
        <v>810</v>
      </c>
      <c r="K203" s="949" t="s">
        <v>109</v>
      </c>
      <c r="L203" s="950">
        <v>5819710.7800000003</v>
      </c>
      <c r="M203" s="951">
        <f>+Tabla1[[#This Row],[Valor Facturado]]-Tabla1[[#This Row],[Valor Facturado]]/1.19</f>
        <v>929197.51949579827</v>
      </c>
      <c r="N203" s="952">
        <f t="shared" si="46"/>
        <v>4890513.260504202</v>
      </c>
      <c r="O203" s="943">
        <f t="shared" si="57"/>
        <v>19562</v>
      </c>
      <c r="P203" s="943">
        <f t="shared" si="56"/>
        <v>4870951.260504202</v>
      </c>
      <c r="Q203" s="943">
        <f>Tabla1[[#This Row],[Valor a Consignar a la ANI]]</f>
        <v>4870951.260504202</v>
      </c>
      <c r="R203" s="935">
        <v>2025</v>
      </c>
      <c r="S203" s="935">
        <v>10</v>
      </c>
      <c r="T203" s="944">
        <v>45932</v>
      </c>
      <c r="U203" s="943">
        <f t="shared" si="47"/>
        <v>0</v>
      </c>
      <c r="V203" s="945"/>
    </row>
    <row r="204" spans="2:22" ht="40.200000000000003" customHeight="1">
      <c r="B204" s="933">
        <v>2025</v>
      </c>
      <c r="C204" s="934" t="str">
        <f t="shared" ref="C204:C225" si="58">UPPER(TEXT(D204,"MMM"))</f>
        <v>MAY</v>
      </c>
      <c r="D204" s="934">
        <v>45791</v>
      </c>
      <c r="E204" s="935">
        <v>425</v>
      </c>
      <c r="F204" s="935" t="s">
        <v>21</v>
      </c>
      <c r="G204" s="935" t="s">
        <v>107</v>
      </c>
      <c r="H204" s="946" t="s">
        <v>22</v>
      </c>
      <c r="I204" s="947" t="s">
        <v>35</v>
      </c>
      <c r="J204" s="948" t="s">
        <v>810</v>
      </c>
      <c r="K204" s="949" t="s">
        <v>108</v>
      </c>
      <c r="L204" s="950">
        <v>5201728</v>
      </c>
      <c r="M204" s="951">
        <f>+Tabla1[[#This Row],[Valor Facturado]]-Tabla1[[#This Row],[Valor Facturado]]/1.19</f>
        <v>830528</v>
      </c>
      <c r="N204" s="952">
        <f t="shared" si="46"/>
        <v>4371200</v>
      </c>
      <c r="O204" s="943">
        <f t="shared" si="57"/>
        <v>17485</v>
      </c>
      <c r="P204" s="943">
        <f t="shared" si="56"/>
        <v>4353715</v>
      </c>
      <c r="Q204" s="943">
        <f>Tabla1[[#This Row],[Valor a Consignar a la ANI]]</f>
        <v>4353715</v>
      </c>
      <c r="R204" s="935">
        <v>2025</v>
      </c>
      <c r="S204" s="935">
        <v>10</v>
      </c>
      <c r="T204" s="944">
        <v>45961</v>
      </c>
      <c r="U204" s="943">
        <f t="shared" si="47"/>
        <v>0</v>
      </c>
      <c r="V204" s="945"/>
    </row>
    <row r="205" spans="2:22" ht="40.200000000000003" customHeight="1">
      <c r="B205" s="933">
        <v>2025</v>
      </c>
      <c r="C205" s="934" t="str">
        <f t="shared" si="58"/>
        <v>MAY</v>
      </c>
      <c r="D205" s="934">
        <v>45791</v>
      </c>
      <c r="E205" s="935">
        <v>426</v>
      </c>
      <c r="F205" s="935" t="s">
        <v>21</v>
      </c>
      <c r="G205" s="935" t="s">
        <v>107</v>
      </c>
      <c r="H205" s="946" t="s">
        <v>22</v>
      </c>
      <c r="I205" s="947" t="s">
        <v>35</v>
      </c>
      <c r="J205" s="948" t="s">
        <v>810</v>
      </c>
      <c r="K205" s="949" t="s">
        <v>38</v>
      </c>
      <c r="L205" s="950">
        <v>3251099.81</v>
      </c>
      <c r="M205" s="951">
        <f>+Tabla1[[#This Row],[Valor Facturado]]-Tabla1[[#This Row],[Valor Facturado]]/1.19</f>
        <v>519083.16294117644</v>
      </c>
      <c r="N205" s="952">
        <f t="shared" si="46"/>
        <v>2732016.6470588236</v>
      </c>
      <c r="O205" s="943">
        <f t="shared" si="57"/>
        <v>10928</v>
      </c>
      <c r="P205" s="943">
        <f t="shared" si="56"/>
        <v>2721088.6470588236</v>
      </c>
      <c r="Q205" s="943"/>
      <c r="R205" s="935"/>
      <c r="S205" s="935"/>
      <c r="T205" s="944"/>
      <c r="U205" s="943">
        <f t="shared" si="47"/>
        <v>2721088.6470588236</v>
      </c>
      <c r="V205" s="945"/>
    </row>
    <row r="206" spans="2:22" ht="40.200000000000003" customHeight="1">
      <c r="B206" s="933">
        <v>2026</v>
      </c>
      <c r="C206" s="934" t="str">
        <f t="shared" ref="C206" si="59">UPPER(TEXT(D206,"MMM"))</f>
        <v>MAY</v>
      </c>
      <c r="D206" s="934">
        <v>45791</v>
      </c>
      <c r="E206" s="935">
        <v>426</v>
      </c>
      <c r="F206" s="935" t="s">
        <v>21</v>
      </c>
      <c r="G206" s="935" t="s">
        <v>107</v>
      </c>
      <c r="H206" s="946" t="s">
        <v>22</v>
      </c>
      <c r="I206" s="947" t="s">
        <v>35</v>
      </c>
      <c r="J206" s="948" t="s">
        <v>810</v>
      </c>
      <c r="K206" s="949" t="s">
        <v>779</v>
      </c>
      <c r="L206" s="954"/>
      <c r="M206" s="955"/>
      <c r="N206" s="955">
        <f>+L206-M206</f>
        <v>0</v>
      </c>
      <c r="O206" s="943">
        <f>ROUND(N206*0.004,0)</f>
        <v>0</v>
      </c>
      <c r="P206" s="943">
        <f>N206-O206</f>
        <v>0</v>
      </c>
      <c r="Q206" s="943">
        <v>2705595.2601400404</v>
      </c>
      <c r="R206" s="935">
        <v>2025</v>
      </c>
      <c r="S206" s="935">
        <v>10</v>
      </c>
      <c r="T206" s="944">
        <v>45932</v>
      </c>
      <c r="U206" s="943">
        <f>P206-Q206</f>
        <v>-2705595.2601400404</v>
      </c>
      <c r="V206" s="945"/>
    </row>
    <row r="207" spans="2:22" ht="40.200000000000003" customHeight="1">
      <c r="B207" s="933">
        <v>2026</v>
      </c>
      <c r="C207" s="934" t="str">
        <f t="shared" ref="C207" si="60">UPPER(TEXT(D207,"MMM"))</f>
        <v>MAY</v>
      </c>
      <c r="D207" s="934">
        <v>45791</v>
      </c>
      <c r="E207" s="935">
        <v>426</v>
      </c>
      <c r="F207" s="935" t="s">
        <v>21</v>
      </c>
      <c r="G207" s="935" t="s">
        <v>107</v>
      </c>
      <c r="H207" s="946" t="s">
        <v>22</v>
      </c>
      <c r="I207" s="947" t="s">
        <v>35</v>
      </c>
      <c r="J207" s="948" t="s">
        <v>810</v>
      </c>
      <c r="K207" s="949" t="s">
        <v>779</v>
      </c>
      <c r="L207" s="954"/>
      <c r="M207" s="955"/>
      <c r="N207" s="955">
        <f>+L207-M207</f>
        <v>0</v>
      </c>
      <c r="O207" s="943">
        <f>ROUND(N207*0.004,0)</f>
        <v>0</v>
      </c>
      <c r="P207" s="943">
        <f>N207-O207</f>
        <v>0</v>
      </c>
      <c r="Q207" s="943">
        <v>15493.386918783188</v>
      </c>
      <c r="R207" s="935">
        <v>2025</v>
      </c>
      <c r="S207" s="935">
        <v>10</v>
      </c>
      <c r="T207" s="944">
        <v>45938</v>
      </c>
      <c r="U207" s="943">
        <f>P207-Q207</f>
        <v>-15493.386918783188</v>
      </c>
      <c r="V207" s="945"/>
    </row>
    <row r="208" spans="2:22" ht="40.200000000000003" customHeight="1">
      <c r="B208" s="933">
        <v>2025</v>
      </c>
      <c r="C208" s="934" t="str">
        <f t="shared" si="58"/>
        <v>MAY</v>
      </c>
      <c r="D208" s="934">
        <v>45791</v>
      </c>
      <c r="E208" s="935">
        <v>427</v>
      </c>
      <c r="F208" s="936" t="s">
        <v>21</v>
      </c>
      <c r="G208" s="936" t="s">
        <v>107</v>
      </c>
      <c r="H208" s="936" t="s">
        <v>22</v>
      </c>
      <c r="I208" s="937" t="s">
        <v>32</v>
      </c>
      <c r="J208" s="938" t="s">
        <v>810</v>
      </c>
      <c r="K208" s="939" t="s">
        <v>97</v>
      </c>
      <c r="L208" s="940">
        <v>30898658.640000001</v>
      </c>
      <c r="M208" s="941">
        <f>+Tabla1[[#This Row],[Valor Facturado]]-Tabla1[[#This Row],[Valor Facturado]]/1.19</f>
        <v>4933399.278655462</v>
      </c>
      <c r="N208" s="941">
        <f t="shared" si="46"/>
        <v>25965259.361344539</v>
      </c>
      <c r="O208" s="942">
        <f t="shared" si="57"/>
        <v>103861</v>
      </c>
      <c r="P208" s="942">
        <f t="shared" si="56"/>
        <v>25861398.361344539</v>
      </c>
      <c r="Q208" s="943">
        <f>Tabla1[[#This Row],[Valor a Consignar a la ANI]]</f>
        <v>25861398.361344539</v>
      </c>
      <c r="R208" s="935">
        <v>2025</v>
      </c>
      <c r="S208" s="935">
        <v>10</v>
      </c>
      <c r="T208" s="944">
        <v>45938</v>
      </c>
      <c r="U208" s="943">
        <f t="shared" si="47"/>
        <v>0</v>
      </c>
      <c r="V208" s="945"/>
    </row>
    <row r="209" spans="2:22" ht="69.599999999999994" customHeight="1">
      <c r="B209" s="933">
        <v>2025</v>
      </c>
      <c r="C209" s="934" t="str">
        <f t="shared" si="58"/>
        <v>MAY</v>
      </c>
      <c r="D209" s="934">
        <v>45791</v>
      </c>
      <c r="E209" s="935">
        <v>428</v>
      </c>
      <c r="F209" s="935" t="s">
        <v>21</v>
      </c>
      <c r="G209" s="935" t="s">
        <v>107</v>
      </c>
      <c r="H209" s="946" t="s">
        <v>22</v>
      </c>
      <c r="I209" s="947" t="s">
        <v>110</v>
      </c>
      <c r="J209" s="938" t="s">
        <v>810</v>
      </c>
      <c r="K209" s="949" t="s">
        <v>111</v>
      </c>
      <c r="L209" s="950">
        <v>42282998.127999999</v>
      </c>
      <c r="M209" s="951">
        <f>+Tabla1[[#This Row],[Valor Facturado]]-Tabla1[[#This Row],[Valor Facturado]]/1.19</f>
        <v>6751066.9279999956</v>
      </c>
      <c r="N209" s="952">
        <f t="shared" si="46"/>
        <v>35531931.200000003</v>
      </c>
      <c r="O209" s="943">
        <f t="shared" si="57"/>
        <v>142128</v>
      </c>
      <c r="P209" s="943">
        <f t="shared" si="56"/>
        <v>35389803.200000003</v>
      </c>
      <c r="Q209" s="943">
        <f>Tabla1[[#This Row],[Valor a Consignar a la ANI]]</f>
        <v>35389803.200000003</v>
      </c>
      <c r="R209" s="935">
        <v>2025</v>
      </c>
      <c r="S209" s="935">
        <v>10</v>
      </c>
      <c r="T209" s="944">
        <v>45938</v>
      </c>
      <c r="U209" s="943">
        <f t="shared" si="47"/>
        <v>0</v>
      </c>
      <c r="V209" s="945"/>
    </row>
    <row r="210" spans="2:22" ht="40.200000000000003" customHeight="1">
      <c r="B210" s="933">
        <v>2025</v>
      </c>
      <c r="C210" s="934" t="str">
        <f t="shared" si="58"/>
        <v>MAY</v>
      </c>
      <c r="D210" s="934">
        <v>45806</v>
      </c>
      <c r="E210" s="935">
        <v>437</v>
      </c>
      <c r="F210" s="935" t="s">
        <v>21</v>
      </c>
      <c r="G210" s="935" t="s">
        <v>107</v>
      </c>
      <c r="H210" s="953" t="s">
        <v>22</v>
      </c>
      <c r="I210" s="947" t="s">
        <v>751</v>
      </c>
      <c r="J210" s="938" t="s">
        <v>810</v>
      </c>
      <c r="K210" s="949" t="s">
        <v>753</v>
      </c>
      <c r="L210" s="954">
        <v>6638961.5999999996</v>
      </c>
      <c r="M210" s="951">
        <f>+Tabla1[[#This Row],[Valor Facturado]]-Tabla1[[#This Row],[Valor Facturado]]/1.19</f>
        <v>1060002.2722689072</v>
      </c>
      <c r="N210" s="955">
        <f t="shared" ref="N210:N225" si="61">+L210-M210</f>
        <v>5578959.3277310925</v>
      </c>
      <c r="O210" s="943">
        <f t="shared" si="57"/>
        <v>22316</v>
      </c>
      <c r="P210" s="943">
        <f t="shared" si="56"/>
        <v>5556643.3277310925</v>
      </c>
      <c r="Q210" s="943"/>
      <c r="R210" s="935"/>
      <c r="S210" s="935"/>
      <c r="T210" s="944"/>
      <c r="U210" s="943">
        <f t="shared" ref="U210:U225" si="62">P210-Q210</f>
        <v>5556643.3277310925</v>
      </c>
      <c r="V210" s="945"/>
    </row>
    <row r="211" spans="2:22" ht="40.200000000000003" customHeight="1">
      <c r="B211" s="933">
        <v>2025</v>
      </c>
      <c r="C211" s="934" t="str">
        <f t="shared" si="58"/>
        <v>MAY</v>
      </c>
      <c r="D211" s="934">
        <v>45806</v>
      </c>
      <c r="E211" s="935">
        <v>438</v>
      </c>
      <c r="F211" s="935" t="s">
        <v>21</v>
      </c>
      <c r="G211" s="935" t="s">
        <v>107</v>
      </c>
      <c r="H211" s="953" t="s">
        <v>22</v>
      </c>
      <c r="I211" s="947" t="s">
        <v>751</v>
      </c>
      <c r="J211" s="938" t="s">
        <v>810</v>
      </c>
      <c r="K211" s="949" t="s">
        <v>788</v>
      </c>
      <c r="L211" s="954">
        <v>374524.42</v>
      </c>
      <c r="M211" s="951">
        <f>+Tabla1[[#This Row],[Valor Facturado]]-Tabla1[[#This Row],[Valor Facturado]]/1.19</f>
        <v>59798.016638655448</v>
      </c>
      <c r="N211" s="955">
        <f t="shared" si="61"/>
        <v>314726.40336134454</v>
      </c>
      <c r="O211" s="943">
        <f t="shared" si="57"/>
        <v>1259</v>
      </c>
      <c r="P211" s="943">
        <f t="shared" si="56"/>
        <v>313467.40336134454</v>
      </c>
      <c r="Q211" s="943"/>
      <c r="R211" s="935"/>
      <c r="S211" s="935"/>
      <c r="T211" s="944"/>
      <c r="U211" s="943">
        <f t="shared" si="62"/>
        <v>313467.40336134454</v>
      </c>
      <c r="V211" s="945"/>
    </row>
    <row r="212" spans="2:22" ht="40.200000000000003" customHeight="1">
      <c r="B212" s="933">
        <v>2025</v>
      </c>
      <c r="C212" s="964" t="str">
        <f t="shared" si="58"/>
        <v>MAY</v>
      </c>
      <c r="D212" s="964">
        <v>45793</v>
      </c>
      <c r="E212" s="946" t="s">
        <v>831</v>
      </c>
      <c r="F212" s="935">
        <v>75</v>
      </c>
      <c r="G212" s="946">
        <v>417</v>
      </c>
      <c r="H212" s="953" t="s">
        <v>22</v>
      </c>
      <c r="I212" s="947" t="s">
        <v>751</v>
      </c>
      <c r="J212" s="948" t="s">
        <v>787</v>
      </c>
      <c r="K212" s="949" t="s">
        <v>788</v>
      </c>
      <c r="L212" s="954">
        <v>-374524.42</v>
      </c>
      <c r="M212" s="951">
        <f>+Tabla1[[#This Row],[Valor Facturado]]-Tabla1[[#This Row],[Valor Facturado]]/1.19</f>
        <v>-59798.016638655448</v>
      </c>
      <c r="N212" s="955">
        <f t="shared" si="61"/>
        <v>-314726.40336134454</v>
      </c>
      <c r="O212" s="943">
        <f t="shared" si="57"/>
        <v>-1259</v>
      </c>
      <c r="P212" s="943">
        <f t="shared" si="56"/>
        <v>-313467.40336134454</v>
      </c>
      <c r="Q212" s="943"/>
      <c r="R212" s="935"/>
      <c r="S212" s="935"/>
      <c r="T212" s="944"/>
      <c r="U212" s="943">
        <f t="shared" si="62"/>
        <v>-313467.40336134454</v>
      </c>
      <c r="V212" s="945" t="s">
        <v>844</v>
      </c>
    </row>
    <row r="213" spans="2:22" ht="40.200000000000003" customHeight="1">
      <c r="B213" s="933">
        <v>2025</v>
      </c>
      <c r="C213" s="964" t="str">
        <f t="shared" si="58"/>
        <v>MAY</v>
      </c>
      <c r="D213" s="934">
        <v>45808</v>
      </c>
      <c r="E213" s="946">
        <v>442</v>
      </c>
      <c r="F213" s="935" t="s">
        <v>21</v>
      </c>
      <c r="G213" s="935" t="s">
        <v>107</v>
      </c>
      <c r="H213" s="953" t="s">
        <v>22</v>
      </c>
      <c r="I213" s="947" t="s">
        <v>751</v>
      </c>
      <c r="J213" s="948" t="s">
        <v>787</v>
      </c>
      <c r="K213" s="949" t="s">
        <v>788</v>
      </c>
      <c r="L213" s="954">
        <v>374524.42</v>
      </c>
      <c r="M213" s="951">
        <f>+Tabla1[[#This Row],[Valor Facturado]]-Tabla1[[#This Row],[Valor Facturado]]/1.19</f>
        <v>59798.016638655448</v>
      </c>
      <c r="N213" s="955">
        <f t="shared" si="61"/>
        <v>314726.40336134454</v>
      </c>
      <c r="O213" s="943">
        <f t="shared" si="57"/>
        <v>1259</v>
      </c>
      <c r="P213" s="943">
        <f t="shared" si="56"/>
        <v>313467.40336134454</v>
      </c>
      <c r="Q213" s="943"/>
      <c r="R213" s="935"/>
      <c r="S213" s="935"/>
      <c r="T213" s="944"/>
      <c r="U213" s="943">
        <f t="shared" si="62"/>
        <v>313467.40336134454</v>
      </c>
      <c r="V213" s="945"/>
    </row>
    <row r="214" spans="2:22" ht="40.200000000000003" customHeight="1">
      <c r="B214" s="972">
        <v>2025</v>
      </c>
      <c r="C214" s="806" t="str">
        <f t="shared" si="58"/>
        <v>JUN</v>
      </c>
      <c r="D214" s="806">
        <v>45829</v>
      </c>
      <c r="E214" s="251">
        <v>451</v>
      </c>
      <c r="F214" s="251" t="s">
        <v>21</v>
      </c>
      <c r="G214" s="251" t="s">
        <v>107</v>
      </c>
      <c r="H214" s="253" t="s">
        <v>22</v>
      </c>
      <c r="I214" s="254" t="s">
        <v>35</v>
      </c>
      <c r="J214" s="255" t="s">
        <v>835</v>
      </c>
      <c r="K214" s="838" t="s">
        <v>109</v>
      </c>
      <c r="L214" s="839">
        <v>5819710.7800000003</v>
      </c>
      <c r="M214" s="837">
        <f>+Tabla1[[#This Row],[Valor Facturado]]-Tabla1[[#This Row],[Valor Facturado]]/1.19</f>
        <v>929197.51949579827</v>
      </c>
      <c r="N214" s="840">
        <f t="shared" si="61"/>
        <v>4890513.260504202</v>
      </c>
      <c r="O214" s="259">
        <f t="shared" si="57"/>
        <v>19562</v>
      </c>
      <c r="P214" s="259">
        <f t="shared" si="56"/>
        <v>4870951.260504202</v>
      </c>
      <c r="Q214" s="259"/>
      <c r="R214" s="251"/>
      <c r="S214" s="251"/>
      <c r="T214" s="260"/>
      <c r="U214" s="259">
        <f t="shared" si="62"/>
        <v>4870951.260504202</v>
      </c>
      <c r="V214" s="811"/>
    </row>
    <row r="215" spans="2:22" ht="40.200000000000003" customHeight="1">
      <c r="B215" s="972">
        <v>2025</v>
      </c>
      <c r="C215" s="806" t="str">
        <f t="shared" si="58"/>
        <v>JUN</v>
      </c>
      <c r="D215" s="806">
        <v>45829</v>
      </c>
      <c r="E215" s="251">
        <v>450</v>
      </c>
      <c r="F215" s="251" t="s">
        <v>21</v>
      </c>
      <c r="G215" s="251" t="s">
        <v>107</v>
      </c>
      <c r="H215" s="253" t="s">
        <v>22</v>
      </c>
      <c r="I215" s="254" t="s">
        <v>35</v>
      </c>
      <c r="J215" s="255" t="s">
        <v>835</v>
      </c>
      <c r="K215" s="838" t="s">
        <v>108</v>
      </c>
      <c r="L215" s="839">
        <v>5201728</v>
      </c>
      <c r="M215" s="837">
        <f>+Tabla1[[#This Row],[Valor Facturado]]-Tabla1[[#This Row],[Valor Facturado]]/1.19</f>
        <v>830528</v>
      </c>
      <c r="N215" s="840">
        <f t="shared" si="61"/>
        <v>4371200</v>
      </c>
      <c r="O215" s="259">
        <f t="shared" si="57"/>
        <v>17485</v>
      </c>
      <c r="P215" s="259">
        <f t="shared" si="56"/>
        <v>4353715</v>
      </c>
      <c r="Q215" s="259"/>
      <c r="R215" s="251"/>
      <c r="S215" s="251"/>
      <c r="T215" s="260"/>
      <c r="U215" s="259">
        <f t="shared" si="62"/>
        <v>4353715</v>
      </c>
      <c r="V215" s="811"/>
    </row>
    <row r="216" spans="2:22" ht="40.200000000000003" customHeight="1">
      <c r="B216" s="972">
        <v>2025</v>
      </c>
      <c r="C216" s="806" t="str">
        <f t="shared" ref="C216:C217" si="63">UPPER(TEXT(D216,"MMM"))</f>
        <v>JUN</v>
      </c>
      <c r="D216" s="806">
        <v>45829</v>
      </c>
      <c r="E216" s="251">
        <v>450</v>
      </c>
      <c r="F216" s="251" t="s">
        <v>21</v>
      </c>
      <c r="G216" s="251" t="s">
        <v>107</v>
      </c>
      <c r="H216" s="253" t="s">
        <v>22</v>
      </c>
      <c r="I216" s="254" t="s">
        <v>35</v>
      </c>
      <c r="J216" s="255" t="s">
        <v>835</v>
      </c>
      <c r="K216" s="838" t="s">
        <v>108</v>
      </c>
      <c r="L216" s="257"/>
      <c r="M216" s="258"/>
      <c r="N216" s="258">
        <f>+L216-M216</f>
        <v>0</v>
      </c>
      <c r="O216" s="259">
        <f>ROUND(N216*0.004,0)</f>
        <v>0</v>
      </c>
      <c r="P216" s="259">
        <f>N216-O216</f>
        <v>0</v>
      </c>
      <c r="Q216" s="259">
        <v>3118253.6300514936</v>
      </c>
      <c r="R216" s="251">
        <v>2025</v>
      </c>
      <c r="S216" s="251">
        <v>10</v>
      </c>
      <c r="T216" s="260">
        <v>45938</v>
      </c>
      <c r="U216" s="259">
        <f>P216-Q216</f>
        <v>-3118253.6300514936</v>
      </c>
      <c r="V216" s="811"/>
    </row>
    <row r="217" spans="2:22" ht="40.200000000000003" customHeight="1">
      <c r="B217" s="972">
        <v>2025</v>
      </c>
      <c r="C217" s="806" t="str">
        <f t="shared" si="63"/>
        <v>JUN</v>
      </c>
      <c r="D217" s="806">
        <v>45829</v>
      </c>
      <c r="E217" s="251">
        <v>450</v>
      </c>
      <c r="F217" s="251" t="s">
        <v>21</v>
      </c>
      <c r="G217" s="251" t="s">
        <v>107</v>
      </c>
      <c r="H217" s="253" t="s">
        <v>22</v>
      </c>
      <c r="I217" s="254" t="s">
        <v>35</v>
      </c>
      <c r="J217" s="255" t="s">
        <v>835</v>
      </c>
      <c r="K217" s="838" t="s">
        <v>108</v>
      </c>
      <c r="L217" s="257"/>
      <c r="M217" s="258"/>
      <c r="N217" s="258">
        <f>+L217-M217</f>
        <v>0</v>
      </c>
      <c r="O217" s="259">
        <f>ROUND(N217*0.004,0)</f>
        <v>0</v>
      </c>
      <c r="P217" s="259">
        <f>N217-O217</f>
        <v>0</v>
      </c>
      <c r="Q217" s="259">
        <v>1235461.3699485101</v>
      </c>
      <c r="R217" s="251">
        <v>2025</v>
      </c>
      <c r="S217" s="251">
        <v>10</v>
      </c>
      <c r="T217" s="260">
        <v>45961</v>
      </c>
      <c r="U217" s="259">
        <f>P217-Q217</f>
        <v>-1235461.3699485101</v>
      </c>
      <c r="V217" s="811"/>
    </row>
    <row r="218" spans="2:22" ht="40.200000000000003" customHeight="1">
      <c r="B218" s="972">
        <v>2025</v>
      </c>
      <c r="C218" s="806" t="str">
        <f t="shared" si="58"/>
        <v>JUN</v>
      </c>
      <c r="D218" s="806">
        <v>45829</v>
      </c>
      <c r="E218" s="251">
        <v>449</v>
      </c>
      <c r="F218" s="251" t="s">
        <v>21</v>
      </c>
      <c r="G218" s="251" t="s">
        <v>107</v>
      </c>
      <c r="H218" s="253" t="s">
        <v>22</v>
      </c>
      <c r="I218" s="254" t="s">
        <v>35</v>
      </c>
      <c r="J218" s="255" t="s">
        <v>835</v>
      </c>
      <c r="K218" s="838" t="s">
        <v>38</v>
      </c>
      <c r="L218" s="839">
        <v>3251099.81</v>
      </c>
      <c r="M218" s="837">
        <f>+Tabla1[[#This Row],[Valor Facturado]]-Tabla1[[#This Row],[Valor Facturado]]/1.19</f>
        <v>519083.16294117644</v>
      </c>
      <c r="N218" s="840">
        <f t="shared" si="61"/>
        <v>2732016.6470588236</v>
      </c>
      <c r="O218" s="259">
        <f t="shared" si="57"/>
        <v>10928</v>
      </c>
      <c r="P218" s="259">
        <f t="shared" si="56"/>
        <v>2721088.6470588236</v>
      </c>
      <c r="Q218" s="259"/>
      <c r="R218" s="251"/>
      <c r="S218" s="251"/>
      <c r="T218" s="260"/>
      <c r="U218" s="259">
        <f t="shared" si="62"/>
        <v>2721088.6470588236</v>
      </c>
      <c r="V218" s="811"/>
    </row>
    <row r="219" spans="2:22" ht="40.200000000000003" customHeight="1">
      <c r="B219" s="972">
        <v>2025</v>
      </c>
      <c r="C219" s="806" t="str">
        <f t="shared" si="58"/>
        <v>JUN</v>
      </c>
      <c r="D219" s="806">
        <v>45829</v>
      </c>
      <c r="E219" s="251">
        <v>453</v>
      </c>
      <c r="F219" s="807" t="s">
        <v>21</v>
      </c>
      <c r="G219" s="807" t="s">
        <v>107</v>
      </c>
      <c r="H219" s="807" t="s">
        <v>22</v>
      </c>
      <c r="I219" s="968" t="s">
        <v>32</v>
      </c>
      <c r="J219" s="255" t="s">
        <v>835</v>
      </c>
      <c r="K219" s="835" t="s">
        <v>97</v>
      </c>
      <c r="L219" s="970">
        <v>30898658.640000001</v>
      </c>
      <c r="M219" s="971">
        <f>+Tabla1[[#This Row],[Valor Facturado]]-Tabla1[[#This Row],[Valor Facturado]]/1.19</f>
        <v>4933399.278655462</v>
      </c>
      <c r="N219" s="971">
        <f t="shared" si="61"/>
        <v>25965259.361344539</v>
      </c>
      <c r="O219" s="810">
        <f t="shared" si="57"/>
        <v>103861</v>
      </c>
      <c r="P219" s="810">
        <f t="shared" si="56"/>
        <v>25861398.361344539</v>
      </c>
      <c r="Q219" s="259">
        <f>Tabla1[[#This Row],[Valor a Consignar a la ANI]]</f>
        <v>25861398.361344539</v>
      </c>
      <c r="R219" s="251">
        <v>2025</v>
      </c>
      <c r="S219" s="251">
        <v>10</v>
      </c>
      <c r="T219" s="260">
        <v>45938</v>
      </c>
      <c r="U219" s="259">
        <f t="shared" si="62"/>
        <v>0</v>
      </c>
      <c r="V219" s="811"/>
    </row>
    <row r="220" spans="2:22" ht="73.8" customHeight="1">
      <c r="B220" s="972">
        <v>2025</v>
      </c>
      <c r="C220" s="806" t="str">
        <f t="shared" si="58"/>
        <v>JUN</v>
      </c>
      <c r="D220" s="806">
        <v>45829</v>
      </c>
      <c r="E220" s="251">
        <v>452</v>
      </c>
      <c r="F220" s="251" t="s">
        <v>21</v>
      </c>
      <c r="G220" s="251" t="s">
        <v>107</v>
      </c>
      <c r="H220" s="253" t="s">
        <v>22</v>
      </c>
      <c r="I220" s="254" t="s">
        <v>110</v>
      </c>
      <c r="J220" s="255" t="s">
        <v>835</v>
      </c>
      <c r="K220" s="838" t="s">
        <v>111</v>
      </c>
      <c r="L220" s="839">
        <v>42282998.127999999</v>
      </c>
      <c r="M220" s="837">
        <f>+Tabla1[[#This Row],[Valor Facturado]]-Tabla1[[#This Row],[Valor Facturado]]/1.19</f>
        <v>6751066.9279999956</v>
      </c>
      <c r="N220" s="840">
        <f t="shared" si="61"/>
        <v>35531931.200000003</v>
      </c>
      <c r="O220" s="259">
        <f t="shared" si="57"/>
        <v>142128</v>
      </c>
      <c r="P220" s="259">
        <f t="shared" si="56"/>
        <v>35389803.200000003</v>
      </c>
      <c r="Q220" s="259">
        <f>Tabla1[[#This Row],[Valor a Consignar a la ANI]]</f>
        <v>35389803.200000003</v>
      </c>
      <c r="R220" s="251">
        <v>2025</v>
      </c>
      <c r="S220" s="251">
        <v>10</v>
      </c>
      <c r="T220" s="260">
        <v>45961</v>
      </c>
      <c r="U220" s="259">
        <f t="shared" si="62"/>
        <v>0</v>
      </c>
      <c r="V220" s="811"/>
    </row>
    <row r="221" spans="2:22" ht="55.8" customHeight="1">
      <c r="B221" s="972">
        <v>2025</v>
      </c>
      <c r="C221" s="806" t="str">
        <f t="shared" si="58"/>
        <v>JUN</v>
      </c>
      <c r="D221" s="806">
        <v>45835</v>
      </c>
      <c r="E221" s="253">
        <v>456</v>
      </c>
      <c r="F221" s="251" t="s">
        <v>21</v>
      </c>
      <c r="G221" s="251" t="s">
        <v>107</v>
      </c>
      <c r="H221" s="808" t="s">
        <v>22</v>
      </c>
      <c r="I221" s="254" t="s">
        <v>751</v>
      </c>
      <c r="J221" s="969" t="s">
        <v>835</v>
      </c>
      <c r="K221" s="838" t="s">
        <v>788</v>
      </c>
      <c r="L221" s="257">
        <v>374524.42</v>
      </c>
      <c r="M221" s="837">
        <f>+Tabla1[[#This Row],[Valor Facturado]]-Tabla1[[#This Row],[Valor Facturado]]/1.19</f>
        <v>59798.016638655448</v>
      </c>
      <c r="N221" s="258">
        <f t="shared" si="61"/>
        <v>314726.40336134454</v>
      </c>
      <c r="O221" s="259">
        <f t="shared" si="57"/>
        <v>1259</v>
      </c>
      <c r="P221" s="259">
        <f t="shared" si="56"/>
        <v>313467.40336134454</v>
      </c>
      <c r="Q221" s="259"/>
      <c r="R221" s="251"/>
      <c r="S221" s="251"/>
      <c r="T221" s="260"/>
      <c r="U221" s="259">
        <f t="shared" si="62"/>
        <v>313467.40336134454</v>
      </c>
      <c r="V221" s="811"/>
    </row>
    <row r="222" spans="2:22" ht="55.8" customHeight="1">
      <c r="B222" s="972">
        <v>2025</v>
      </c>
      <c r="C222" s="806" t="str">
        <f t="shared" si="58"/>
        <v>JUN</v>
      </c>
      <c r="D222" s="806">
        <v>45834</v>
      </c>
      <c r="E222" s="253" t="s">
        <v>837</v>
      </c>
      <c r="F222" s="251">
        <v>81</v>
      </c>
      <c r="G222" s="253">
        <v>437</v>
      </c>
      <c r="H222" s="808" t="s">
        <v>22</v>
      </c>
      <c r="I222" s="254" t="s">
        <v>751</v>
      </c>
      <c r="J222" s="255" t="s">
        <v>836</v>
      </c>
      <c r="K222" s="838" t="s">
        <v>753</v>
      </c>
      <c r="L222" s="257">
        <v>-6638961.5999999996</v>
      </c>
      <c r="M222" s="837">
        <f>+Tabla1[[#This Row],[Valor Facturado]]-Tabla1[[#This Row],[Valor Facturado]]/1.19</f>
        <v>-1060002.2722689072</v>
      </c>
      <c r="N222" s="258">
        <f t="shared" si="61"/>
        <v>-5578959.3277310925</v>
      </c>
      <c r="O222" s="259">
        <f t="shared" si="57"/>
        <v>-22316</v>
      </c>
      <c r="P222" s="259">
        <f t="shared" si="56"/>
        <v>-5556643.3277310925</v>
      </c>
      <c r="Q222" s="259"/>
      <c r="R222" s="251"/>
      <c r="S222" s="251"/>
      <c r="T222" s="260"/>
      <c r="U222" s="259">
        <f t="shared" si="62"/>
        <v>-5556643.3277310925</v>
      </c>
      <c r="V222" s="811" t="s">
        <v>842</v>
      </c>
    </row>
    <row r="223" spans="2:22" ht="55.8" customHeight="1">
      <c r="B223" s="972">
        <v>2025</v>
      </c>
      <c r="C223" s="806" t="str">
        <f t="shared" si="58"/>
        <v>JUN</v>
      </c>
      <c r="D223" s="806">
        <v>45834</v>
      </c>
      <c r="E223" s="253" t="s">
        <v>838</v>
      </c>
      <c r="F223" s="251">
        <v>82</v>
      </c>
      <c r="G223" s="253">
        <v>438</v>
      </c>
      <c r="H223" s="808" t="s">
        <v>22</v>
      </c>
      <c r="I223" s="254" t="s">
        <v>751</v>
      </c>
      <c r="J223" s="255" t="s">
        <v>836</v>
      </c>
      <c r="K223" s="838" t="s">
        <v>788</v>
      </c>
      <c r="L223" s="257">
        <v>-374524.42</v>
      </c>
      <c r="M223" s="837">
        <f>+Tabla1[[#This Row],[Valor Facturado]]-Tabla1[[#This Row],[Valor Facturado]]/1.19</f>
        <v>-59798.016638655448</v>
      </c>
      <c r="N223" s="258">
        <f t="shared" si="61"/>
        <v>-314726.40336134454</v>
      </c>
      <c r="O223" s="259">
        <f t="shared" si="57"/>
        <v>-1259</v>
      </c>
      <c r="P223" s="259">
        <f t="shared" si="56"/>
        <v>-313467.40336134454</v>
      </c>
      <c r="Q223" s="259"/>
      <c r="R223" s="251"/>
      <c r="S223" s="251"/>
      <c r="T223" s="260"/>
      <c r="U223" s="259">
        <f t="shared" si="62"/>
        <v>-313467.40336134454</v>
      </c>
      <c r="V223" s="811" t="s">
        <v>843</v>
      </c>
    </row>
    <row r="224" spans="2:22" ht="55.8" customHeight="1">
      <c r="B224" s="972">
        <v>2025</v>
      </c>
      <c r="C224" s="806" t="str">
        <f t="shared" si="58"/>
        <v>JUN</v>
      </c>
      <c r="D224" s="806">
        <v>45835</v>
      </c>
      <c r="E224" s="253">
        <v>454</v>
      </c>
      <c r="F224" s="251" t="s">
        <v>21</v>
      </c>
      <c r="G224" s="251" t="s">
        <v>107</v>
      </c>
      <c r="H224" s="808" t="s">
        <v>22</v>
      </c>
      <c r="I224" s="254" t="s">
        <v>751</v>
      </c>
      <c r="J224" s="969" t="s">
        <v>810</v>
      </c>
      <c r="K224" s="838" t="s">
        <v>753</v>
      </c>
      <c r="L224" s="257">
        <v>6638961.5999999996</v>
      </c>
      <c r="M224" s="837">
        <f>+Tabla1[[#This Row],[Valor Facturado]]-Tabla1[[#This Row],[Valor Facturado]]/1.19</f>
        <v>1060002.2722689072</v>
      </c>
      <c r="N224" s="258">
        <f t="shared" si="61"/>
        <v>5578959.3277310925</v>
      </c>
      <c r="O224" s="259">
        <f t="shared" si="57"/>
        <v>22316</v>
      </c>
      <c r="P224" s="259">
        <f t="shared" si="56"/>
        <v>5556643.3277310925</v>
      </c>
      <c r="Q224" s="259"/>
      <c r="R224" s="251"/>
      <c r="S224" s="251"/>
      <c r="T224" s="260"/>
      <c r="U224" s="259">
        <f t="shared" si="62"/>
        <v>5556643.3277310925</v>
      </c>
      <c r="V224" s="811"/>
    </row>
    <row r="225" spans="2:22" ht="55.8" customHeight="1">
      <c r="B225" s="972">
        <v>2025</v>
      </c>
      <c r="C225" s="806" t="str">
        <f t="shared" si="58"/>
        <v>JUN</v>
      </c>
      <c r="D225" s="806">
        <v>45835</v>
      </c>
      <c r="E225" s="253">
        <v>455</v>
      </c>
      <c r="F225" s="251" t="s">
        <v>21</v>
      </c>
      <c r="G225" s="251" t="s">
        <v>107</v>
      </c>
      <c r="H225" s="808" t="s">
        <v>22</v>
      </c>
      <c r="I225" s="254" t="s">
        <v>751</v>
      </c>
      <c r="J225" s="969" t="s">
        <v>810</v>
      </c>
      <c r="K225" s="838" t="s">
        <v>788</v>
      </c>
      <c r="L225" s="257">
        <v>374524.42</v>
      </c>
      <c r="M225" s="837">
        <f>+Tabla1[[#This Row],[Valor Facturado]]-Tabla1[[#This Row],[Valor Facturado]]/1.19</f>
        <v>59798.016638655448</v>
      </c>
      <c r="N225" s="258">
        <f t="shared" si="61"/>
        <v>314726.40336134454</v>
      </c>
      <c r="O225" s="259">
        <f t="shared" si="57"/>
        <v>1259</v>
      </c>
      <c r="P225" s="259">
        <f t="shared" si="56"/>
        <v>313467.40336134454</v>
      </c>
      <c r="Q225" s="259"/>
      <c r="R225" s="251"/>
      <c r="S225" s="251"/>
      <c r="T225" s="260"/>
      <c r="U225" s="259">
        <f t="shared" si="62"/>
        <v>313467.40336134454</v>
      </c>
      <c r="V225" s="811"/>
    </row>
    <row r="226" spans="2:22" ht="55.8" customHeight="1">
      <c r="B226" s="988">
        <v>2025</v>
      </c>
      <c r="C226" s="570" t="str">
        <f t="shared" ref="C226:C227" si="64">UPPER(TEXT(D226,"MMM"))</f>
        <v>JUL</v>
      </c>
      <c r="D226" s="570">
        <v>45861</v>
      </c>
      <c r="E226" s="572">
        <v>465</v>
      </c>
      <c r="F226" s="569" t="s">
        <v>21</v>
      </c>
      <c r="G226" s="569" t="s">
        <v>107</v>
      </c>
      <c r="H226" s="572" t="s">
        <v>22</v>
      </c>
      <c r="I226" s="573" t="s">
        <v>35</v>
      </c>
      <c r="J226" s="574" t="s">
        <v>868</v>
      </c>
      <c r="K226" s="982" t="s">
        <v>109</v>
      </c>
      <c r="L226" s="984">
        <v>2909855.39</v>
      </c>
      <c r="M226" s="983">
        <f>+Tabla1[[#This Row],[Valor Facturado]]-Tabla1[[#This Row],[Valor Facturado]]/1.19</f>
        <v>464598.75974789914</v>
      </c>
      <c r="N226" s="577">
        <f t="shared" ref="N226:N227" si="65">+L226-M226</f>
        <v>2445256.630252101</v>
      </c>
      <c r="O226" s="578">
        <f t="shared" ref="O226:O227" si="66">ROUND(N226*0.004,0)</f>
        <v>9781</v>
      </c>
      <c r="P226" s="578">
        <f t="shared" ref="P226:P227" si="67">N226-O226</f>
        <v>2435475.630252101</v>
      </c>
      <c r="Q226" s="578"/>
      <c r="R226" s="569"/>
      <c r="S226" s="569"/>
      <c r="T226" s="579"/>
      <c r="U226" s="578">
        <f t="shared" ref="U226:U227" si="68">P226-Q226</f>
        <v>2435475.630252101</v>
      </c>
      <c r="V226" s="699"/>
    </row>
    <row r="227" spans="2:22" ht="55.8" customHeight="1">
      <c r="B227" s="981">
        <v>2025</v>
      </c>
      <c r="C227" s="570" t="str">
        <f t="shared" si="64"/>
        <v>JUL</v>
      </c>
      <c r="D227" s="570">
        <v>45861</v>
      </c>
      <c r="E227" s="572">
        <v>466</v>
      </c>
      <c r="F227" s="569" t="s">
        <v>21</v>
      </c>
      <c r="G227" s="569" t="s">
        <v>107</v>
      </c>
      <c r="H227" s="572" t="s">
        <v>22</v>
      </c>
      <c r="I227" s="573" t="s">
        <v>35</v>
      </c>
      <c r="J227" s="574" t="s">
        <v>868</v>
      </c>
      <c r="K227" s="982" t="s">
        <v>108</v>
      </c>
      <c r="L227" s="984">
        <v>5201728</v>
      </c>
      <c r="M227" s="983">
        <f>+Tabla1[[#This Row],[Valor Facturado]]-Tabla1[[#This Row],[Valor Facturado]]/1.19</f>
        <v>830528</v>
      </c>
      <c r="N227" s="577">
        <f t="shared" si="65"/>
        <v>4371200</v>
      </c>
      <c r="O227" s="578">
        <f t="shared" si="66"/>
        <v>17485</v>
      </c>
      <c r="P227" s="578">
        <f t="shared" si="67"/>
        <v>4353715</v>
      </c>
      <c r="Q227" s="578"/>
      <c r="R227" s="569"/>
      <c r="S227" s="569"/>
      <c r="T227" s="579"/>
      <c r="U227" s="578">
        <f t="shared" si="68"/>
        <v>4353715</v>
      </c>
      <c r="V227" s="699"/>
    </row>
    <row r="228" spans="2:22" ht="55.8" customHeight="1">
      <c r="B228" s="981">
        <v>2025</v>
      </c>
      <c r="C228" s="570" t="str">
        <f t="shared" ref="C228:C229" si="69">UPPER(TEXT(D228,"MMM"))</f>
        <v>JUL</v>
      </c>
      <c r="D228" s="570">
        <v>45861</v>
      </c>
      <c r="E228" s="572">
        <v>467</v>
      </c>
      <c r="F228" s="569" t="s">
        <v>21</v>
      </c>
      <c r="G228" s="569" t="s">
        <v>107</v>
      </c>
      <c r="H228" s="572" t="s">
        <v>22</v>
      </c>
      <c r="I228" s="573" t="s">
        <v>35</v>
      </c>
      <c r="J228" s="574" t="s">
        <v>868</v>
      </c>
      <c r="K228" s="982" t="s">
        <v>38</v>
      </c>
      <c r="L228" s="984">
        <v>3251099.81</v>
      </c>
      <c r="M228" s="983">
        <f>+Tabla1[[#This Row],[Valor Facturado]]-Tabla1[[#This Row],[Valor Facturado]]/1.19</f>
        <v>519083.16294117644</v>
      </c>
      <c r="N228" s="577">
        <f t="shared" ref="N228:N229" si="70">+L228-M228</f>
        <v>2732016.6470588236</v>
      </c>
      <c r="O228" s="578">
        <f t="shared" ref="O228:O229" si="71">ROUND(N228*0.004,0)</f>
        <v>10928</v>
      </c>
      <c r="P228" s="578">
        <f t="shared" ref="P228:P229" si="72">N228-O228</f>
        <v>2721088.6470588236</v>
      </c>
      <c r="Q228" s="578"/>
      <c r="R228" s="569"/>
      <c r="S228" s="569"/>
      <c r="T228" s="579"/>
      <c r="U228" s="578">
        <f t="shared" ref="U228:U229" si="73">P228-Q228</f>
        <v>2721088.6470588236</v>
      </c>
      <c r="V228" s="699"/>
    </row>
    <row r="229" spans="2:22" ht="55.8" customHeight="1">
      <c r="B229" s="981">
        <v>2025</v>
      </c>
      <c r="C229" s="570" t="str">
        <f t="shared" si="69"/>
        <v>JUL</v>
      </c>
      <c r="D229" s="570">
        <v>45861</v>
      </c>
      <c r="E229" s="572">
        <v>468</v>
      </c>
      <c r="F229" s="585" t="s">
        <v>21</v>
      </c>
      <c r="G229" s="585" t="s">
        <v>107</v>
      </c>
      <c r="H229" s="585" t="s">
        <v>22</v>
      </c>
      <c r="I229" s="985" t="s">
        <v>32</v>
      </c>
      <c r="J229" s="574" t="s">
        <v>868</v>
      </c>
      <c r="K229" s="986" t="s">
        <v>97</v>
      </c>
      <c r="L229" s="987">
        <v>30898658.640000001</v>
      </c>
      <c r="M229" s="983">
        <f>+Tabla1[[#This Row],[Valor Facturado]]-Tabla1[[#This Row],[Valor Facturado]]/1.19</f>
        <v>4933399.278655462</v>
      </c>
      <c r="N229" s="577">
        <f t="shared" si="70"/>
        <v>25965259.361344539</v>
      </c>
      <c r="O229" s="578">
        <f t="shared" si="71"/>
        <v>103861</v>
      </c>
      <c r="P229" s="578">
        <f t="shared" si="72"/>
        <v>25861398.361344539</v>
      </c>
      <c r="Q229" s="578">
        <f>Tabla1[[#This Row],[Valor a Consignar a la ANI]]</f>
        <v>25861398.361344539</v>
      </c>
      <c r="R229" s="569">
        <v>2025</v>
      </c>
      <c r="S229" s="569">
        <v>10</v>
      </c>
      <c r="T229" s="579">
        <v>45961</v>
      </c>
      <c r="U229" s="578">
        <f t="shared" si="73"/>
        <v>0</v>
      </c>
      <c r="V229" s="699"/>
    </row>
    <row r="230" spans="2:22" ht="85.2" customHeight="1">
      <c r="B230" s="981">
        <v>2025</v>
      </c>
      <c r="C230" s="570" t="str">
        <f>UPPER(TEXT(D230,"MMM"))</f>
        <v>JUL</v>
      </c>
      <c r="D230" s="570">
        <v>45861</v>
      </c>
      <c r="E230" s="572">
        <v>469</v>
      </c>
      <c r="F230" s="569" t="s">
        <v>21</v>
      </c>
      <c r="G230" s="569" t="s">
        <v>107</v>
      </c>
      <c r="H230" s="572" t="s">
        <v>22</v>
      </c>
      <c r="I230" s="573" t="s">
        <v>110</v>
      </c>
      <c r="J230" s="574" t="s">
        <v>868</v>
      </c>
      <c r="K230" s="982" t="s">
        <v>111</v>
      </c>
      <c r="L230" s="984">
        <v>42282998.127999999</v>
      </c>
      <c r="M230" s="983">
        <f>+Tabla1[[#This Row],[Valor Facturado]]-Tabla1[[#This Row],[Valor Facturado]]/1.19</f>
        <v>6751066.9279999956</v>
      </c>
      <c r="N230" s="577">
        <f>+L230-M230</f>
        <v>35531931.200000003</v>
      </c>
      <c r="O230" s="578">
        <f>ROUND(N230*0.004,0)</f>
        <v>142128</v>
      </c>
      <c r="P230" s="578">
        <f>N230-O230</f>
        <v>35389803.200000003</v>
      </c>
      <c r="Q230" s="578">
        <f>Tabla1[[#This Row],[Valor a Consignar a la ANI]]</f>
        <v>35389803.200000003</v>
      </c>
      <c r="R230" s="569">
        <v>2025</v>
      </c>
      <c r="S230" s="569">
        <v>10</v>
      </c>
      <c r="T230" s="579">
        <v>45961</v>
      </c>
      <c r="U230" s="578">
        <f>P230-Q230</f>
        <v>0</v>
      </c>
      <c r="V230" s="699"/>
    </row>
    <row r="231" spans="2:22" ht="55.8" customHeight="1">
      <c r="B231" s="981">
        <v>2025</v>
      </c>
      <c r="C231" s="570" t="str">
        <f>UPPER(TEXT(D231,"MMM"))</f>
        <v>JUL</v>
      </c>
      <c r="D231" s="570">
        <v>45861</v>
      </c>
      <c r="E231" s="572">
        <v>470</v>
      </c>
      <c r="F231" s="569" t="s">
        <v>21</v>
      </c>
      <c r="G231" s="569" t="s">
        <v>107</v>
      </c>
      <c r="H231" s="584" t="s">
        <v>22</v>
      </c>
      <c r="I231" s="573" t="s">
        <v>751</v>
      </c>
      <c r="J231" s="574" t="s">
        <v>868</v>
      </c>
      <c r="K231" s="982" t="s">
        <v>788</v>
      </c>
      <c r="L231" s="576">
        <v>374524.42</v>
      </c>
      <c r="M231" s="983">
        <f>+Tabla1[[#This Row],[Valor Facturado]]-Tabla1[[#This Row],[Valor Facturado]]/1.19</f>
        <v>59798.016638655448</v>
      </c>
      <c r="N231" s="577">
        <f>+L231-M231</f>
        <v>314726.40336134454</v>
      </c>
      <c r="O231" s="578">
        <f>ROUND(N231*0.004,0)</f>
        <v>1259</v>
      </c>
      <c r="P231" s="578">
        <f>N231-O231</f>
        <v>313467.40336134454</v>
      </c>
      <c r="Q231" s="578"/>
      <c r="R231" s="569"/>
      <c r="S231" s="569"/>
      <c r="T231" s="579"/>
      <c r="U231" s="578">
        <f>P231-Q231</f>
        <v>313467.40336134454</v>
      </c>
      <c r="V231" s="699"/>
    </row>
    <row r="232" spans="2:22" ht="55.8" customHeight="1">
      <c r="B232" s="1027">
        <v>2025</v>
      </c>
      <c r="C232" s="610" t="str">
        <f t="shared" ref="C232:C234" si="74">UPPER(TEXT(D232,"MMM"))</f>
        <v>AGO</v>
      </c>
      <c r="D232" s="610">
        <v>45890</v>
      </c>
      <c r="E232" s="612">
        <v>486</v>
      </c>
      <c r="F232" s="611" t="s">
        <v>21</v>
      </c>
      <c r="G232" s="611" t="s">
        <v>107</v>
      </c>
      <c r="H232" s="612" t="s">
        <v>22</v>
      </c>
      <c r="I232" s="613" t="s">
        <v>35</v>
      </c>
      <c r="J232" s="614" t="s">
        <v>910</v>
      </c>
      <c r="K232" s="1028" t="s">
        <v>108</v>
      </c>
      <c r="L232" s="1029">
        <v>5201728</v>
      </c>
      <c r="M232" s="1030">
        <f>+Tabla1[[#This Row],[Valor Facturado]]-Tabla1[[#This Row],[Valor Facturado]]/1.19</f>
        <v>830528</v>
      </c>
      <c r="N232" s="617">
        <f t="shared" ref="N232:N234" si="75">+L232-M232</f>
        <v>4371200</v>
      </c>
      <c r="O232" s="618">
        <f t="shared" ref="O232:O234" si="76">ROUND(N232*0.004,0)</f>
        <v>17485</v>
      </c>
      <c r="P232" s="618">
        <f t="shared" ref="P232:P234" si="77">N232-O232</f>
        <v>4353715</v>
      </c>
      <c r="Q232" s="618"/>
      <c r="R232" s="611"/>
      <c r="S232" s="611"/>
      <c r="T232" s="619"/>
      <c r="U232" s="618">
        <f t="shared" ref="U232:U234" si="78">P232-Q232</f>
        <v>4353715</v>
      </c>
      <c r="V232" s="1031"/>
    </row>
    <row r="233" spans="2:22" ht="55.8" customHeight="1">
      <c r="B233" s="1027">
        <v>2025</v>
      </c>
      <c r="C233" s="610" t="str">
        <f t="shared" si="74"/>
        <v>AGO</v>
      </c>
      <c r="D233" s="610">
        <v>45890</v>
      </c>
      <c r="E233" s="612">
        <v>487</v>
      </c>
      <c r="F233" s="611" t="s">
        <v>21</v>
      </c>
      <c r="G233" s="611" t="s">
        <v>107</v>
      </c>
      <c r="H233" s="612" t="s">
        <v>22</v>
      </c>
      <c r="I233" s="613" t="s">
        <v>35</v>
      </c>
      <c r="J233" s="614" t="s">
        <v>910</v>
      </c>
      <c r="K233" s="1028" t="s">
        <v>38</v>
      </c>
      <c r="L233" s="1029">
        <v>3251099.81</v>
      </c>
      <c r="M233" s="1030">
        <f>+Tabla1[[#This Row],[Valor Facturado]]-Tabla1[[#This Row],[Valor Facturado]]/1.19</f>
        <v>519083.16294117644</v>
      </c>
      <c r="N233" s="617">
        <f t="shared" si="75"/>
        <v>2732016.6470588236</v>
      </c>
      <c r="O233" s="618">
        <f t="shared" si="76"/>
        <v>10928</v>
      </c>
      <c r="P233" s="618">
        <f t="shared" si="77"/>
        <v>2721088.6470588236</v>
      </c>
      <c r="Q233" s="618"/>
      <c r="R233" s="611"/>
      <c r="S233" s="611"/>
      <c r="T233" s="619"/>
      <c r="U233" s="618">
        <f t="shared" si="78"/>
        <v>2721088.6470588236</v>
      </c>
      <c r="V233" s="1031"/>
    </row>
    <row r="234" spans="2:22" ht="55.8" customHeight="1">
      <c r="B234" s="1027">
        <v>2025</v>
      </c>
      <c r="C234" s="610" t="str">
        <f t="shared" si="74"/>
        <v>AGO</v>
      </c>
      <c r="D234" s="610">
        <v>45890</v>
      </c>
      <c r="E234" s="612">
        <v>484</v>
      </c>
      <c r="F234" s="609" t="s">
        <v>21</v>
      </c>
      <c r="G234" s="609" t="s">
        <v>107</v>
      </c>
      <c r="H234" s="609" t="s">
        <v>22</v>
      </c>
      <c r="I234" s="1032" t="s">
        <v>32</v>
      </c>
      <c r="J234" s="614" t="s">
        <v>910</v>
      </c>
      <c r="K234" s="1033" t="s">
        <v>97</v>
      </c>
      <c r="L234" s="1034">
        <v>30898658.640000001</v>
      </c>
      <c r="M234" s="1030">
        <f>+Tabla1[[#This Row],[Valor Facturado]]-Tabla1[[#This Row],[Valor Facturado]]/1.19</f>
        <v>4933399.278655462</v>
      </c>
      <c r="N234" s="617">
        <f t="shared" si="75"/>
        <v>25965259.361344539</v>
      </c>
      <c r="O234" s="618">
        <f t="shared" si="76"/>
        <v>103861</v>
      </c>
      <c r="P234" s="618">
        <f t="shared" si="77"/>
        <v>25861398.361344539</v>
      </c>
      <c r="Q234" s="618"/>
      <c r="R234" s="611"/>
      <c r="S234" s="611"/>
      <c r="T234" s="619"/>
      <c r="U234" s="618">
        <f t="shared" si="78"/>
        <v>25861398.361344539</v>
      </c>
      <c r="V234" s="1031"/>
    </row>
    <row r="235" spans="2:22" ht="70.2" customHeight="1">
      <c r="B235" s="1027">
        <v>2025</v>
      </c>
      <c r="C235" s="610" t="str">
        <f>UPPER(TEXT(D235,"MMM"))</f>
        <v>AGO</v>
      </c>
      <c r="D235" s="610">
        <v>45890</v>
      </c>
      <c r="E235" s="612">
        <v>490</v>
      </c>
      <c r="F235" s="611" t="s">
        <v>21</v>
      </c>
      <c r="G235" s="611" t="s">
        <v>107</v>
      </c>
      <c r="H235" s="612" t="s">
        <v>22</v>
      </c>
      <c r="I235" s="613" t="s">
        <v>110</v>
      </c>
      <c r="J235" s="614" t="s">
        <v>910</v>
      </c>
      <c r="K235" s="1028" t="s">
        <v>111</v>
      </c>
      <c r="L235" s="1029">
        <v>42282998.127999999</v>
      </c>
      <c r="M235" s="1030">
        <f>+Tabla1[[#This Row],[Valor Facturado]]-Tabla1[[#This Row],[Valor Facturado]]/1.19</f>
        <v>6751066.9279999956</v>
      </c>
      <c r="N235" s="617">
        <f>+L235-M235</f>
        <v>35531931.200000003</v>
      </c>
      <c r="O235" s="618">
        <f>ROUND(N235*0.004,0)</f>
        <v>142128</v>
      </c>
      <c r="P235" s="618">
        <f>N235-O235</f>
        <v>35389803.200000003</v>
      </c>
      <c r="Q235" s="618"/>
      <c r="R235" s="611"/>
      <c r="S235" s="611"/>
      <c r="T235" s="619"/>
      <c r="U235" s="618">
        <f>P235-Q235</f>
        <v>35389803.200000003</v>
      </c>
      <c r="V235" s="1031"/>
    </row>
    <row r="236" spans="2:22" ht="55.8" customHeight="1">
      <c r="B236" s="1027">
        <v>2025</v>
      </c>
      <c r="C236" s="610" t="str">
        <f>UPPER(TEXT(D236,"MMM"))</f>
        <v>AGO</v>
      </c>
      <c r="D236" s="610">
        <v>45890</v>
      </c>
      <c r="E236" s="612">
        <v>483</v>
      </c>
      <c r="F236" s="611" t="s">
        <v>21</v>
      </c>
      <c r="G236" s="611" t="s">
        <v>107</v>
      </c>
      <c r="H236" s="623" t="s">
        <v>22</v>
      </c>
      <c r="I236" s="613" t="s">
        <v>751</v>
      </c>
      <c r="J236" s="614" t="s">
        <v>910</v>
      </c>
      <c r="K236" s="1028" t="s">
        <v>788</v>
      </c>
      <c r="L236" s="616">
        <v>374524.42</v>
      </c>
      <c r="M236" s="1030">
        <f>+Tabla1[[#This Row],[Valor Facturado]]-Tabla1[[#This Row],[Valor Facturado]]/1.19</f>
        <v>59798.016638655448</v>
      </c>
      <c r="N236" s="617">
        <f>+L236-M236</f>
        <v>314726.40336134454</v>
      </c>
      <c r="O236" s="618">
        <f>ROUND(N236*0.004,0)</f>
        <v>1259</v>
      </c>
      <c r="P236" s="618">
        <f>N236-O236</f>
        <v>313467.40336134454</v>
      </c>
      <c r="Q236" s="618"/>
      <c r="R236" s="611"/>
      <c r="S236" s="611"/>
      <c r="T236" s="619"/>
      <c r="U236" s="618">
        <f>P236-Q236</f>
        <v>313467.40336134454</v>
      </c>
      <c r="V236" s="1031"/>
    </row>
    <row r="237" spans="2:22" ht="55.8" customHeight="1">
      <c r="B237" s="1027">
        <v>2025</v>
      </c>
      <c r="C237" s="610" t="str">
        <f t="shared" ref="C237" si="79">UPPER(TEXT(D237,"MMM"))</f>
        <v>AGO</v>
      </c>
      <c r="D237" s="610">
        <v>45890</v>
      </c>
      <c r="E237" s="612" t="s">
        <v>911</v>
      </c>
      <c r="F237" s="611">
        <v>94</v>
      </c>
      <c r="G237" s="612">
        <v>456</v>
      </c>
      <c r="H237" s="623" t="s">
        <v>22</v>
      </c>
      <c r="I237" s="613" t="s">
        <v>751</v>
      </c>
      <c r="J237" s="614" t="s">
        <v>913</v>
      </c>
      <c r="K237" s="1028" t="s">
        <v>753</v>
      </c>
      <c r="L237" s="616">
        <v>-374524.42</v>
      </c>
      <c r="M237" s="1030">
        <f>+Tabla1[[#This Row],[Valor Facturado]]-Tabla1[[#This Row],[Valor Facturado]]/1.19</f>
        <v>-59798.016638655448</v>
      </c>
      <c r="N237" s="617">
        <f t="shared" ref="N237" si="80">+L237-M237</f>
        <v>-314726.40336134454</v>
      </c>
      <c r="O237" s="618">
        <f t="shared" ref="O237" si="81">ROUND(N237*0.004,0)</f>
        <v>-1259</v>
      </c>
      <c r="P237" s="618">
        <f t="shared" ref="P237" si="82">N237-O237</f>
        <v>-313467.40336134454</v>
      </c>
      <c r="Q237" s="618"/>
      <c r="R237" s="611"/>
      <c r="S237" s="611"/>
      <c r="T237" s="619"/>
      <c r="U237" s="618">
        <f t="shared" ref="U237" si="83">P237-Q237</f>
        <v>-313467.40336134454</v>
      </c>
      <c r="V237" s="1031" t="s">
        <v>915</v>
      </c>
    </row>
    <row r="238" spans="2:22" ht="55.8" customHeight="1">
      <c r="B238" s="1027">
        <v>2025</v>
      </c>
      <c r="C238" s="610" t="str">
        <f>UPPER(TEXT(D238,"MMM"))</f>
        <v>AGO</v>
      </c>
      <c r="D238" s="610">
        <v>45890</v>
      </c>
      <c r="E238" s="612" t="s">
        <v>912</v>
      </c>
      <c r="F238" s="611">
        <v>95</v>
      </c>
      <c r="G238" s="612">
        <v>470</v>
      </c>
      <c r="H238" s="623" t="s">
        <v>22</v>
      </c>
      <c r="I238" s="613" t="s">
        <v>751</v>
      </c>
      <c r="J238" s="614" t="s">
        <v>914</v>
      </c>
      <c r="K238" s="1028" t="s">
        <v>753</v>
      </c>
      <c r="L238" s="616">
        <v>-374524.42</v>
      </c>
      <c r="M238" s="1030">
        <f>+Tabla1[[#This Row],[Valor Facturado]]-Tabla1[[#This Row],[Valor Facturado]]/1.19</f>
        <v>-59798.016638655448</v>
      </c>
      <c r="N238" s="617">
        <f t="shared" ref="N238" si="84">+L238-M238</f>
        <v>-314726.40336134454</v>
      </c>
      <c r="O238" s="618">
        <f t="shared" ref="O238" si="85">ROUND(N238*0.004,0)</f>
        <v>-1259</v>
      </c>
      <c r="P238" s="618">
        <f t="shared" ref="P238" si="86">N238-O238</f>
        <v>-313467.40336134454</v>
      </c>
      <c r="Q238" s="618"/>
      <c r="R238" s="611"/>
      <c r="S238" s="611"/>
      <c r="T238" s="619"/>
      <c r="U238" s="618">
        <f t="shared" ref="U238" si="87">P238-Q238</f>
        <v>-313467.40336134454</v>
      </c>
      <c r="V238" s="1031" t="s">
        <v>916</v>
      </c>
    </row>
    <row r="239" spans="2:22" ht="55.8" customHeight="1">
      <c r="B239" s="1027">
        <v>2025</v>
      </c>
      <c r="C239" s="610" t="str">
        <f>UPPER(TEXT(D239,"MMM"))</f>
        <v>AGO</v>
      </c>
      <c r="D239" s="610">
        <v>45890</v>
      </c>
      <c r="E239" s="612">
        <v>481</v>
      </c>
      <c r="F239" s="611" t="s">
        <v>21</v>
      </c>
      <c r="G239" s="611" t="s">
        <v>107</v>
      </c>
      <c r="H239" s="623" t="s">
        <v>22</v>
      </c>
      <c r="I239" s="613" t="s">
        <v>751</v>
      </c>
      <c r="J239" s="614" t="s">
        <v>835</v>
      </c>
      <c r="K239" s="1028" t="s">
        <v>788</v>
      </c>
      <c r="L239" s="616">
        <v>374524.42</v>
      </c>
      <c r="M239" s="1030">
        <f>+Tabla1[[#This Row],[Valor Facturado]]-Tabla1[[#This Row],[Valor Facturado]]/1.19</f>
        <v>59798.016638655448</v>
      </c>
      <c r="N239" s="617">
        <f>+L239-M239</f>
        <v>314726.40336134454</v>
      </c>
      <c r="O239" s="618">
        <f>ROUND(N239*0.004,0)</f>
        <v>1259</v>
      </c>
      <c r="P239" s="618">
        <f>N239-O239</f>
        <v>313467.40336134454</v>
      </c>
      <c r="Q239" s="618"/>
      <c r="R239" s="611"/>
      <c r="S239" s="611"/>
      <c r="T239" s="619"/>
      <c r="U239" s="618">
        <f>P239-Q239</f>
        <v>313467.40336134454</v>
      </c>
      <c r="V239" s="1031"/>
    </row>
    <row r="240" spans="2:22" ht="55.8" customHeight="1">
      <c r="B240" s="1027">
        <v>2025</v>
      </c>
      <c r="C240" s="610" t="str">
        <f>UPPER(TEXT(D240,"MMM"))</f>
        <v>AGO</v>
      </c>
      <c r="D240" s="610">
        <v>45890</v>
      </c>
      <c r="E240" s="612">
        <v>482</v>
      </c>
      <c r="F240" s="611" t="s">
        <v>21</v>
      </c>
      <c r="G240" s="611" t="s">
        <v>107</v>
      </c>
      <c r="H240" s="623" t="s">
        <v>22</v>
      </c>
      <c r="I240" s="613" t="s">
        <v>751</v>
      </c>
      <c r="J240" s="614" t="s">
        <v>868</v>
      </c>
      <c r="K240" s="1028" t="s">
        <v>788</v>
      </c>
      <c r="L240" s="616">
        <v>374524.42</v>
      </c>
      <c r="M240" s="1030">
        <f>+Tabla1[[#This Row],[Valor Facturado]]-Tabla1[[#This Row],[Valor Facturado]]/1.19</f>
        <v>59798.016638655448</v>
      </c>
      <c r="N240" s="617">
        <f>+L240-M240</f>
        <v>314726.40336134454</v>
      </c>
      <c r="O240" s="618">
        <f>ROUND(N240*0.004,0)</f>
        <v>1259</v>
      </c>
      <c r="P240" s="618">
        <f>N240-O240</f>
        <v>313467.40336134454</v>
      </c>
      <c r="Q240" s="618"/>
      <c r="R240" s="611"/>
      <c r="S240" s="611"/>
      <c r="T240" s="619"/>
      <c r="U240" s="618">
        <f>P240-Q240</f>
        <v>313467.40336134454</v>
      </c>
      <c r="V240" s="1031"/>
    </row>
    <row r="241" spans="2:22" ht="55.8" customHeight="1">
      <c r="B241" s="1050">
        <v>2025</v>
      </c>
      <c r="C241" s="554" t="str">
        <f t="shared" ref="C241:C242" si="88">UPPER(TEXT(D241,"MMM"))</f>
        <v>SEP</v>
      </c>
      <c r="D241" s="554">
        <v>45916</v>
      </c>
      <c r="E241" s="353">
        <v>512</v>
      </c>
      <c r="F241" s="351" t="s">
        <v>21</v>
      </c>
      <c r="G241" s="351" t="s">
        <v>107</v>
      </c>
      <c r="H241" s="353" t="s">
        <v>22</v>
      </c>
      <c r="I241" s="354" t="s">
        <v>35</v>
      </c>
      <c r="J241" s="355" t="s">
        <v>947</v>
      </c>
      <c r="K241" s="1052" t="s">
        <v>108</v>
      </c>
      <c r="L241" s="1053">
        <v>5201728</v>
      </c>
      <c r="M241" s="1054">
        <f>+Tabla1[[#This Row],[Valor Facturado]]-Tabla1[[#This Row],[Valor Facturado]]/1.19</f>
        <v>830528</v>
      </c>
      <c r="N241" s="358">
        <f t="shared" ref="N241:N243" si="89">+L241-M241</f>
        <v>4371200</v>
      </c>
      <c r="O241" s="359">
        <f t="shared" ref="O241:O243" si="90">ROUND(N241*0.004,0)</f>
        <v>17485</v>
      </c>
      <c r="P241" s="359">
        <f t="shared" ref="P241:P243" si="91">N241-O241</f>
        <v>4353715</v>
      </c>
      <c r="Q241" s="359"/>
      <c r="R241" s="351"/>
      <c r="S241" s="351"/>
      <c r="T241" s="360"/>
      <c r="U241" s="359">
        <f t="shared" ref="U241:U243" si="92">P241-Q241</f>
        <v>4353715</v>
      </c>
      <c r="V241" s="1051"/>
    </row>
    <row r="242" spans="2:22" ht="55.8" customHeight="1">
      <c r="B242" s="1050">
        <v>2025</v>
      </c>
      <c r="C242" s="554" t="str">
        <f t="shared" si="88"/>
        <v>SEP</v>
      </c>
      <c r="D242" s="554">
        <v>45916</v>
      </c>
      <c r="E242" s="353">
        <v>513</v>
      </c>
      <c r="F242" s="351" t="s">
        <v>21</v>
      </c>
      <c r="G242" s="351" t="s">
        <v>107</v>
      </c>
      <c r="H242" s="353" t="s">
        <v>22</v>
      </c>
      <c r="I242" s="354" t="s">
        <v>35</v>
      </c>
      <c r="J242" s="355" t="s">
        <v>947</v>
      </c>
      <c r="K242" s="1052" t="s">
        <v>38</v>
      </c>
      <c r="L242" s="1053">
        <v>3251099.81</v>
      </c>
      <c r="M242" s="1054">
        <f>+Tabla1[[#This Row],[Valor Facturado]]-Tabla1[[#This Row],[Valor Facturado]]/1.19</f>
        <v>519083.16294117644</v>
      </c>
      <c r="N242" s="358">
        <f t="shared" si="89"/>
        <v>2732016.6470588236</v>
      </c>
      <c r="O242" s="359">
        <f t="shared" si="90"/>
        <v>10928</v>
      </c>
      <c r="P242" s="359">
        <f t="shared" si="91"/>
        <v>2721088.6470588236</v>
      </c>
      <c r="Q242" s="359"/>
      <c r="R242" s="351"/>
      <c r="S242" s="351"/>
      <c r="T242" s="360"/>
      <c r="U242" s="359">
        <f t="shared" si="92"/>
        <v>2721088.6470588236</v>
      </c>
      <c r="V242" s="1051"/>
    </row>
    <row r="243" spans="2:22" ht="55.8" customHeight="1">
      <c r="B243" s="1050">
        <v>2025</v>
      </c>
      <c r="C243" s="554" t="str">
        <f t="shared" ref="C243:C244" si="93">UPPER(TEXT(D243,"MMM"))</f>
        <v>SEP</v>
      </c>
      <c r="D243" s="554">
        <v>45916</v>
      </c>
      <c r="E243" s="353">
        <v>515</v>
      </c>
      <c r="F243" s="419" t="s">
        <v>21</v>
      </c>
      <c r="G243" s="419" t="s">
        <v>107</v>
      </c>
      <c r="H243" s="419" t="s">
        <v>22</v>
      </c>
      <c r="I243" s="1055" t="s">
        <v>32</v>
      </c>
      <c r="J243" s="355" t="s">
        <v>947</v>
      </c>
      <c r="K243" s="1056" t="s">
        <v>97</v>
      </c>
      <c r="L243" s="1057">
        <v>30898658.640000001</v>
      </c>
      <c r="M243" s="1054">
        <f>+Tabla1[[#This Row],[Valor Facturado]]-Tabla1[[#This Row],[Valor Facturado]]/1.19</f>
        <v>4933399.278655462</v>
      </c>
      <c r="N243" s="358">
        <f t="shared" si="89"/>
        <v>25965259.361344539</v>
      </c>
      <c r="O243" s="359">
        <f t="shared" si="90"/>
        <v>103861</v>
      </c>
      <c r="P243" s="359">
        <f t="shared" si="91"/>
        <v>25861398.361344539</v>
      </c>
      <c r="Q243" s="359"/>
      <c r="R243" s="351"/>
      <c r="S243" s="351"/>
      <c r="T243" s="360"/>
      <c r="U243" s="359">
        <f t="shared" si="92"/>
        <v>25861398.361344539</v>
      </c>
      <c r="V243" s="1051"/>
    </row>
    <row r="244" spans="2:22" ht="88.2" customHeight="1">
      <c r="B244" s="1050">
        <v>2025</v>
      </c>
      <c r="C244" s="554" t="str">
        <f t="shared" si="93"/>
        <v>SEP</v>
      </c>
      <c r="D244" s="554">
        <v>45916</v>
      </c>
      <c r="E244" s="353">
        <v>514</v>
      </c>
      <c r="F244" s="351" t="s">
        <v>21</v>
      </c>
      <c r="G244" s="351" t="s">
        <v>107</v>
      </c>
      <c r="H244" s="353" t="s">
        <v>22</v>
      </c>
      <c r="I244" s="354" t="s">
        <v>110</v>
      </c>
      <c r="J244" s="355" t="s">
        <v>947</v>
      </c>
      <c r="K244" s="1052" t="s">
        <v>111</v>
      </c>
      <c r="L244" s="1053">
        <v>42282998.127999999</v>
      </c>
      <c r="M244" s="1054">
        <f>+Tabla1[[#This Row],[Valor Facturado]]-Tabla1[[#This Row],[Valor Facturado]]/1.19</f>
        <v>6751066.9279999956</v>
      </c>
      <c r="N244" s="358">
        <f>+L244-M244</f>
        <v>35531931.200000003</v>
      </c>
      <c r="O244" s="359">
        <f>ROUND(N244*0.004,0)</f>
        <v>142128</v>
      </c>
      <c r="P244" s="359">
        <f>N244-O244</f>
        <v>35389803.200000003</v>
      </c>
      <c r="Q244" s="359"/>
      <c r="R244" s="351"/>
      <c r="S244" s="351"/>
      <c r="T244" s="360"/>
      <c r="U244" s="359">
        <f>P244-Q244</f>
        <v>35389803.200000003</v>
      </c>
      <c r="V244" s="1051"/>
    </row>
    <row r="245" spans="2:22" ht="55.8" customHeight="1">
      <c r="B245" s="1050">
        <v>2025</v>
      </c>
      <c r="C245" s="554" t="str">
        <f t="shared" ref="C245:C250" si="94">UPPER(TEXT(D245,"MMM"))</f>
        <v>SEP</v>
      </c>
      <c r="D245" s="554">
        <v>45919</v>
      </c>
      <c r="E245" s="353">
        <v>520</v>
      </c>
      <c r="F245" s="351" t="s">
        <v>21</v>
      </c>
      <c r="G245" s="351" t="s">
        <v>107</v>
      </c>
      <c r="H245" s="421" t="s">
        <v>22</v>
      </c>
      <c r="I245" s="354" t="s">
        <v>751</v>
      </c>
      <c r="J245" s="355" t="s">
        <v>947</v>
      </c>
      <c r="K245" s="1052" t="s">
        <v>788</v>
      </c>
      <c r="L245" s="361">
        <v>374524.42</v>
      </c>
      <c r="M245" s="1054">
        <f>+Tabla1[[#This Row],[Valor Facturado]]-Tabla1[[#This Row],[Valor Facturado]]/1.19</f>
        <v>59798.016638655448</v>
      </c>
      <c r="N245" s="358">
        <f>+L245-M245</f>
        <v>314726.40336134454</v>
      </c>
      <c r="O245" s="359">
        <f>ROUND(N245*0.004,0)</f>
        <v>1259</v>
      </c>
      <c r="P245" s="359">
        <f>N245-O245</f>
        <v>313467.40336134454</v>
      </c>
      <c r="Q245" s="359"/>
      <c r="R245" s="351"/>
      <c r="S245" s="351"/>
      <c r="T245" s="360"/>
      <c r="U245" s="359">
        <f>P245-Q245</f>
        <v>313467.40336134454</v>
      </c>
      <c r="V245" s="1051"/>
    </row>
    <row r="246" spans="2:22" ht="55.8" customHeight="1">
      <c r="B246" s="1088">
        <v>2025</v>
      </c>
      <c r="C246" s="774" t="str">
        <f t="shared" si="94"/>
        <v>OCT</v>
      </c>
      <c r="D246" s="774">
        <v>45958</v>
      </c>
      <c r="E246" s="767">
        <v>531</v>
      </c>
      <c r="F246" s="766" t="s">
        <v>21</v>
      </c>
      <c r="G246" s="766" t="s">
        <v>107</v>
      </c>
      <c r="H246" s="767" t="s">
        <v>22</v>
      </c>
      <c r="I246" s="768" t="s">
        <v>35</v>
      </c>
      <c r="J246" s="761" t="s">
        <v>986</v>
      </c>
      <c r="K246" s="1089" t="s">
        <v>108</v>
      </c>
      <c r="L246" s="770">
        <v>5201728</v>
      </c>
      <c r="M246" s="771">
        <v>830528</v>
      </c>
      <c r="N246" s="771">
        <f t="shared" ref="N246:N250" si="95">+L246-M246</f>
        <v>4371200</v>
      </c>
      <c r="O246" s="772">
        <f t="shared" ref="O246:O250" si="96">ROUND(N246*0.004,0)</f>
        <v>17485</v>
      </c>
      <c r="P246" s="772">
        <f t="shared" ref="P246:P250" si="97">N246-O246</f>
        <v>4353715</v>
      </c>
      <c r="Q246" s="772"/>
      <c r="R246" s="766"/>
      <c r="S246" s="766"/>
      <c r="T246" s="775"/>
      <c r="U246" s="772">
        <f t="shared" ref="U246:U250" si="98">P246-Q246</f>
        <v>4353715</v>
      </c>
      <c r="V246" s="776"/>
    </row>
    <row r="247" spans="2:22" ht="55.8" customHeight="1">
      <c r="B247" s="1088">
        <v>2025</v>
      </c>
      <c r="C247" s="774" t="str">
        <f t="shared" si="94"/>
        <v>OCT</v>
      </c>
      <c r="D247" s="774">
        <v>45958</v>
      </c>
      <c r="E247" s="767">
        <v>532</v>
      </c>
      <c r="F247" s="766" t="s">
        <v>21</v>
      </c>
      <c r="G247" s="766" t="s">
        <v>107</v>
      </c>
      <c r="H247" s="767" t="s">
        <v>22</v>
      </c>
      <c r="I247" s="768" t="s">
        <v>35</v>
      </c>
      <c r="J247" s="761" t="s">
        <v>986</v>
      </c>
      <c r="K247" s="1089" t="s">
        <v>38</v>
      </c>
      <c r="L247" s="770">
        <v>3251099.81</v>
      </c>
      <c r="M247" s="771">
        <v>519083.16294117644</v>
      </c>
      <c r="N247" s="771">
        <f t="shared" si="95"/>
        <v>2732016.6470588236</v>
      </c>
      <c r="O247" s="772">
        <f t="shared" si="96"/>
        <v>10928</v>
      </c>
      <c r="P247" s="772">
        <f t="shared" si="97"/>
        <v>2721088.6470588236</v>
      </c>
      <c r="Q247" s="772"/>
      <c r="R247" s="766"/>
      <c r="S247" s="766"/>
      <c r="T247" s="775"/>
      <c r="U247" s="772">
        <f t="shared" si="98"/>
        <v>2721088.6470588236</v>
      </c>
      <c r="V247" s="776"/>
    </row>
    <row r="248" spans="2:22" ht="55.8" customHeight="1">
      <c r="B248" s="1088">
        <v>2025</v>
      </c>
      <c r="C248" s="774" t="str">
        <f t="shared" si="94"/>
        <v>OCT</v>
      </c>
      <c r="D248" s="774">
        <v>45958</v>
      </c>
      <c r="E248" s="767">
        <v>534</v>
      </c>
      <c r="F248" s="766" t="s">
        <v>21</v>
      </c>
      <c r="G248" s="766" t="s">
        <v>107</v>
      </c>
      <c r="H248" s="767" t="s">
        <v>22</v>
      </c>
      <c r="I248" s="768" t="s">
        <v>32</v>
      </c>
      <c r="J248" s="761" t="s">
        <v>986</v>
      </c>
      <c r="K248" s="1089" t="s">
        <v>97</v>
      </c>
      <c r="L248" s="770">
        <v>30898658.640000001</v>
      </c>
      <c r="M248" s="771">
        <v>4933399.278655462</v>
      </c>
      <c r="N248" s="771">
        <f t="shared" si="95"/>
        <v>25965259.361344539</v>
      </c>
      <c r="O248" s="772">
        <f t="shared" si="96"/>
        <v>103861</v>
      </c>
      <c r="P248" s="772">
        <f t="shared" si="97"/>
        <v>25861398.361344539</v>
      </c>
      <c r="Q248" s="772"/>
      <c r="R248" s="766"/>
      <c r="S248" s="766"/>
      <c r="T248" s="775"/>
      <c r="U248" s="772">
        <f t="shared" si="98"/>
        <v>25861398.361344539</v>
      </c>
      <c r="V248" s="776"/>
    </row>
    <row r="249" spans="2:22" ht="82.8" customHeight="1">
      <c r="B249" s="1088">
        <v>2025</v>
      </c>
      <c r="C249" s="774" t="str">
        <f t="shared" si="94"/>
        <v>OCT</v>
      </c>
      <c r="D249" s="774">
        <v>45958</v>
      </c>
      <c r="E249" s="767">
        <v>533</v>
      </c>
      <c r="F249" s="766" t="s">
        <v>21</v>
      </c>
      <c r="G249" s="766" t="s">
        <v>107</v>
      </c>
      <c r="H249" s="767" t="s">
        <v>22</v>
      </c>
      <c r="I249" s="768" t="s">
        <v>110</v>
      </c>
      <c r="J249" s="761" t="s">
        <v>986</v>
      </c>
      <c r="K249" s="1089" t="s">
        <v>111</v>
      </c>
      <c r="L249" s="770">
        <v>42282998.127999999</v>
      </c>
      <c r="M249" s="771">
        <v>6751066.9279999956</v>
      </c>
      <c r="N249" s="771">
        <f t="shared" si="95"/>
        <v>35531931.200000003</v>
      </c>
      <c r="O249" s="772">
        <f t="shared" si="96"/>
        <v>142128</v>
      </c>
      <c r="P249" s="772">
        <f t="shared" si="97"/>
        <v>35389803.200000003</v>
      </c>
      <c r="Q249" s="772"/>
      <c r="R249" s="766"/>
      <c r="S249" s="766"/>
      <c r="T249" s="775"/>
      <c r="U249" s="772">
        <f t="shared" si="98"/>
        <v>35389803.200000003</v>
      </c>
      <c r="V249" s="776"/>
    </row>
    <row r="250" spans="2:22" ht="55.8" customHeight="1">
      <c r="B250" s="1088">
        <v>2025</v>
      </c>
      <c r="C250" s="774" t="str">
        <f t="shared" si="94"/>
        <v>OCT</v>
      </c>
      <c r="D250" s="774">
        <v>45958</v>
      </c>
      <c r="E250" s="767">
        <v>538</v>
      </c>
      <c r="F250" s="766" t="s">
        <v>21</v>
      </c>
      <c r="G250" s="766" t="s">
        <v>107</v>
      </c>
      <c r="H250" s="767" t="s">
        <v>22</v>
      </c>
      <c r="I250" s="768" t="s">
        <v>751</v>
      </c>
      <c r="J250" s="761" t="s">
        <v>986</v>
      </c>
      <c r="K250" s="1089" t="s">
        <v>788</v>
      </c>
      <c r="L250" s="770">
        <v>374524.42</v>
      </c>
      <c r="M250" s="771">
        <v>59798.016638655448</v>
      </c>
      <c r="N250" s="771">
        <f t="shared" si="95"/>
        <v>314726.40336134454</v>
      </c>
      <c r="O250" s="772">
        <f t="shared" si="96"/>
        <v>1259</v>
      </c>
      <c r="P250" s="772">
        <f t="shared" si="97"/>
        <v>313467.40336134454</v>
      </c>
      <c r="Q250" s="772"/>
      <c r="R250" s="766"/>
      <c r="S250" s="766"/>
      <c r="T250" s="775"/>
      <c r="U250" s="772">
        <f t="shared" si="98"/>
        <v>313467.40336134454</v>
      </c>
      <c r="V250" s="776"/>
    </row>
    <row r="251" spans="2:22" ht="30" customHeight="1">
      <c r="B251" s="807"/>
      <c r="C251" s="973"/>
      <c r="D251" s="973"/>
      <c r="E251" s="808"/>
      <c r="F251" s="807"/>
      <c r="G251" s="807"/>
      <c r="H251" s="808"/>
      <c r="I251" s="809"/>
      <c r="J251" s="974"/>
      <c r="K251" s="975"/>
      <c r="L251" s="976"/>
      <c r="M251" s="977"/>
      <c r="N251" s="977"/>
      <c r="O251" s="810"/>
      <c r="P251" s="810">
        <f>SUBTOTAL(109,Tabla1[Valor a Consignar a la ANI])</f>
        <v>1990978074.8424377</v>
      </c>
      <c r="Q251" s="810">
        <f>SUBTOTAL(109,Tabla1[Valor Pagado])</f>
        <v>1759580719.0459936</v>
      </c>
      <c r="R251" s="807"/>
      <c r="S251" s="807"/>
      <c r="T251" s="978"/>
      <c r="U251" s="810">
        <f>SUBTOTAL(109,Tabla1[Valor Por Cobrar])</f>
        <v>231397355.79644504</v>
      </c>
      <c r="V251" s="979"/>
    </row>
    <row r="252" spans="2:22" ht="30" customHeight="1" thickBot="1">
      <c r="B252" s="864"/>
      <c r="C252" s="865"/>
      <c r="D252" s="865"/>
      <c r="E252" s="866"/>
      <c r="F252" s="864"/>
      <c r="G252" s="864"/>
      <c r="H252" s="866"/>
      <c r="I252" s="867"/>
      <c r="J252" s="868"/>
      <c r="K252" s="869"/>
      <c r="L252" s="777"/>
      <c r="M252" s="870"/>
      <c r="N252" s="870"/>
      <c r="O252" s="871"/>
      <c r="P252" s="871"/>
      <c r="Q252" s="871"/>
      <c r="R252" s="864"/>
      <c r="S252" s="864"/>
      <c r="T252" s="872"/>
      <c r="U252" s="871"/>
      <c r="V252" s="873"/>
    </row>
    <row r="253" spans="2:22" ht="91.8" customHeight="1" thickBot="1">
      <c r="I253" s="568"/>
      <c r="J253" s="131"/>
      <c r="K253" s="597"/>
      <c r="M253" s="131"/>
      <c r="N253" s="730" t="s">
        <v>112</v>
      </c>
      <c r="O253" s="730" t="s">
        <v>113</v>
      </c>
      <c r="P253" s="731" t="s">
        <v>114</v>
      </c>
      <c r="Q253" s="730" t="s">
        <v>402</v>
      </c>
      <c r="R253" s="732" t="s">
        <v>323</v>
      </c>
      <c r="S253" s="730" t="s">
        <v>115</v>
      </c>
      <c r="U253" s="282"/>
      <c r="V253" s="833"/>
    </row>
    <row r="254" spans="2:22" s="110" customFormat="1" ht="298.2" customHeight="1">
      <c r="B254" s="101"/>
      <c r="C254" s="101"/>
      <c r="D254" s="101"/>
      <c r="E254" s="101"/>
      <c r="F254" s="101"/>
      <c r="G254" s="101"/>
      <c r="H254" s="101"/>
      <c r="I254" s="568"/>
      <c r="J254" s="101"/>
      <c r="K254" s="777"/>
      <c r="L254" s="598"/>
      <c r="M254" s="101"/>
      <c r="N254" s="733" t="s">
        <v>116</v>
      </c>
      <c r="O254" s="734">
        <f>O264</f>
        <v>68639472.611764714</v>
      </c>
      <c r="P254" s="734">
        <f>P264</f>
        <v>280111148.31285715</v>
      </c>
      <c r="Q254" s="734">
        <f>Q264</f>
        <v>280111148.31285715</v>
      </c>
      <c r="R254" s="965">
        <f>R264</f>
        <v>231397355.79605043</v>
      </c>
      <c r="S254" s="883" t="s">
        <v>983</v>
      </c>
      <c r="T254" s="101"/>
      <c r="U254" s="131"/>
      <c r="V254" s="311"/>
    </row>
    <row r="255" spans="2:22" ht="186" customHeight="1">
      <c r="I255" s="599"/>
      <c r="L255" s="598"/>
      <c r="N255" s="784" t="s">
        <v>117</v>
      </c>
      <c r="O255" s="278">
        <f>'Uso de Via'!F77</f>
        <v>41450725.632554241</v>
      </c>
      <c r="P255" s="715">
        <f>'Uso de Via'!G77</f>
        <v>9130835.3200000003</v>
      </c>
      <c r="Q255" s="275">
        <f>'Uso de Via'!H77</f>
        <v>9130835.3200000003</v>
      </c>
      <c r="R255" s="711">
        <f>'Uso de Via'!I77</f>
        <v>69183568.566933751</v>
      </c>
      <c r="S255" s="882" t="s">
        <v>984</v>
      </c>
      <c r="U255" s="131"/>
      <c r="V255" s="283"/>
    </row>
    <row r="256" spans="2:22" ht="97.2" customHeight="1">
      <c r="N256" s="714" t="s">
        <v>118</v>
      </c>
      <c r="O256" s="783">
        <f>'Materal rodante'!O36</f>
        <v>14954824.507563027</v>
      </c>
      <c r="P256" s="715">
        <f>'Materal rodante'!P36</f>
        <v>21209593.059999999</v>
      </c>
      <c r="Q256" s="275">
        <f>+'Materal rodante'!Q36</f>
        <v>21209593.059999999</v>
      </c>
      <c r="R256" s="711">
        <f>'Materal rodante'!R36</f>
        <v>26858904.50420168</v>
      </c>
      <c r="S256" s="882" t="s">
        <v>985</v>
      </c>
    </row>
    <row r="257" spans="2:21" ht="121.8" customHeight="1" thickBot="1">
      <c r="N257" s="785" t="s">
        <v>119</v>
      </c>
      <c r="O257" s="716">
        <f>SUM(O254:O256)</f>
        <v>125045022.75188199</v>
      </c>
      <c r="P257" s="716">
        <f>SUM(P254:P256)</f>
        <v>310451576.69285715</v>
      </c>
      <c r="Q257" s="717">
        <f>SUM(Q254:Q256)</f>
        <v>310451576.69285715</v>
      </c>
      <c r="R257" s="718">
        <f>SUM(R254:R256)</f>
        <v>327439828.86718583</v>
      </c>
      <c r="S257" s="719"/>
    </row>
    <row r="258" spans="2:21" ht="19.8" customHeight="1" thickBot="1">
      <c r="B258" s="110"/>
      <c r="C258" s="110"/>
      <c r="D258" s="110"/>
      <c r="E258" s="110"/>
      <c r="F258" s="110"/>
      <c r="G258" s="110"/>
      <c r="H258" s="110"/>
      <c r="J258" s="110"/>
      <c r="K258" s="279"/>
      <c r="L258" s="280"/>
      <c r="M258" s="110"/>
      <c r="N258" s="110"/>
      <c r="O258" s="110"/>
      <c r="P258" s="281"/>
      <c r="Q258" s="110"/>
      <c r="R258" s="110"/>
      <c r="S258" s="110"/>
      <c r="T258" s="110"/>
      <c r="U258" s="110"/>
    </row>
    <row r="259" spans="2:21" ht="95.4" customHeight="1" thickBot="1">
      <c r="J259" s="131"/>
      <c r="N259" s="728" t="s">
        <v>120</v>
      </c>
      <c r="O259" s="728" t="s">
        <v>121</v>
      </c>
      <c r="P259" s="728" t="s">
        <v>122</v>
      </c>
      <c r="Q259" s="728" t="s">
        <v>401</v>
      </c>
      <c r="R259" s="728" t="s">
        <v>324</v>
      </c>
      <c r="S259" s="729" t="s">
        <v>156</v>
      </c>
    </row>
    <row r="260" spans="2:21" ht="129.6" customHeight="1">
      <c r="N260" s="726" t="s">
        <v>123</v>
      </c>
      <c r="O260" s="131">
        <f>P248</f>
        <v>25861398.361344539</v>
      </c>
      <c r="P260" s="727">
        <f>Q188+Q208+Q219+Q229</f>
        <v>103445593.44537815</v>
      </c>
      <c r="Q260" s="727">
        <f>P260</f>
        <v>103445593.44537815</v>
      </c>
      <c r="R260" s="727">
        <f>P234+P229+P243</f>
        <v>77584195.084033608</v>
      </c>
      <c r="S260" s="721" t="s">
        <v>975</v>
      </c>
      <c r="U260" s="282"/>
    </row>
    <row r="261" spans="2:21" ht="157.19999999999999" customHeight="1">
      <c r="N261" s="720" t="s">
        <v>700</v>
      </c>
      <c r="O261" s="711">
        <f>P247+P246</f>
        <v>7074803.6470588241</v>
      </c>
      <c r="P261" s="275">
        <f>Q204+Q184+Q203+Q206+Q216+Q207+Q217</f>
        <v>17809477.277563028</v>
      </c>
      <c r="Q261" s="727">
        <f>P261</f>
        <v>17809477.277563028</v>
      </c>
      <c r="R261" s="276">
        <f>O261+P139+P214+P218+P226+P227+P228+P232+P233+P241+P242</f>
        <v>39110154.19605042</v>
      </c>
      <c r="S261" s="721" t="s">
        <v>976</v>
      </c>
    </row>
    <row r="262" spans="2:21" ht="118.2" customHeight="1">
      <c r="N262" s="720" t="s">
        <v>363</v>
      </c>
      <c r="O262" s="275">
        <f>P249</f>
        <v>35389803.200000003</v>
      </c>
      <c r="P262" s="275">
        <f>Q180+Q209+Q220+Q230</f>
        <v>141559212.80000001</v>
      </c>
      <c r="Q262" s="727">
        <f>P262</f>
        <v>141559212.80000001</v>
      </c>
      <c r="R262" s="276">
        <f>+O262+P235+P244</f>
        <v>106169409.60000001</v>
      </c>
      <c r="S262" s="721" t="s">
        <v>977</v>
      </c>
    </row>
    <row r="263" spans="2:21" ht="64.2" customHeight="1">
      <c r="N263" s="879" t="s">
        <v>778</v>
      </c>
      <c r="O263" s="880">
        <f>P250</f>
        <v>313467.40336134454</v>
      </c>
      <c r="P263" s="880">
        <f>Q196+Q197+Q199+Q200+Q201</f>
        <v>17296864.789915968</v>
      </c>
      <c r="Q263" s="881">
        <f>P263</f>
        <v>17296864.789915968</v>
      </c>
      <c r="R263" s="881">
        <f>O263+P195+P198+P213+P224+P225+P236+P239+P240+P245</f>
        <v>8533596.9159663878</v>
      </c>
      <c r="S263" s="721" t="s">
        <v>978</v>
      </c>
    </row>
    <row r="264" spans="2:21" ht="15" customHeight="1" thickBot="1">
      <c r="F264" s="131"/>
      <c r="N264" s="722" t="s">
        <v>119</v>
      </c>
      <c r="O264" s="723">
        <f>SUBTOTAL(9,O260:O263)</f>
        <v>68639472.611764714</v>
      </c>
      <c r="P264" s="723">
        <f>SUBTOTAL(9,P260:P263)</f>
        <v>280111148.31285715</v>
      </c>
      <c r="Q264" s="724">
        <f>SUM(Q260:Q263)</f>
        <v>280111148.31285715</v>
      </c>
      <c r="R264" s="966">
        <f>SUM(R260:R263)</f>
        <v>231397355.79605043</v>
      </c>
      <c r="S264" s="725"/>
    </row>
    <row r="265" spans="2:21" ht="15" customHeight="1">
      <c r="O265" s="131"/>
    </row>
    <row r="266" spans="2:21" ht="15" customHeight="1">
      <c r="R266" s="131"/>
    </row>
    <row r="267" spans="2:21" ht="15" customHeight="1">
      <c r="Q267" s="963"/>
    </row>
    <row r="268" spans="2:21" ht="15" customHeight="1">
      <c r="Q268" s="131"/>
    </row>
    <row r="270" spans="2:21" ht="15" customHeight="1">
      <c r="H270" s="282"/>
      <c r="O270" s="131"/>
    </row>
    <row r="271" spans="2:21" ht="15" customHeight="1">
      <c r="O271" s="131"/>
    </row>
    <row r="272" spans="2:21" ht="15" customHeight="1">
      <c r="O272" s="131"/>
    </row>
    <row r="273" spans="1:21" ht="15" customHeight="1">
      <c r="O273" s="131"/>
      <c r="U273" s="131"/>
    </row>
    <row r="274" spans="1:21" ht="15" customHeight="1">
      <c r="U274" s="131"/>
    </row>
    <row r="275" spans="1:21" ht="15" customHeight="1">
      <c r="U275" s="131"/>
    </row>
    <row r="276" spans="1:21" ht="15" customHeight="1">
      <c r="U276" s="131"/>
    </row>
    <row r="283" spans="1:21" ht="15" customHeight="1">
      <c r="A283" s="101">
        <v>0</v>
      </c>
      <c r="S283" s="101">
        <v>0</v>
      </c>
    </row>
  </sheetData>
  <sortState xmlns:xlrd2="http://schemas.microsoft.com/office/spreadsheetml/2017/richdata2" ref="B5:U34">
    <sortCondition ref="E5:E34"/>
  </sortState>
  <phoneticPr fontId="15" type="noConversion"/>
  <pageMargins left="0.7" right="0.7" top="0.75" bottom="0.75" header="0.3" footer="0.3"/>
  <pageSetup scale="15" fitToWidth="0"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3183E-3DCB-49DB-A518-0A2226442E7D}">
  <sheetPr>
    <tabColor theme="5" tint="0.39979247413556324"/>
  </sheetPr>
  <dimension ref="A1:N45"/>
  <sheetViews>
    <sheetView workbookViewId="0"/>
  </sheetViews>
  <sheetFormatPr baseColWidth="10" defaultRowHeight="14.4"/>
  <cols>
    <col min="1" max="1" width="16.5546875" bestFit="1" customWidth="1"/>
    <col min="2" max="2" width="30.6640625" style="381" bestFit="1" customWidth="1"/>
    <col min="3" max="3" width="20.109375" style="381" bestFit="1" customWidth="1"/>
    <col min="6" max="6" width="41.6640625" bestFit="1" customWidth="1"/>
    <col min="7" max="7" width="30.6640625" style="429" bestFit="1" customWidth="1"/>
    <col min="8" max="8" width="20.109375" style="429" bestFit="1" customWidth="1"/>
    <col min="11" max="11" width="16.5546875" bestFit="1" customWidth="1"/>
    <col min="12" max="12" width="20.109375" style="381" bestFit="1" customWidth="1"/>
    <col min="13" max="14" width="22.88671875" style="381" bestFit="1" customWidth="1"/>
  </cols>
  <sheetData>
    <row r="1" spans="1:14">
      <c r="K1" s="1077" t="s">
        <v>711</v>
      </c>
      <c r="L1" s="1077"/>
    </row>
    <row r="2" spans="1:14">
      <c r="A2" s="377" t="s">
        <v>296</v>
      </c>
      <c r="B2" t="s">
        <v>314</v>
      </c>
      <c r="C2" t="s">
        <v>315</v>
      </c>
      <c r="F2" s="377" t="s">
        <v>296</v>
      </c>
      <c r="G2" s="428" t="s">
        <v>314</v>
      </c>
      <c r="H2" s="428" t="s">
        <v>315</v>
      </c>
      <c r="K2" s="820" t="s">
        <v>296</v>
      </c>
      <c r="L2" s="819" t="s">
        <v>315</v>
      </c>
      <c r="M2"/>
      <c r="N2"/>
    </row>
    <row r="3" spans="1:14">
      <c r="A3" s="378" t="s">
        <v>306</v>
      </c>
      <c r="B3" s="379">
        <v>71784133.939495802</v>
      </c>
      <c r="C3" s="379">
        <v>71385120.537827909</v>
      </c>
      <c r="F3" s="378" t="s">
        <v>32</v>
      </c>
      <c r="G3" s="428">
        <v>229642007.1344538</v>
      </c>
      <c r="H3" s="428">
        <v>74473616.966386557</v>
      </c>
      <c r="K3" s="821" t="s">
        <v>306</v>
      </c>
      <c r="L3" s="1070">
        <v>138728376.06782791</v>
      </c>
      <c r="M3"/>
      <c r="N3"/>
    </row>
    <row r="4" spans="1:14">
      <c r="A4" s="380">
        <v>2025</v>
      </c>
      <c r="B4" s="379">
        <v>71784133.939495802</v>
      </c>
      <c r="C4" s="379">
        <v>71385120.537827909</v>
      </c>
      <c r="F4" s="380">
        <v>2025</v>
      </c>
      <c r="G4" s="428">
        <v>229642007.1344538</v>
      </c>
      <c r="H4" s="428">
        <v>74473616.966386557</v>
      </c>
      <c r="K4" s="822">
        <v>2024</v>
      </c>
      <c r="L4" s="1070">
        <v>66944242.129999995</v>
      </c>
      <c r="M4"/>
      <c r="N4"/>
    </row>
    <row r="5" spans="1:14">
      <c r="A5" s="378" t="s">
        <v>307</v>
      </c>
      <c r="B5" s="379">
        <v>71784133.939495802</v>
      </c>
      <c r="C5" s="379">
        <v>71784133.939495802</v>
      </c>
      <c r="F5" s="378" t="s">
        <v>35</v>
      </c>
      <c r="G5" s="428">
        <v>95007126.243697479</v>
      </c>
      <c r="H5" s="428">
        <v>45546709.088416144</v>
      </c>
      <c r="K5" s="823">
        <v>2025</v>
      </c>
      <c r="L5" s="1070">
        <v>71385120.537827909</v>
      </c>
      <c r="M5"/>
      <c r="N5"/>
    </row>
    <row r="6" spans="1:14">
      <c r="A6" s="380">
        <v>2025</v>
      </c>
      <c r="B6" s="379">
        <v>71784133.939495802</v>
      </c>
      <c r="C6" s="379">
        <v>71784133.939495802</v>
      </c>
      <c r="F6" s="380">
        <v>2025</v>
      </c>
      <c r="G6" s="428">
        <v>95007126.243697479</v>
      </c>
      <c r="H6" s="428">
        <v>45546709.088416144</v>
      </c>
      <c r="K6" s="841">
        <v>2026</v>
      </c>
      <c r="L6" s="1070">
        <v>399013.4</v>
      </c>
      <c r="M6"/>
      <c r="N6"/>
    </row>
    <row r="7" spans="1:14">
      <c r="A7" s="378" t="s">
        <v>313</v>
      </c>
      <c r="B7" s="379">
        <v>85107636.863865554</v>
      </c>
      <c r="C7" s="379">
        <v>72584733.636974797</v>
      </c>
      <c r="F7" s="378" t="s">
        <v>110</v>
      </c>
      <c r="G7" s="428">
        <v>318508228.79999995</v>
      </c>
      <c r="H7" s="428">
        <v>106169409.60000001</v>
      </c>
      <c r="K7" s="821" t="s">
        <v>307</v>
      </c>
      <c r="L7" s="1070">
        <v>134744376.0694958</v>
      </c>
      <c r="M7"/>
      <c r="N7"/>
    </row>
    <row r="8" spans="1:14">
      <c r="A8" s="380">
        <v>2025</v>
      </c>
      <c r="B8" s="379">
        <v>85107636.863865554</v>
      </c>
      <c r="C8" s="379">
        <v>72584733.636974797</v>
      </c>
      <c r="F8" s="380">
        <v>2025</v>
      </c>
      <c r="G8" s="428">
        <v>318508228.79999995</v>
      </c>
      <c r="H8" s="428">
        <v>106169409.60000001</v>
      </c>
      <c r="K8" s="823">
        <v>2024</v>
      </c>
      <c r="L8" s="1070">
        <v>62960242.13000001</v>
      </c>
      <c r="M8"/>
      <c r="N8"/>
    </row>
    <row r="9" spans="1:14">
      <c r="A9" s="378" t="s">
        <v>372</v>
      </c>
      <c r="B9" s="379">
        <v>79067067.200000018</v>
      </c>
      <c r="C9" s="379">
        <v>10435747.540504202</v>
      </c>
      <c r="F9" s="378" t="s">
        <v>751</v>
      </c>
      <c r="G9" s="428">
        <v>25516994.302521016</v>
      </c>
      <c r="H9" s="428"/>
      <c r="K9" s="841">
        <v>2025</v>
      </c>
      <c r="L9" s="1070">
        <v>71784133.939495802</v>
      </c>
      <c r="M9"/>
      <c r="N9"/>
    </row>
    <row r="10" spans="1:14">
      <c r="A10" s="380">
        <v>2025</v>
      </c>
      <c r="B10" s="379">
        <v>79067067.200000018</v>
      </c>
      <c r="C10" s="379">
        <v>10435747.540504202</v>
      </c>
      <c r="F10" s="380">
        <v>2025</v>
      </c>
      <c r="G10" s="428">
        <v>25516994.302521016</v>
      </c>
      <c r="H10" s="428"/>
      <c r="K10" s="821" t="s">
        <v>313</v>
      </c>
      <c r="L10" s="1070">
        <v>135544975.76697481</v>
      </c>
      <c r="M10"/>
      <c r="N10"/>
    </row>
    <row r="11" spans="1:14">
      <c r="A11" s="378" t="s">
        <v>415</v>
      </c>
      <c r="B11" s="379">
        <v>79067067.200000018</v>
      </c>
      <c r="C11" s="379"/>
      <c r="F11" s="378" t="s">
        <v>297</v>
      </c>
      <c r="G11" s="428">
        <v>668674356.48067224</v>
      </c>
      <c r="H11" s="428">
        <v>226189735.65480271</v>
      </c>
      <c r="K11" s="823">
        <v>2024</v>
      </c>
      <c r="L11" s="1070">
        <v>62960242.13000001</v>
      </c>
      <c r="M11"/>
      <c r="N11"/>
    </row>
    <row r="12" spans="1:14">
      <c r="A12" s="380">
        <v>2025</v>
      </c>
      <c r="B12" s="379">
        <v>79067067.200000018</v>
      </c>
      <c r="C12" s="379"/>
      <c r="G12"/>
      <c r="H12"/>
      <c r="K12" s="841">
        <v>2025</v>
      </c>
      <c r="L12" s="1070">
        <v>72584733.636974782</v>
      </c>
      <c r="M12"/>
      <c r="N12"/>
    </row>
    <row r="13" spans="1:14">
      <c r="A13" s="378" t="s">
        <v>448</v>
      </c>
      <c r="B13" s="379">
        <v>73510423.8722689</v>
      </c>
      <c r="C13" s="379"/>
      <c r="G13"/>
      <c r="H13"/>
      <c r="K13" s="821" t="s">
        <v>372</v>
      </c>
      <c r="L13" s="1070">
        <v>77379989.670504212</v>
      </c>
      <c r="M13"/>
      <c r="N13"/>
    </row>
    <row r="14" spans="1:14">
      <c r="A14" s="380">
        <v>2025</v>
      </c>
      <c r="B14" s="379">
        <v>73510423.8722689</v>
      </c>
      <c r="C14" s="379"/>
      <c r="G14"/>
      <c r="H14"/>
      <c r="K14" s="823">
        <v>2024</v>
      </c>
      <c r="L14" s="1070">
        <v>66944242.13000001</v>
      </c>
      <c r="M14"/>
      <c r="N14"/>
    </row>
    <row r="15" spans="1:14">
      <c r="A15" s="378" t="s">
        <v>486</v>
      </c>
      <c r="B15" s="379">
        <v>71074948.242016807</v>
      </c>
      <c r="C15" s="379"/>
      <c r="G15"/>
      <c r="H15"/>
      <c r="K15" s="841">
        <v>2025</v>
      </c>
      <c r="L15" s="1070">
        <v>10435747.540504202</v>
      </c>
      <c r="M15"/>
      <c r="N15"/>
    </row>
    <row r="16" spans="1:14">
      <c r="A16" s="380">
        <v>2025</v>
      </c>
      <c r="B16" s="379">
        <v>71074948.242016807</v>
      </c>
      <c r="C16" s="379"/>
      <c r="G16"/>
      <c r="H16"/>
      <c r="K16" s="821" t="s">
        <v>415</v>
      </c>
      <c r="L16" s="1070">
        <v>82993419.13000001</v>
      </c>
      <c r="M16"/>
    </row>
    <row r="17" spans="1:13">
      <c r="A17" s="378" t="s">
        <v>548</v>
      </c>
      <c r="B17" s="379">
        <v>68639472.611764699</v>
      </c>
      <c r="C17" s="379"/>
      <c r="G17"/>
      <c r="H17"/>
      <c r="K17" s="822">
        <v>2023</v>
      </c>
      <c r="L17" s="1070">
        <v>8081177</v>
      </c>
      <c r="M17"/>
    </row>
    <row r="18" spans="1:13">
      <c r="A18" s="380">
        <v>2025</v>
      </c>
      <c r="B18" s="379">
        <v>68639472.611764699</v>
      </c>
      <c r="C18" s="379"/>
      <c r="G18"/>
      <c r="H18"/>
      <c r="K18" s="823">
        <v>2024</v>
      </c>
      <c r="L18" s="1070">
        <v>74912242.13000001</v>
      </c>
      <c r="M18"/>
    </row>
    <row r="19" spans="1:13">
      <c r="A19" s="378" t="s">
        <v>578</v>
      </c>
      <c r="B19" s="379">
        <v>68639472.611764699</v>
      </c>
      <c r="C19" s="379"/>
      <c r="G19"/>
      <c r="H19"/>
      <c r="K19" s="841">
        <v>2025</v>
      </c>
      <c r="L19" s="1070"/>
      <c r="M19"/>
    </row>
    <row r="20" spans="1:13">
      <c r="A20" s="380">
        <v>2025</v>
      </c>
      <c r="B20" s="379">
        <v>68639472.611764699</v>
      </c>
      <c r="C20" s="379"/>
      <c r="G20"/>
      <c r="H20"/>
      <c r="K20" s="821" t="s">
        <v>448</v>
      </c>
      <c r="L20" s="1070">
        <v>105522933.96000001</v>
      </c>
      <c r="M20"/>
    </row>
    <row r="21" spans="1:13">
      <c r="A21" s="378" t="s">
        <v>297</v>
      </c>
      <c r="B21" s="379">
        <v>668674356.48067224</v>
      </c>
      <c r="C21" s="379">
        <v>226189735.65480274</v>
      </c>
      <c r="G21"/>
      <c r="H21"/>
      <c r="K21" s="822">
        <v>2023</v>
      </c>
      <c r="L21" s="1070">
        <v>38578691.829999998</v>
      </c>
      <c r="M21"/>
    </row>
    <row r="22" spans="1:13">
      <c r="B22"/>
      <c r="C22"/>
      <c r="K22" s="823">
        <v>2024</v>
      </c>
      <c r="L22" s="1070">
        <v>66944242.13000001</v>
      </c>
      <c r="M22"/>
    </row>
    <row r="23" spans="1:13">
      <c r="B23"/>
      <c r="C23"/>
      <c r="K23" s="841">
        <v>2025</v>
      </c>
      <c r="L23" s="1070"/>
      <c r="M23"/>
    </row>
    <row r="24" spans="1:13">
      <c r="B24"/>
      <c r="C24"/>
      <c r="K24" s="821" t="s">
        <v>486</v>
      </c>
      <c r="L24" s="1070">
        <v>272002598.07999998</v>
      </c>
      <c r="M24"/>
    </row>
    <row r="25" spans="1:13">
      <c r="B25"/>
      <c r="C25"/>
      <c r="K25" s="822">
        <v>2023</v>
      </c>
      <c r="L25" s="1070">
        <v>202751123.14999998</v>
      </c>
      <c r="M25"/>
    </row>
    <row r="26" spans="1:13">
      <c r="B26"/>
      <c r="C26"/>
      <c r="K26" s="823">
        <v>2024</v>
      </c>
      <c r="L26" s="1070">
        <v>69251474.930000007</v>
      </c>
      <c r="M26"/>
    </row>
    <row r="27" spans="1:13">
      <c r="B27"/>
      <c r="C27"/>
      <c r="K27" s="841">
        <v>2025</v>
      </c>
      <c r="L27" s="1070"/>
      <c r="M27"/>
    </row>
    <row r="28" spans="1:13">
      <c r="B28"/>
      <c r="C28"/>
      <c r="K28" s="821" t="s">
        <v>548</v>
      </c>
      <c r="L28" s="1070">
        <v>72843566.560000002</v>
      </c>
      <c r="M28"/>
    </row>
    <row r="29" spans="1:13">
      <c r="B29"/>
      <c r="C29"/>
      <c r="K29" s="822">
        <v>2023</v>
      </c>
      <c r="L29" s="1070">
        <v>3452919.5599999996</v>
      </c>
      <c r="M29"/>
    </row>
    <row r="30" spans="1:13">
      <c r="B30"/>
      <c r="C30"/>
      <c r="K30" s="823">
        <v>2024</v>
      </c>
      <c r="L30" s="1070">
        <v>69390647</v>
      </c>
      <c r="M30"/>
    </row>
    <row r="31" spans="1:13">
      <c r="B31"/>
      <c r="C31"/>
      <c r="K31" s="841">
        <v>2025</v>
      </c>
      <c r="L31" s="1070"/>
      <c r="M31"/>
    </row>
    <row r="32" spans="1:13">
      <c r="B32"/>
      <c r="C32"/>
      <c r="K32" s="821" t="s">
        <v>578</v>
      </c>
      <c r="L32" s="1070">
        <v>72704394.49000001</v>
      </c>
      <c r="M32"/>
    </row>
    <row r="33" spans="2:13">
      <c r="B33"/>
      <c r="C33"/>
      <c r="K33" s="822">
        <v>2023</v>
      </c>
      <c r="L33" s="1070">
        <v>3452919.5599999996</v>
      </c>
      <c r="M33"/>
    </row>
    <row r="34" spans="2:13">
      <c r="B34"/>
      <c r="C34"/>
      <c r="K34" s="823">
        <v>2024</v>
      </c>
      <c r="L34" s="1070">
        <v>69251474.930000007</v>
      </c>
      <c r="M34"/>
    </row>
    <row r="35" spans="2:13">
      <c r="B35"/>
      <c r="C35"/>
      <c r="K35" s="841">
        <v>2025</v>
      </c>
      <c r="L35" s="1070"/>
      <c r="M35"/>
    </row>
    <row r="36" spans="2:13">
      <c r="B36"/>
      <c r="C36"/>
      <c r="K36" s="821" t="s">
        <v>604</v>
      </c>
      <c r="L36" s="1070">
        <v>185580282.70000002</v>
      </c>
      <c r="M36"/>
    </row>
    <row r="37" spans="2:13">
      <c r="B37"/>
      <c r="C37"/>
      <c r="K37" s="822">
        <v>2023</v>
      </c>
      <c r="L37" s="1070">
        <v>115930407.77000001</v>
      </c>
    </row>
    <row r="38" spans="2:13">
      <c r="B38"/>
      <c r="C38"/>
      <c r="K38" s="823">
        <v>2024</v>
      </c>
      <c r="L38" s="1070">
        <v>69649874.930000007</v>
      </c>
    </row>
    <row r="39" spans="2:13">
      <c r="B39"/>
      <c r="C39"/>
      <c r="K39" s="821" t="s">
        <v>633</v>
      </c>
      <c r="L39" s="1070">
        <v>74646571.790000007</v>
      </c>
    </row>
    <row r="40" spans="2:13">
      <c r="B40"/>
      <c r="C40"/>
      <c r="K40" s="822">
        <v>2023</v>
      </c>
      <c r="L40" s="1070"/>
    </row>
    <row r="41" spans="2:13">
      <c r="B41"/>
      <c r="C41"/>
      <c r="K41" s="823">
        <v>2024</v>
      </c>
      <c r="L41" s="1070">
        <v>74646571.790000007</v>
      </c>
    </row>
    <row r="42" spans="2:13">
      <c r="B42"/>
      <c r="C42"/>
      <c r="K42" s="821" t="s">
        <v>658</v>
      </c>
      <c r="L42" s="1070">
        <v>126778086.44833212</v>
      </c>
    </row>
    <row r="43" spans="2:13">
      <c r="B43"/>
      <c r="C43"/>
      <c r="K43" s="822">
        <v>2023</v>
      </c>
      <c r="L43" s="1070">
        <v>54794848.579999998</v>
      </c>
    </row>
    <row r="44" spans="2:13">
      <c r="B44"/>
      <c r="C44"/>
      <c r="K44" s="823">
        <v>2024</v>
      </c>
      <c r="L44" s="1070">
        <v>71983237.868332118</v>
      </c>
    </row>
    <row r="45" spans="2:13">
      <c r="B45"/>
      <c r="C45"/>
      <c r="K45" s="821" t="s">
        <v>297</v>
      </c>
      <c r="L45" s="819">
        <v>1479469570.7331347</v>
      </c>
    </row>
  </sheetData>
  <mergeCells count="1">
    <mergeCell ref="K1:L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3AC1A-137F-4CDA-AC21-E9EEDC51AE63}">
  <sheetPr>
    <tabColor theme="5" tint="0.39979247413556324"/>
  </sheetPr>
  <dimension ref="E19:E28"/>
  <sheetViews>
    <sheetView topLeftCell="E1" workbookViewId="0">
      <selection activeCell="N19" sqref="N19"/>
    </sheetView>
  </sheetViews>
  <sheetFormatPr baseColWidth="10" defaultRowHeight="14.4"/>
  <cols>
    <col min="5" max="5" width="17.33203125" bestFit="1" customWidth="1"/>
    <col min="19" max="19" width="12.44140625" customWidth="1"/>
  </cols>
  <sheetData>
    <row r="19" spans="5:5">
      <c r="E19" s="1076"/>
    </row>
    <row r="20" spans="5:5">
      <c r="E20" s="381"/>
    </row>
    <row r="22" spans="5:5">
      <c r="E22" s="381"/>
    </row>
    <row r="23" spans="5:5">
      <c r="E23" s="381"/>
    </row>
    <row r="24" spans="5:5">
      <c r="E24" s="381"/>
    </row>
    <row r="25" spans="5:5">
      <c r="E25" s="381"/>
    </row>
    <row r="26" spans="5:5">
      <c r="E26" s="381"/>
    </row>
    <row r="27" spans="5:5">
      <c r="E27" s="381"/>
    </row>
    <row r="28" spans="5:5">
      <c r="E28" s="38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79247413556324"/>
  </sheetPr>
  <dimension ref="A1:Y88"/>
  <sheetViews>
    <sheetView topLeftCell="P57" zoomScale="173" workbookViewId="0">
      <selection activeCell="U64" sqref="U64:U65"/>
    </sheetView>
  </sheetViews>
  <sheetFormatPr baseColWidth="10" defaultColWidth="10.88671875" defaultRowHeight="15" customHeight="1"/>
  <cols>
    <col min="1" max="2" width="8.109375" style="2" customWidth="1"/>
    <col min="3" max="3" width="9" style="2" customWidth="1"/>
    <col min="4" max="4" width="11.109375" style="2" customWidth="1"/>
    <col min="5" max="5" width="24.6640625" style="2" customWidth="1"/>
    <col min="6" max="6" width="20.88671875" style="2" customWidth="1"/>
    <col min="7" max="7" width="22.109375" style="2" customWidth="1"/>
    <col min="8" max="8" width="24" style="2" customWidth="1"/>
    <col min="9" max="9" width="27.6640625" style="2" customWidth="1"/>
    <col min="10" max="10" width="31" style="2" customWidth="1"/>
    <col min="11" max="11" width="35.6640625" style="2" customWidth="1"/>
    <col min="12" max="12" width="17.6640625" style="2" customWidth="1"/>
    <col min="13" max="13" width="13.6640625" style="2" customWidth="1"/>
    <col min="14" max="15" width="14.88671875" style="2" customWidth="1"/>
    <col min="16" max="16" width="22.44140625" style="2" customWidth="1"/>
    <col min="17" max="17" width="20.33203125" style="2" customWidth="1"/>
    <col min="18" max="18" width="12.33203125" style="2" customWidth="1"/>
    <col min="19" max="19" width="12.77734375" style="2" customWidth="1"/>
    <col min="20" max="20" width="14.88671875" style="2" customWidth="1"/>
    <col min="21" max="21" width="23.21875" style="2" customWidth="1"/>
    <col min="22" max="22" width="18.44140625" style="2" customWidth="1"/>
    <col min="23" max="23" width="11.5546875" style="2" bestFit="1" customWidth="1"/>
    <col min="24" max="24" width="10.88671875" style="2"/>
    <col min="25" max="25" width="12.33203125" style="2" bestFit="1" customWidth="1"/>
    <col min="26" max="16384" width="10.88671875" style="2"/>
  </cols>
  <sheetData>
    <row r="1" spans="1:21" ht="15" customHeight="1">
      <c r="A1" s="3" t="s">
        <v>124</v>
      </c>
      <c r="F1" s="4"/>
      <c r="G1" s="5"/>
      <c r="R1" s="18"/>
    </row>
    <row r="2" spans="1:21" ht="15" customHeight="1">
      <c r="A2" s="3" t="s">
        <v>1</v>
      </c>
      <c r="Q2" s="19" t="s">
        <v>2</v>
      </c>
      <c r="R2" s="20"/>
      <c r="S2" s="20"/>
      <c r="T2" s="20"/>
      <c r="U2" s="21"/>
    </row>
    <row r="3" spans="1:21" s="1" customFormat="1" ht="27" customHeight="1">
      <c r="A3" s="6" t="s">
        <v>3</v>
      </c>
      <c r="B3" s="6" t="s">
        <v>4</v>
      </c>
      <c r="C3" s="7" t="s">
        <v>5</v>
      </c>
      <c r="D3" s="7" t="s">
        <v>125</v>
      </c>
      <c r="E3" s="7" t="s">
        <v>9</v>
      </c>
      <c r="F3" s="7" t="s">
        <v>10</v>
      </c>
      <c r="G3" s="7" t="s">
        <v>11</v>
      </c>
      <c r="H3" s="7" t="s">
        <v>126</v>
      </c>
      <c r="I3" s="7" t="s">
        <v>127</v>
      </c>
      <c r="J3" s="7" t="s">
        <v>128</v>
      </c>
      <c r="K3" s="7" t="s">
        <v>129</v>
      </c>
      <c r="L3" s="15" t="s">
        <v>13</v>
      </c>
      <c r="M3" s="15" t="s">
        <v>14</v>
      </c>
      <c r="N3" s="15" t="s">
        <v>15</v>
      </c>
      <c r="O3" s="15" t="s">
        <v>130</v>
      </c>
      <c r="P3" s="15" t="s">
        <v>17</v>
      </c>
      <c r="Q3" s="15" t="s">
        <v>18</v>
      </c>
      <c r="R3" s="6" t="s">
        <v>707</v>
      </c>
      <c r="S3" s="6" t="s">
        <v>708</v>
      </c>
      <c r="T3" s="7" t="s">
        <v>709</v>
      </c>
      <c r="U3" s="22" t="s">
        <v>19</v>
      </c>
    </row>
    <row r="4" spans="1:21" ht="15" hidden="1" customHeight="1">
      <c r="A4" s="64">
        <f t="shared" ref="A4:A18" si="0">+YEAR(C4)</f>
        <v>2023</v>
      </c>
      <c r="B4" s="64" t="str">
        <f>UPPER(TEXT(C4,"MMM"))</f>
        <v>MAY</v>
      </c>
      <c r="C4" s="65">
        <v>45055</v>
      </c>
      <c r="D4" s="64">
        <v>2</v>
      </c>
      <c r="E4" s="64" t="s">
        <v>22</v>
      </c>
      <c r="F4" s="309" t="s">
        <v>131</v>
      </c>
      <c r="G4" s="66" t="s">
        <v>132</v>
      </c>
      <c r="H4" s="64" t="s">
        <v>133</v>
      </c>
      <c r="I4" s="64"/>
      <c r="J4" s="67">
        <f>+L4/K4</f>
        <v>11189.999529942652</v>
      </c>
      <c r="K4" s="64">
        <v>850.96</v>
      </c>
      <c r="L4" s="68">
        <v>9522242</v>
      </c>
      <c r="M4" s="68"/>
      <c r="N4" s="68">
        <f t="shared" ref="N4:N16" si="1">L4-M4</f>
        <v>9522242</v>
      </c>
      <c r="O4" s="68">
        <f>ROUND(N4*0.004,0)</f>
        <v>38089</v>
      </c>
      <c r="P4" s="68">
        <f>(N4-O4)</f>
        <v>9484153</v>
      </c>
      <c r="Q4" s="68">
        <v>9484153</v>
      </c>
      <c r="R4" s="800">
        <v>2023</v>
      </c>
      <c r="S4" s="64" t="str">
        <f>UPPER(TEXT(T4,"MMM"))</f>
        <v>JUN</v>
      </c>
      <c r="T4" s="65">
        <v>45085</v>
      </c>
      <c r="U4" s="69">
        <f t="shared" ref="U4:U17" si="2">+P4-Q4</f>
        <v>0</v>
      </c>
    </row>
    <row r="5" spans="1:21" ht="15" hidden="1" customHeight="1">
      <c r="A5" s="64">
        <f t="shared" si="0"/>
        <v>2023</v>
      </c>
      <c r="B5" s="64" t="str">
        <f>UPPER(TEXT(C5,"MMM"))</f>
        <v>MAY</v>
      </c>
      <c r="C5" s="65">
        <v>45070</v>
      </c>
      <c r="D5" s="64">
        <v>8</v>
      </c>
      <c r="E5" s="64" t="s">
        <v>22</v>
      </c>
      <c r="F5" s="309" t="s">
        <v>131</v>
      </c>
      <c r="G5" s="66" t="s">
        <v>30</v>
      </c>
      <c r="H5" s="64" t="s">
        <v>133</v>
      </c>
      <c r="I5" s="69"/>
      <c r="J5" s="67">
        <f>+L5/K5</f>
        <v>43723.999952994265</v>
      </c>
      <c r="K5" s="64">
        <v>850.96</v>
      </c>
      <c r="L5" s="68">
        <v>37207375</v>
      </c>
      <c r="M5" s="70"/>
      <c r="N5" s="68">
        <f t="shared" si="1"/>
        <v>37207375</v>
      </c>
      <c r="O5" s="68">
        <f t="shared" ref="O5:O16" si="3">ROUND(N5*0.004,0)</f>
        <v>148830</v>
      </c>
      <c r="P5" s="68">
        <f t="shared" ref="P5:P16" si="4">(N5-O5)</f>
        <v>37058545</v>
      </c>
      <c r="Q5" s="68">
        <v>37058545</v>
      </c>
      <c r="R5" s="800">
        <v>2023</v>
      </c>
      <c r="S5" s="64" t="str">
        <f t="shared" ref="S5:S43" si="5">UPPER(TEXT(T5,"MMM"))</f>
        <v>JUN</v>
      </c>
      <c r="T5" s="65">
        <v>45085</v>
      </c>
      <c r="U5" s="69">
        <f t="shared" si="2"/>
        <v>0</v>
      </c>
    </row>
    <row r="6" spans="1:21" ht="15" hidden="1" customHeight="1">
      <c r="A6" s="8">
        <f t="shared" si="0"/>
        <v>2023</v>
      </c>
      <c r="B6" s="8" t="str">
        <f t="shared" ref="B6:B50" si="6">UPPER(TEXT(C6,"MMM"))</f>
        <v>JUN</v>
      </c>
      <c r="C6" s="9">
        <v>45078</v>
      </c>
      <c r="D6" s="8">
        <v>13</v>
      </c>
      <c r="E6" s="8" t="s">
        <v>22</v>
      </c>
      <c r="F6" s="310" t="s">
        <v>131</v>
      </c>
      <c r="G6" s="10" t="s">
        <v>31</v>
      </c>
      <c r="H6" s="8" t="s">
        <v>133</v>
      </c>
      <c r="I6" s="25"/>
      <c r="J6" s="26">
        <f>+L6/K6</f>
        <v>46997.99990598853</v>
      </c>
      <c r="K6" s="8">
        <v>850.96</v>
      </c>
      <c r="L6" s="16">
        <v>39993418</v>
      </c>
      <c r="M6" s="27"/>
      <c r="N6" s="16">
        <f t="shared" si="1"/>
        <v>39993418</v>
      </c>
      <c r="O6" s="16">
        <f t="shared" si="3"/>
        <v>159974</v>
      </c>
      <c r="P6" s="16">
        <f t="shared" si="4"/>
        <v>39833444</v>
      </c>
      <c r="Q6" s="16">
        <v>39833444</v>
      </c>
      <c r="R6" s="801">
        <f t="shared" ref="R6:R12" si="7">+YEAR(T6)</f>
        <v>2023</v>
      </c>
      <c r="S6" s="801" t="str">
        <f t="shared" si="5"/>
        <v>JUL</v>
      </c>
      <c r="T6" s="9">
        <v>45135</v>
      </c>
      <c r="U6" s="25">
        <f t="shared" si="2"/>
        <v>0</v>
      </c>
    </row>
    <row r="7" spans="1:21" ht="15" hidden="1" customHeight="1">
      <c r="A7" s="8">
        <f t="shared" si="0"/>
        <v>2023</v>
      </c>
      <c r="B7" s="8" t="str">
        <f t="shared" si="6"/>
        <v>JUN</v>
      </c>
      <c r="C7" s="9">
        <v>45107</v>
      </c>
      <c r="D7" s="8" t="s">
        <v>134</v>
      </c>
      <c r="E7" s="8" t="s">
        <v>22</v>
      </c>
      <c r="F7" s="310" t="s">
        <v>135</v>
      </c>
      <c r="G7" s="10" t="s">
        <v>34</v>
      </c>
      <c r="H7" s="8" t="s">
        <v>136</v>
      </c>
      <c r="I7" s="28">
        <f>ROUND(+L7/K7,0)</f>
        <v>800917</v>
      </c>
      <c r="J7" s="28"/>
      <c r="K7" s="8">
        <v>8</v>
      </c>
      <c r="L7" s="16">
        <v>6407339</v>
      </c>
      <c r="M7" s="16">
        <v>0</v>
      </c>
      <c r="N7" s="16">
        <f t="shared" si="1"/>
        <v>6407339</v>
      </c>
      <c r="O7" s="16">
        <f t="shared" si="3"/>
        <v>25629</v>
      </c>
      <c r="P7" s="16">
        <f t="shared" si="4"/>
        <v>6381710</v>
      </c>
      <c r="Q7" s="16">
        <v>6381710</v>
      </c>
      <c r="R7" s="801">
        <f t="shared" si="7"/>
        <v>2023</v>
      </c>
      <c r="S7" s="801" t="str">
        <f t="shared" si="5"/>
        <v>JUL</v>
      </c>
      <c r="T7" s="9">
        <v>45135</v>
      </c>
      <c r="U7" s="25">
        <f t="shared" si="2"/>
        <v>0</v>
      </c>
    </row>
    <row r="8" spans="1:21" ht="15" hidden="1" customHeight="1">
      <c r="A8" s="38">
        <f>+YEAR(C8)</f>
        <v>2023</v>
      </c>
      <c r="B8" s="39" t="str">
        <f t="shared" si="6"/>
        <v>JUL</v>
      </c>
      <c r="C8" s="40">
        <v>45111</v>
      </c>
      <c r="D8" s="39">
        <v>30</v>
      </c>
      <c r="E8" s="39" t="s">
        <v>22</v>
      </c>
      <c r="F8" s="297" t="s">
        <v>131</v>
      </c>
      <c r="G8" s="41" t="s">
        <v>34</v>
      </c>
      <c r="H8" s="39" t="s">
        <v>133</v>
      </c>
      <c r="I8" s="42"/>
      <c r="J8" s="43">
        <f>+L8/K8</f>
        <v>20328.000141017204</v>
      </c>
      <c r="K8" s="39">
        <v>850.96</v>
      </c>
      <c r="L8" s="44">
        <v>17298315</v>
      </c>
      <c r="M8" s="45"/>
      <c r="N8" s="44">
        <f t="shared" si="1"/>
        <v>17298315</v>
      </c>
      <c r="O8" s="44">
        <f t="shared" si="3"/>
        <v>69193</v>
      </c>
      <c r="P8" s="44">
        <f t="shared" si="4"/>
        <v>17229122</v>
      </c>
      <c r="Q8" s="44">
        <v>17229122</v>
      </c>
      <c r="R8" s="81">
        <f t="shared" si="7"/>
        <v>2023</v>
      </c>
      <c r="S8" s="81" t="str">
        <f t="shared" si="5"/>
        <v>JUL</v>
      </c>
      <c r="T8" s="46">
        <v>45135</v>
      </c>
      <c r="U8" s="42">
        <f t="shared" si="2"/>
        <v>0</v>
      </c>
    </row>
    <row r="9" spans="1:21" ht="15" hidden="1" customHeight="1">
      <c r="A9" s="39">
        <f t="shared" si="0"/>
        <v>2023</v>
      </c>
      <c r="B9" s="39" t="str">
        <f t="shared" si="6"/>
        <v>JUL</v>
      </c>
      <c r="C9" s="46">
        <v>45138</v>
      </c>
      <c r="D9" s="39" t="s">
        <v>137</v>
      </c>
      <c r="E9" s="39" t="s">
        <v>22</v>
      </c>
      <c r="F9" s="297" t="s">
        <v>135</v>
      </c>
      <c r="G9" s="41" t="s">
        <v>138</v>
      </c>
      <c r="H9" s="39" t="s">
        <v>136</v>
      </c>
      <c r="I9" s="47">
        <f>ROUND(+L9/K9,0)</f>
        <v>1003665</v>
      </c>
      <c r="J9" s="43"/>
      <c r="K9" s="39">
        <v>8</v>
      </c>
      <c r="L9" s="44">
        <v>8029317</v>
      </c>
      <c r="M9" s="45"/>
      <c r="N9" s="44">
        <f>L9-M9</f>
        <v>8029317</v>
      </c>
      <c r="O9" s="44">
        <f>ROUND(N9*0.004,0)</f>
        <v>32117</v>
      </c>
      <c r="P9" s="44">
        <f t="shared" si="4"/>
        <v>7997200</v>
      </c>
      <c r="Q9" s="44">
        <v>4001104</v>
      </c>
      <c r="R9" s="81">
        <f t="shared" si="7"/>
        <v>2023</v>
      </c>
      <c r="S9" s="81" t="str">
        <f t="shared" si="5"/>
        <v>JUL</v>
      </c>
      <c r="T9" s="46">
        <v>45135</v>
      </c>
      <c r="U9" s="42">
        <f t="shared" si="2"/>
        <v>3996096</v>
      </c>
    </row>
    <row r="10" spans="1:21" ht="19.95" hidden="1" customHeight="1">
      <c r="A10" s="39">
        <f>+YEAR(C10)</f>
        <v>2023</v>
      </c>
      <c r="B10" s="39" t="str">
        <f t="shared" si="6"/>
        <v>JUL</v>
      </c>
      <c r="C10" s="46">
        <v>45138</v>
      </c>
      <c r="D10" s="39" t="s">
        <v>137</v>
      </c>
      <c r="E10" s="39" t="s">
        <v>22</v>
      </c>
      <c r="F10" s="297" t="s">
        <v>135</v>
      </c>
      <c r="G10" s="41" t="s">
        <v>138</v>
      </c>
      <c r="H10" s="39" t="s">
        <v>136</v>
      </c>
      <c r="I10" s="47">
        <f>ROUND(+L10/K10,0)</f>
        <v>0</v>
      </c>
      <c r="J10" s="43"/>
      <c r="K10" s="39">
        <v>8</v>
      </c>
      <c r="L10" s="44">
        <v>0</v>
      </c>
      <c r="M10" s="45"/>
      <c r="N10" s="44">
        <f t="shared" si="1"/>
        <v>0</v>
      </c>
      <c r="O10" s="44">
        <f t="shared" si="3"/>
        <v>0</v>
      </c>
      <c r="P10" s="44">
        <f>(N10-O10)</f>
        <v>0</v>
      </c>
      <c r="Q10" s="44">
        <v>3996096</v>
      </c>
      <c r="R10" s="81">
        <f t="shared" si="7"/>
        <v>2023</v>
      </c>
      <c r="S10" s="81" t="str">
        <f t="shared" si="5"/>
        <v>AGO</v>
      </c>
      <c r="T10" s="46">
        <v>45142</v>
      </c>
      <c r="U10" s="42">
        <f>+P10-Q10</f>
        <v>-3996096</v>
      </c>
    </row>
    <row r="11" spans="1:21" ht="15" hidden="1" customHeight="1">
      <c r="A11" s="48">
        <f t="shared" si="0"/>
        <v>2023</v>
      </c>
      <c r="B11" s="48" t="str">
        <f t="shared" si="6"/>
        <v>AGO</v>
      </c>
      <c r="C11" s="49">
        <v>45140</v>
      </c>
      <c r="D11" s="48">
        <v>53</v>
      </c>
      <c r="E11" s="48" t="s">
        <v>22</v>
      </c>
      <c r="F11" s="298" t="s">
        <v>131</v>
      </c>
      <c r="G11" s="50" t="s">
        <v>138</v>
      </c>
      <c r="H11" s="48" t="s">
        <v>133</v>
      </c>
      <c r="I11" s="51"/>
      <c r="J11" s="52">
        <f>+L11/K11</f>
        <v>27108.000376045875</v>
      </c>
      <c r="K11" s="48">
        <v>850.96</v>
      </c>
      <c r="L11" s="53">
        <v>23067824</v>
      </c>
      <c r="M11" s="54"/>
      <c r="N11" s="53">
        <f t="shared" si="1"/>
        <v>23067824</v>
      </c>
      <c r="O11" s="53">
        <f t="shared" si="3"/>
        <v>92271</v>
      </c>
      <c r="P11" s="53">
        <f t="shared" si="4"/>
        <v>22975553</v>
      </c>
      <c r="Q11" s="53">
        <v>22975553</v>
      </c>
      <c r="R11" s="82">
        <f t="shared" si="7"/>
        <v>2023</v>
      </c>
      <c r="S11" s="82" t="str">
        <f t="shared" si="5"/>
        <v>AGO</v>
      </c>
      <c r="T11" s="49">
        <v>45168</v>
      </c>
      <c r="U11" s="51">
        <f t="shared" si="2"/>
        <v>0</v>
      </c>
    </row>
    <row r="12" spans="1:21" ht="10.199999999999999" hidden="1">
      <c r="A12" s="48">
        <f t="shared" si="0"/>
        <v>2023</v>
      </c>
      <c r="B12" s="48" t="str">
        <f t="shared" si="6"/>
        <v>AGO</v>
      </c>
      <c r="C12" s="49">
        <v>45169</v>
      </c>
      <c r="D12" s="48" t="s">
        <v>139</v>
      </c>
      <c r="E12" s="48" t="s">
        <v>22</v>
      </c>
      <c r="F12" s="298" t="s">
        <v>135</v>
      </c>
      <c r="G12" s="50" t="s">
        <v>138</v>
      </c>
      <c r="H12" s="48" t="s">
        <v>136</v>
      </c>
      <c r="I12" s="55">
        <f>ROUND(+L12/K12,0)</f>
        <v>801545</v>
      </c>
      <c r="J12" s="52"/>
      <c r="K12" s="48">
        <v>8</v>
      </c>
      <c r="L12" s="53">
        <v>6412356</v>
      </c>
      <c r="M12" s="54"/>
      <c r="N12" s="53">
        <f t="shared" si="1"/>
        <v>6412356</v>
      </c>
      <c r="O12" s="53">
        <f t="shared" si="3"/>
        <v>25649</v>
      </c>
      <c r="P12" s="53">
        <f t="shared" si="4"/>
        <v>6386707</v>
      </c>
      <c r="Q12" s="51">
        <v>3996096</v>
      </c>
      <c r="R12" s="82">
        <f t="shared" si="7"/>
        <v>2023</v>
      </c>
      <c r="S12" s="82" t="str">
        <f t="shared" si="5"/>
        <v>AGO</v>
      </c>
      <c r="T12" s="49">
        <v>45168</v>
      </c>
      <c r="U12" s="51">
        <f>+P12-Q12</f>
        <v>2390611</v>
      </c>
    </row>
    <row r="13" spans="1:21" ht="10.199999999999999" hidden="1" customHeight="1">
      <c r="A13" s="48">
        <f t="shared" si="0"/>
        <v>2023</v>
      </c>
      <c r="B13" s="48" t="str">
        <f t="shared" si="6"/>
        <v>AGO</v>
      </c>
      <c r="C13" s="49">
        <v>45169</v>
      </c>
      <c r="D13" s="48">
        <v>60</v>
      </c>
      <c r="E13" s="48" t="s">
        <v>22</v>
      </c>
      <c r="F13" s="298" t="s">
        <v>131</v>
      </c>
      <c r="G13" s="50" t="s">
        <v>140</v>
      </c>
      <c r="H13" s="48" t="s">
        <v>133</v>
      </c>
      <c r="I13" s="51"/>
      <c r="J13" s="52">
        <f>+L13/K13</f>
        <v>41113.999482936917</v>
      </c>
      <c r="K13" s="48">
        <v>850.96</v>
      </c>
      <c r="L13" s="53">
        <v>34986369</v>
      </c>
      <c r="M13" s="54"/>
      <c r="N13" s="53">
        <f t="shared" si="1"/>
        <v>34986369</v>
      </c>
      <c r="O13" s="53">
        <f t="shared" si="3"/>
        <v>139945</v>
      </c>
      <c r="P13" s="53">
        <f t="shared" si="4"/>
        <v>34846424</v>
      </c>
      <c r="Q13" s="53">
        <v>34846424</v>
      </c>
      <c r="R13" s="82">
        <v>2023</v>
      </c>
      <c r="S13" s="82" t="str">
        <f t="shared" si="5"/>
        <v>OCT</v>
      </c>
      <c r="T13" s="49">
        <v>45204</v>
      </c>
      <c r="U13" s="51">
        <f t="shared" si="2"/>
        <v>0</v>
      </c>
    </row>
    <row r="14" spans="1:21" ht="10.199999999999999" hidden="1">
      <c r="A14" s="48">
        <f>+YEAR(C14)</f>
        <v>2023</v>
      </c>
      <c r="B14" s="48" t="str">
        <f t="shared" si="6"/>
        <v>AGO</v>
      </c>
      <c r="C14" s="49">
        <v>45169</v>
      </c>
      <c r="D14" s="48" t="s">
        <v>139</v>
      </c>
      <c r="E14" s="48" t="s">
        <v>22</v>
      </c>
      <c r="F14" s="298" t="s">
        <v>135</v>
      </c>
      <c r="G14" s="50" t="s">
        <v>138</v>
      </c>
      <c r="H14" s="48" t="s">
        <v>136</v>
      </c>
      <c r="I14" s="55">
        <f>ROUND(+L14/K14,0)</f>
        <v>0</v>
      </c>
      <c r="J14" s="52"/>
      <c r="K14" s="48">
        <v>8</v>
      </c>
      <c r="L14" s="53"/>
      <c r="M14" s="54"/>
      <c r="N14" s="53"/>
      <c r="O14" s="53"/>
      <c r="P14" s="53"/>
      <c r="Q14" s="53">
        <v>2390611</v>
      </c>
      <c r="R14" s="33">
        <f>+YEAR(T14)</f>
        <v>2023</v>
      </c>
      <c r="S14" s="33" t="str">
        <f t="shared" si="5"/>
        <v>NOV</v>
      </c>
      <c r="T14" s="34">
        <v>45233</v>
      </c>
      <c r="U14" s="51">
        <f>P14-Q14</f>
        <v>-2390611</v>
      </c>
    </row>
    <row r="15" spans="1:21" ht="10.95" hidden="1" customHeight="1">
      <c r="A15" s="13">
        <f t="shared" si="0"/>
        <v>2023</v>
      </c>
      <c r="B15" s="795" t="str">
        <f t="shared" si="6"/>
        <v>SEP</v>
      </c>
      <c r="C15" s="12">
        <v>45199</v>
      </c>
      <c r="D15" s="13" t="s">
        <v>141</v>
      </c>
      <c r="E15" s="13" t="s">
        <v>22</v>
      </c>
      <c r="F15" s="299" t="s">
        <v>135</v>
      </c>
      <c r="G15" s="14" t="s">
        <v>86</v>
      </c>
      <c r="H15" s="13" t="s">
        <v>136</v>
      </c>
      <c r="I15" s="32">
        <f>ROUND(+L15/K15,0)</f>
        <v>901672</v>
      </c>
      <c r="J15" s="30"/>
      <c r="K15" s="13">
        <v>8</v>
      </c>
      <c r="L15" s="17">
        <v>7213373</v>
      </c>
      <c r="M15" s="31"/>
      <c r="N15" s="17">
        <f>L15-M15</f>
        <v>7213373</v>
      </c>
      <c r="O15" s="17">
        <f t="shared" si="3"/>
        <v>28853</v>
      </c>
      <c r="P15" s="17">
        <f t="shared" si="4"/>
        <v>7184520</v>
      </c>
      <c r="Q15" s="17">
        <v>7184520</v>
      </c>
      <c r="R15" s="35">
        <f>+YEAR(T15)</f>
        <v>2023</v>
      </c>
      <c r="S15" s="35" t="str">
        <f t="shared" si="5"/>
        <v>NOV</v>
      </c>
      <c r="T15" s="37">
        <v>45233</v>
      </c>
      <c r="U15" s="29">
        <f t="shared" si="2"/>
        <v>0</v>
      </c>
    </row>
    <row r="16" spans="1:21" ht="10.199999999999999" hidden="1">
      <c r="A16" s="13">
        <f t="shared" si="0"/>
        <v>2023</v>
      </c>
      <c r="B16" s="795" t="str">
        <f t="shared" si="6"/>
        <v>SEP</v>
      </c>
      <c r="C16" s="12">
        <v>45199</v>
      </c>
      <c r="D16" s="13">
        <v>73</v>
      </c>
      <c r="E16" s="13" t="s">
        <v>22</v>
      </c>
      <c r="F16" s="299" t="s">
        <v>131</v>
      </c>
      <c r="G16" s="14" t="s">
        <v>86</v>
      </c>
      <c r="H16" s="13" t="s">
        <v>133</v>
      </c>
      <c r="I16" s="32"/>
      <c r="J16" s="30">
        <f>+L16/K16</f>
        <v>37821.999858982796</v>
      </c>
      <c r="K16" s="13">
        <v>850.96</v>
      </c>
      <c r="L16" s="17">
        <v>32185009</v>
      </c>
      <c r="M16" s="31"/>
      <c r="N16" s="17">
        <f t="shared" si="1"/>
        <v>32185009</v>
      </c>
      <c r="O16" s="17">
        <f t="shared" si="3"/>
        <v>128740</v>
      </c>
      <c r="P16" s="17">
        <f t="shared" si="4"/>
        <v>32056269</v>
      </c>
      <c r="Q16" s="17">
        <v>32056269</v>
      </c>
      <c r="R16" s="35">
        <f>+YEAR(T16)</f>
        <v>2023</v>
      </c>
      <c r="S16" s="35" t="str">
        <f t="shared" si="5"/>
        <v>NOV</v>
      </c>
      <c r="T16" s="37">
        <v>45233</v>
      </c>
      <c r="U16" s="29">
        <f t="shared" si="2"/>
        <v>0</v>
      </c>
    </row>
    <row r="17" spans="1:25" ht="15" hidden="1" customHeight="1">
      <c r="A17" s="56">
        <f t="shared" si="0"/>
        <v>2023</v>
      </c>
      <c r="B17" s="56" t="str">
        <f t="shared" si="6"/>
        <v>OCT</v>
      </c>
      <c r="C17" s="57">
        <v>45230</v>
      </c>
      <c r="D17" s="56">
        <v>90</v>
      </c>
      <c r="E17" s="56" t="s">
        <v>22</v>
      </c>
      <c r="F17" s="300" t="s">
        <v>131</v>
      </c>
      <c r="G17" s="58" t="s">
        <v>142</v>
      </c>
      <c r="H17" s="56" t="s">
        <v>133</v>
      </c>
      <c r="I17" s="59"/>
      <c r="J17" s="60">
        <v>36570</v>
      </c>
      <c r="K17" s="56">
        <v>850.96</v>
      </c>
      <c r="L17" s="61">
        <f>J17*K17</f>
        <v>31119607.200000003</v>
      </c>
      <c r="M17" s="62"/>
      <c r="N17" s="61">
        <f t="shared" ref="N17:N26" si="8">L17-M17</f>
        <v>31119607.200000003</v>
      </c>
      <c r="O17" s="61">
        <f t="shared" ref="O17:O24" si="9">ROUND(N17*0.004,0)</f>
        <v>124478</v>
      </c>
      <c r="P17" s="61">
        <f t="shared" ref="P17:P24" si="10">(N17-O17)</f>
        <v>30995129.200000003</v>
      </c>
      <c r="Q17" s="61">
        <f>P17</f>
        <v>30995129.200000003</v>
      </c>
      <c r="R17" s="83">
        <v>2023</v>
      </c>
      <c r="S17" s="83" t="str">
        <f t="shared" si="5"/>
        <v>NOV</v>
      </c>
      <c r="T17" s="57">
        <v>45260</v>
      </c>
      <c r="U17" s="63">
        <f t="shared" si="2"/>
        <v>0</v>
      </c>
    </row>
    <row r="18" spans="1:25" ht="15" hidden="1" customHeight="1">
      <c r="A18" s="56">
        <f t="shared" si="0"/>
        <v>2023</v>
      </c>
      <c r="B18" s="56" t="str">
        <f t="shared" si="6"/>
        <v>OCT</v>
      </c>
      <c r="C18" s="57">
        <v>45230</v>
      </c>
      <c r="D18" s="56" t="s">
        <v>143</v>
      </c>
      <c r="E18" s="56" t="s">
        <v>22</v>
      </c>
      <c r="F18" s="300" t="s">
        <v>135</v>
      </c>
      <c r="G18" s="58" t="s">
        <v>142</v>
      </c>
      <c r="H18" s="56" t="s">
        <v>136</v>
      </c>
      <c r="I18" s="59">
        <v>802914</v>
      </c>
      <c r="J18" s="60"/>
      <c r="K18" s="56">
        <v>8</v>
      </c>
      <c r="L18" s="61">
        <v>6423314.0800000001</v>
      </c>
      <c r="M18" s="61"/>
      <c r="N18" s="61">
        <f t="shared" si="8"/>
        <v>6423314.0800000001</v>
      </c>
      <c r="O18" s="61">
        <f t="shared" si="9"/>
        <v>25693</v>
      </c>
      <c r="P18" s="61">
        <f t="shared" si="10"/>
        <v>6397621.0800000001</v>
      </c>
      <c r="Q18" s="61">
        <f>P18</f>
        <v>6397621.0800000001</v>
      </c>
      <c r="R18" s="83">
        <v>2023</v>
      </c>
      <c r="S18" s="83" t="str">
        <f t="shared" si="5"/>
        <v>NOV</v>
      </c>
      <c r="T18" s="57">
        <v>45260</v>
      </c>
      <c r="U18" s="63">
        <f>+P18-Q18</f>
        <v>0</v>
      </c>
    </row>
    <row r="19" spans="1:25" ht="15" hidden="1" customHeight="1">
      <c r="A19" s="71">
        <f>+YEAR(C19)</f>
        <v>2023</v>
      </c>
      <c r="B19" s="71" t="str">
        <f t="shared" si="6"/>
        <v>NOV</v>
      </c>
      <c r="C19" s="72">
        <v>45260</v>
      </c>
      <c r="D19" s="71" t="s">
        <v>144</v>
      </c>
      <c r="E19" s="71" t="s">
        <v>22</v>
      </c>
      <c r="F19" s="301" t="s">
        <v>135</v>
      </c>
      <c r="G19" s="73" t="s">
        <v>96</v>
      </c>
      <c r="H19" s="71" t="s">
        <v>136</v>
      </c>
      <c r="I19" s="74">
        <v>815841</v>
      </c>
      <c r="J19" s="75"/>
      <c r="K19" s="71">
        <v>8</v>
      </c>
      <c r="L19" s="76">
        <v>6526731</v>
      </c>
      <c r="M19" s="77"/>
      <c r="N19" s="76">
        <f t="shared" si="8"/>
        <v>6526731</v>
      </c>
      <c r="O19" s="76">
        <f t="shared" si="9"/>
        <v>26107</v>
      </c>
      <c r="P19" s="76">
        <f t="shared" si="10"/>
        <v>6500624</v>
      </c>
      <c r="Q19" s="76">
        <f>P19</f>
        <v>6500624</v>
      </c>
      <c r="R19" s="285">
        <v>2024</v>
      </c>
      <c r="S19" s="285" t="str">
        <f t="shared" si="5"/>
        <v>ENE</v>
      </c>
      <c r="T19" s="286">
        <v>45322</v>
      </c>
      <c r="U19" s="80">
        <f>+P19-Q19</f>
        <v>0</v>
      </c>
    </row>
    <row r="20" spans="1:25" ht="15" hidden="1" customHeight="1">
      <c r="A20" s="71">
        <v>2023</v>
      </c>
      <c r="B20" s="71" t="str">
        <f t="shared" si="6"/>
        <v>NOV</v>
      </c>
      <c r="C20" s="72">
        <v>45260</v>
      </c>
      <c r="D20" s="71">
        <v>107</v>
      </c>
      <c r="E20" s="71" t="s">
        <v>22</v>
      </c>
      <c r="F20" s="301" t="s">
        <v>131</v>
      </c>
      <c r="G20" s="73" t="s">
        <v>96</v>
      </c>
      <c r="H20" s="71" t="s">
        <v>145</v>
      </c>
      <c r="I20" s="74"/>
      <c r="J20" s="75">
        <v>35066</v>
      </c>
      <c r="K20" s="71">
        <v>850.96</v>
      </c>
      <c r="L20" s="76">
        <v>29839763.359999999</v>
      </c>
      <c r="M20" s="77"/>
      <c r="N20" s="76">
        <f t="shared" si="8"/>
        <v>29839763.359999999</v>
      </c>
      <c r="O20" s="76">
        <f t="shared" si="9"/>
        <v>119359</v>
      </c>
      <c r="P20" s="76">
        <f t="shared" si="10"/>
        <v>29720404.359999999</v>
      </c>
      <c r="Q20" s="76">
        <f>P20</f>
        <v>29720404.359999999</v>
      </c>
      <c r="R20" s="285">
        <v>2024</v>
      </c>
      <c r="S20" s="285" t="str">
        <f t="shared" si="5"/>
        <v>ENE</v>
      </c>
      <c r="T20" s="286">
        <v>45322</v>
      </c>
      <c r="U20" s="80">
        <f>+P20-Q20</f>
        <v>0</v>
      </c>
    </row>
    <row r="21" spans="1:25" ht="15" hidden="1" customHeight="1">
      <c r="A21" s="85">
        <v>2023</v>
      </c>
      <c r="B21" s="85" t="str">
        <f t="shared" si="6"/>
        <v>DIC</v>
      </c>
      <c r="C21" s="86">
        <v>45280</v>
      </c>
      <c r="D21" s="85">
        <v>118</v>
      </c>
      <c r="E21" s="85" t="s">
        <v>22</v>
      </c>
      <c r="F21" s="302" t="s">
        <v>146</v>
      </c>
      <c r="G21" s="87">
        <v>45250</v>
      </c>
      <c r="H21" s="85" t="s">
        <v>147</v>
      </c>
      <c r="I21" s="88"/>
      <c r="J21" s="89">
        <v>514</v>
      </c>
      <c r="K21" s="85">
        <v>850.96</v>
      </c>
      <c r="L21" s="90">
        <f>J21*K21</f>
        <v>437393.44</v>
      </c>
      <c r="M21" s="91"/>
      <c r="N21" s="90">
        <f t="shared" si="8"/>
        <v>437393.44</v>
      </c>
      <c r="O21" s="90">
        <f t="shared" si="9"/>
        <v>1750</v>
      </c>
      <c r="P21" s="90">
        <f t="shared" si="10"/>
        <v>435643.44</v>
      </c>
      <c r="Q21" s="90">
        <v>435643.44</v>
      </c>
      <c r="R21" s="85">
        <v>2024</v>
      </c>
      <c r="S21" s="85" t="str">
        <f t="shared" si="5"/>
        <v>FEB</v>
      </c>
      <c r="T21" s="87">
        <v>45348</v>
      </c>
      <c r="U21" s="92">
        <f>+P21-Q21</f>
        <v>0</v>
      </c>
    </row>
    <row r="22" spans="1:25" ht="15" hidden="1" customHeight="1">
      <c r="A22" s="85">
        <v>2023</v>
      </c>
      <c r="B22" s="85" t="str">
        <f t="shared" si="6"/>
        <v>DIC</v>
      </c>
      <c r="C22" s="86">
        <v>45290</v>
      </c>
      <c r="D22" s="85">
        <v>128</v>
      </c>
      <c r="E22" s="85" t="s">
        <v>22</v>
      </c>
      <c r="F22" s="302" t="s">
        <v>131</v>
      </c>
      <c r="G22" s="93" t="s">
        <v>148</v>
      </c>
      <c r="H22" s="85" t="s">
        <v>145</v>
      </c>
      <c r="I22" s="88"/>
      <c r="J22" s="89">
        <v>44115</v>
      </c>
      <c r="K22" s="85">
        <v>850.96</v>
      </c>
      <c r="L22" s="90">
        <f>J22*K22</f>
        <v>37540100.399999999</v>
      </c>
      <c r="M22" s="91"/>
      <c r="N22" s="90">
        <f t="shared" si="8"/>
        <v>37540100.399999999</v>
      </c>
      <c r="O22" s="90">
        <f t="shared" si="9"/>
        <v>150160</v>
      </c>
      <c r="P22" s="90">
        <f t="shared" si="10"/>
        <v>37389940.399999999</v>
      </c>
      <c r="Q22" s="90">
        <f>P22</f>
        <v>37389940.399999999</v>
      </c>
      <c r="R22" s="85">
        <v>2024</v>
      </c>
      <c r="S22" s="85" t="str">
        <f t="shared" si="5"/>
        <v>ENE</v>
      </c>
      <c r="T22" s="87">
        <v>45322</v>
      </c>
      <c r="U22" s="92">
        <f t="shared" ref="U22:U32" si="11">+P22-Q22</f>
        <v>0</v>
      </c>
      <c r="W22" s="312"/>
    </row>
    <row r="23" spans="1:25" ht="15" hidden="1" customHeight="1">
      <c r="A23" s="85">
        <v>2023</v>
      </c>
      <c r="B23" s="85" t="str">
        <f t="shared" si="6"/>
        <v>DIC</v>
      </c>
      <c r="C23" s="86">
        <v>45290</v>
      </c>
      <c r="D23" s="85" t="s">
        <v>149</v>
      </c>
      <c r="E23" s="85" t="s">
        <v>22</v>
      </c>
      <c r="F23" s="302" t="s">
        <v>135</v>
      </c>
      <c r="G23" s="93" t="s">
        <v>102</v>
      </c>
      <c r="H23" s="85" t="s">
        <v>136</v>
      </c>
      <c r="I23" s="88">
        <v>856208</v>
      </c>
      <c r="J23" s="89"/>
      <c r="K23" s="85">
        <v>8</v>
      </c>
      <c r="L23" s="90">
        <v>6849667</v>
      </c>
      <c r="M23" s="91"/>
      <c r="N23" s="90">
        <f t="shared" si="8"/>
        <v>6849667</v>
      </c>
      <c r="O23" s="90">
        <f t="shared" si="9"/>
        <v>27399</v>
      </c>
      <c r="P23" s="90">
        <f t="shared" si="10"/>
        <v>6822268</v>
      </c>
      <c r="Q23" s="90">
        <f>P23</f>
        <v>6822268</v>
      </c>
      <c r="R23" s="85">
        <v>2024</v>
      </c>
      <c r="S23" s="85" t="str">
        <f t="shared" si="5"/>
        <v>ENE</v>
      </c>
      <c r="T23" s="87">
        <v>45322</v>
      </c>
      <c r="U23" s="92">
        <f t="shared" si="11"/>
        <v>0</v>
      </c>
    </row>
    <row r="24" spans="1:25" ht="15" hidden="1" customHeight="1">
      <c r="A24" s="288">
        <v>2024</v>
      </c>
      <c r="B24" s="288" t="str">
        <f t="shared" si="6"/>
        <v>ENE</v>
      </c>
      <c r="C24" s="289">
        <v>45322</v>
      </c>
      <c r="D24" s="288" t="s">
        <v>150</v>
      </c>
      <c r="E24" s="288" t="s">
        <v>22</v>
      </c>
      <c r="F24" s="303" t="s">
        <v>135</v>
      </c>
      <c r="G24" s="290" t="s">
        <v>151</v>
      </c>
      <c r="H24" s="288" t="s">
        <v>136</v>
      </c>
      <c r="I24" s="291">
        <v>806159</v>
      </c>
      <c r="J24" s="292"/>
      <c r="K24" s="296">
        <f>8*1.0928</f>
        <v>8.7423999999999999</v>
      </c>
      <c r="L24" s="293">
        <v>7047765</v>
      </c>
      <c r="M24" s="294"/>
      <c r="N24" s="293">
        <f t="shared" si="8"/>
        <v>7047765</v>
      </c>
      <c r="O24" s="293">
        <f t="shared" si="9"/>
        <v>28191</v>
      </c>
      <c r="P24" s="293">
        <f t="shared" si="10"/>
        <v>7019574</v>
      </c>
      <c r="Q24" s="293">
        <v>7019574</v>
      </c>
      <c r="R24" s="288">
        <v>2024</v>
      </c>
      <c r="S24" s="288" t="str">
        <f t="shared" si="5"/>
        <v>FEB</v>
      </c>
      <c r="T24" s="295">
        <v>45348</v>
      </c>
      <c r="U24" s="287">
        <f t="shared" si="11"/>
        <v>0</v>
      </c>
    </row>
    <row r="25" spans="1:25" ht="15" hidden="1" customHeight="1">
      <c r="A25" s="288">
        <v>2024</v>
      </c>
      <c r="B25" s="288" t="str">
        <f t="shared" si="6"/>
        <v>ENE</v>
      </c>
      <c r="C25" s="289">
        <v>45322</v>
      </c>
      <c r="D25" s="288">
        <v>142</v>
      </c>
      <c r="E25" s="288" t="s">
        <v>22</v>
      </c>
      <c r="F25" s="303" t="s">
        <v>131</v>
      </c>
      <c r="G25" s="290" t="s">
        <v>151</v>
      </c>
      <c r="H25" s="288" t="s">
        <v>145</v>
      </c>
      <c r="I25" s="291"/>
      <c r="J25" s="292">
        <v>23406</v>
      </c>
      <c r="K25" s="296">
        <f>850.96*1.0928</f>
        <v>929.92908799999998</v>
      </c>
      <c r="L25" s="293">
        <v>21765941.579999998</v>
      </c>
      <c r="M25" s="294"/>
      <c r="N25" s="293">
        <f t="shared" si="8"/>
        <v>21765941.579999998</v>
      </c>
      <c r="O25" s="293">
        <f t="shared" ref="O25:O32" si="12">ROUND(N25*0.004,0)</f>
        <v>87064</v>
      </c>
      <c r="P25" s="293">
        <f t="shared" ref="P25:P32" si="13">(N25-O25)</f>
        <v>21678877.579999998</v>
      </c>
      <c r="Q25" s="293">
        <v>21678877.579999998</v>
      </c>
      <c r="R25" s="288">
        <v>2024</v>
      </c>
      <c r="S25" s="288" t="str">
        <f t="shared" si="5"/>
        <v>FEB</v>
      </c>
      <c r="T25" s="295">
        <v>45348</v>
      </c>
      <c r="U25" s="287">
        <f t="shared" si="11"/>
        <v>0</v>
      </c>
    </row>
    <row r="26" spans="1:25" ht="15" hidden="1" customHeight="1">
      <c r="A26" s="328">
        <v>2024</v>
      </c>
      <c r="B26" s="328" t="str">
        <f t="shared" si="6"/>
        <v>FEB</v>
      </c>
      <c r="C26" s="329">
        <v>45351</v>
      </c>
      <c r="D26" s="328" t="s">
        <v>173</v>
      </c>
      <c r="E26" s="328" t="s">
        <v>22</v>
      </c>
      <c r="F26" s="330" t="s">
        <v>135</v>
      </c>
      <c r="G26" s="331" t="s">
        <v>176</v>
      </c>
      <c r="H26" s="328" t="s">
        <v>136</v>
      </c>
      <c r="I26" s="332">
        <v>1243965</v>
      </c>
      <c r="J26" s="333"/>
      <c r="K26" s="333">
        <f>8*1.0928</f>
        <v>8.7423999999999999</v>
      </c>
      <c r="L26" s="335">
        <v>10875237</v>
      </c>
      <c r="M26" s="336"/>
      <c r="N26" s="335">
        <f t="shared" si="8"/>
        <v>10875237</v>
      </c>
      <c r="O26" s="335">
        <f t="shared" si="12"/>
        <v>43501</v>
      </c>
      <c r="P26" s="335">
        <f t="shared" si="13"/>
        <v>10831736</v>
      </c>
      <c r="Q26" s="335">
        <v>10831736</v>
      </c>
      <c r="R26" s="328">
        <v>2024</v>
      </c>
      <c r="S26" s="328" t="str">
        <f t="shared" si="5"/>
        <v>ABR</v>
      </c>
      <c r="T26" s="337">
        <v>45383</v>
      </c>
      <c r="U26" s="338">
        <f t="shared" si="11"/>
        <v>0</v>
      </c>
    </row>
    <row r="27" spans="1:25" ht="15" hidden="1" customHeight="1">
      <c r="A27" s="328">
        <v>2024</v>
      </c>
      <c r="B27" s="328" t="str">
        <f t="shared" si="6"/>
        <v>FEB</v>
      </c>
      <c r="C27" s="329">
        <v>45351</v>
      </c>
      <c r="D27" s="328" t="s">
        <v>173</v>
      </c>
      <c r="E27" s="328" t="s">
        <v>22</v>
      </c>
      <c r="F27" s="330" t="s">
        <v>135</v>
      </c>
      <c r="G27" s="331" t="s">
        <v>176</v>
      </c>
      <c r="H27" s="328" t="s">
        <v>136</v>
      </c>
      <c r="I27" s="332"/>
      <c r="J27" s="333"/>
      <c r="K27" s="333"/>
      <c r="L27" s="335"/>
      <c r="M27" s="336"/>
      <c r="N27" s="335"/>
      <c r="O27" s="335"/>
      <c r="P27" s="335">
        <v>0.19</v>
      </c>
      <c r="Q27" s="335">
        <v>0.19</v>
      </c>
      <c r="R27" s="328">
        <v>2024</v>
      </c>
      <c r="S27" s="328" t="str">
        <f t="shared" si="5"/>
        <v>ABR</v>
      </c>
      <c r="T27" s="337">
        <v>45412</v>
      </c>
      <c r="U27" s="338">
        <f t="shared" si="11"/>
        <v>0</v>
      </c>
    </row>
    <row r="28" spans="1:25" ht="15" hidden="1" customHeight="1">
      <c r="A28" s="328">
        <v>2024</v>
      </c>
      <c r="B28" s="328" t="str">
        <f t="shared" si="6"/>
        <v>FEB</v>
      </c>
      <c r="C28" s="329">
        <v>45351</v>
      </c>
      <c r="D28" s="328">
        <v>160</v>
      </c>
      <c r="E28" s="328" t="s">
        <v>22</v>
      </c>
      <c r="F28" s="330" t="s">
        <v>131</v>
      </c>
      <c r="G28" s="331" t="s">
        <v>176</v>
      </c>
      <c r="H28" s="328" t="s">
        <v>145</v>
      </c>
      <c r="I28" s="332"/>
      <c r="J28" s="333">
        <v>34356</v>
      </c>
      <c r="K28" s="334">
        <f>850.96*1.0928</f>
        <v>929.92908799999998</v>
      </c>
      <c r="L28" s="335">
        <v>31948675.079999998</v>
      </c>
      <c r="M28" s="336"/>
      <c r="N28" s="335">
        <f>L28-M28</f>
        <v>31948675.079999998</v>
      </c>
      <c r="O28" s="335">
        <f t="shared" si="12"/>
        <v>127795</v>
      </c>
      <c r="P28" s="335">
        <f t="shared" si="13"/>
        <v>31820880.079999998</v>
      </c>
      <c r="Q28" s="335">
        <v>31820880.079999998</v>
      </c>
      <c r="R28" s="328">
        <v>2024</v>
      </c>
      <c r="S28" s="328" t="str">
        <f t="shared" si="5"/>
        <v>ABR</v>
      </c>
      <c r="T28" s="337">
        <v>45412</v>
      </c>
      <c r="U28" s="338">
        <f t="shared" si="11"/>
        <v>0</v>
      </c>
    </row>
    <row r="29" spans="1:25" ht="15" hidden="1" customHeight="1">
      <c r="A29" s="430">
        <v>2024</v>
      </c>
      <c r="B29" s="430" t="str">
        <f t="shared" si="6"/>
        <v>MAR</v>
      </c>
      <c r="C29" s="431">
        <v>45382</v>
      </c>
      <c r="D29" s="430" t="s">
        <v>320</v>
      </c>
      <c r="E29" s="430" t="s">
        <v>22</v>
      </c>
      <c r="F29" s="432" t="s">
        <v>135</v>
      </c>
      <c r="G29" s="433" t="s">
        <v>321</v>
      </c>
      <c r="H29" s="430" t="s">
        <v>136</v>
      </c>
      <c r="I29" s="434">
        <v>1217128</v>
      </c>
      <c r="J29" s="435"/>
      <c r="K29" s="436">
        <f>8*1.0928</f>
        <v>8.7423999999999999</v>
      </c>
      <c r="L29" s="437">
        <v>10640620.42</v>
      </c>
      <c r="M29" s="438"/>
      <c r="N29" s="437">
        <f>L29-M29</f>
        <v>10640620.42</v>
      </c>
      <c r="O29" s="437">
        <f t="shared" si="12"/>
        <v>42562</v>
      </c>
      <c r="P29" s="437">
        <f t="shared" si="13"/>
        <v>10598058.42</v>
      </c>
      <c r="Q29" s="437">
        <v>10598058.42</v>
      </c>
      <c r="R29" s="430">
        <v>2024</v>
      </c>
      <c r="S29" s="430" t="str">
        <f t="shared" si="5"/>
        <v>ABR</v>
      </c>
      <c r="T29" s="439">
        <v>45412</v>
      </c>
      <c r="U29" s="440">
        <f t="shared" si="11"/>
        <v>0</v>
      </c>
    </row>
    <row r="30" spans="1:25" ht="15" hidden="1" customHeight="1">
      <c r="A30" s="430">
        <v>2024</v>
      </c>
      <c r="B30" s="430" t="str">
        <f t="shared" si="6"/>
        <v>MAR</v>
      </c>
      <c r="C30" s="431">
        <v>45382</v>
      </c>
      <c r="D30" s="430">
        <v>177</v>
      </c>
      <c r="E30" s="430" t="s">
        <v>22</v>
      </c>
      <c r="F30" s="432" t="s">
        <v>131</v>
      </c>
      <c r="G30" s="433" t="s">
        <v>321</v>
      </c>
      <c r="H30" s="430" t="s">
        <v>145</v>
      </c>
      <c r="I30" s="434"/>
      <c r="J30" s="435">
        <v>43418</v>
      </c>
      <c r="K30" s="436">
        <f>850.96*1.0928</f>
        <v>929.92908799999998</v>
      </c>
      <c r="L30" s="437">
        <v>40375700.740000002</v>
      </c>
      <c r="M30" s="438"/>
      <c r="N30" s="437">
        <v>40375700.740000002</v>
      </c>
      <c r="O30" s="437">
        <f t="shared" si="12"/>
        <v>161503</v>
      </c>
      <c r="P30" s="437">
        <f t="shared" si="13"/>
        <v>40214197.740000002</v>
      </c>
      <c r="Q30" s="437">
        <f>P30</f>
        <v>40214197.740000002</v>
      </c>
      <c r="R30" s="430">
        <v>2024</v>
      </c>
      <c r="S30" s="430" t="str">
        <f t="shared" si="5"/>
        <v>MAY</v>
      </c>
      <c r="T30" s="439">
        <v>45440</v>
      </c>
      <c r="U30" s="440">
        <f t="shared" si="11"/>
        <v>0</v>
      </c>
      <c r="Y30" s="24"/>
    </row>
    <row r="31" spans="1:25" ht="15" hidden="1" customHeight="1">
      <c r="A31" s="444">
        <v>2024</v>
      </c>
      <c r="B31" s="444" t="str">
        <f t="shared" si="6"/>
        <v>ABR</v>
      </c>
      <c r="C31" s="445">
        <v>45412</v>
      </c>
      <c r="D31" s="444" t="s">
        <v>367</v>
      </c>
      <c r="E31" s="444" t="s">
        <v>22</v>
      </c>
      <c r="F31" s="446" t="s">
        <v>135</v>
      </c>
      <c r="G31" s="447" t="s">
        <v>370</v>
      </c>
      <c r="H31" s="444" t="s">
        <v>136</v>
      </c>
      <c r="I31" s="449">
        <v>1619942.16</v>
      </c>
      <c r="J31" s="449"/>
      <c r="K31" s="450">
        <v>8.74</v>
      </c>
      <c r="L31" s="451">
        <v>14162182.369999999</v>
      </c>
      <c r="M31" s="452"/>
      <c r="N31" s="451">
        <v>14162182.369999999</v>
      </c>
      <c r="O31" s="451">
        <f t="shared" si="12"/>
        <v>56649</v>
      </c>
      <c r="P31" s="451">
        <f t="shared" si="13"/>
        <v>14105533.369999999</v>
      </c>
      <c r="Q31" s="451">
        <f>P31</f>
        <v>14105533.369999999</v>
      </c>
      <c r="R31" s="444">
        <v>2024</v>
      </c>
      <c r="S31" s="444" t="str">
        <f t="shared" si="5"/>
        <v>MAY</v>
      </c>
      <c r="T31" s="453">
        <v>45440</v>
      </c>
      <c r="U31" s="454">
        <f t="shared" si="11"/>
        <v>0</v>
      </c>
      <c r="Y31" s="24"/>
    </row>
    <row r="32" spans="1:25" ht="15" hidden="1" customHeight="1">
      <c r="A32" s="444">
        <v>2024</v>
      </c>
      <c r="B32" s="444" t="str">
        <f t="shared" si="6"/>
        <v>ABR</v>
      </c>
      <c r="C32" s="445">
        <v>45412</v>
      </c>
      <c r="D32" s="444">
        <v>201</v>
      </c>
      <c r="E32" s="444" t="s">
        <v>22</v>
      </c>
      <c r="F32" s="446" t="s">
        <v>131</v>
      </c>
      <c r="G32" s="447" t="s">
        <v>370</v>
      </c>
      <c r="H32" s="444" t="s">
        <v>133</v>
      </c>
      <c r="I32" s="448"/>
      <c r="J32" s="449">
        <v>35262</v>
      </c>
      <c r="K32" s="450">
        <f>850.96*1.0928</f>
        <v>929.92908799999998</v>
      </c>
      <c r="L32" s="451">
        <v>32791191.66</v>
      </c>
      <c r="M32" s="452"/>
      <c r="N32" s="451">
        <v>32791191.66</v>
      </c>
      <c r="O32" s="451">
        <f t="shared" si="12"/>
        <v>131165</v>
      </c>
      <c r="P32" s="451">
        <f t="shared" si="13"/>
        <v>32660026.66</v>
      </c>
      <c r="Q32" s="451">
        <f>P32</f>
        <v>32660026.66</v>
      </c>
      <c r="R32" s="444">
        <v>2024</v>
      </c>
      <c r="S32" s="444" t="str">
        <f t="shared" si="5"/>
        <v>MAY</v>
      </c>
      <c r="T32" s="453">
        <v>45440</v>
      </c>
      <c r="U32" s="454">
        <f t="shared" si="11"/>
        <v>0</v>
      </c>
      <c r="Y32" s="24"/>
    </row>
    <row r="33" spans="1:25" ht="15" hidden="1" customHeight="1">
      <c r="A33" s="517">
        <v>2024</v>
      </c>
      <c r="B33" s="517" t="str">
        <f t="shared" si="6"/>
        <v>MAY</v>
      </c>
      <c r="C33" s="518">
        <v>45443</v>
      </c>
      <c r="D33" s="517" t="s">
        <v>416</v>
      </c>
      <c r="E33" s="517" t="s">
        <v>22</v>
      </c>
      <c r="F33" s="519" t="s">
        <v>135</v>
      </c>
      <c r="G33" s="520" t="s">
        <v>449</v>
      </c>
      <c r="H33" s="517" t="s">
        <v>136</v>
      </c>
      <c r="I33" s="521">
        <v>1218151</v>
      </c>
      <c r="J33" s="521"/>
      <c r="K33" s="522">
        <v>8.74</v>
      </c>
      <c r="L33" s="523">
        <v>10649560.960000001</v>
      </c>
      <c r="M33" s="524"/>
      <c r="N33" s="523">
        <v>10649560.960000001</v>
      </c>
      <c r="O33" s="523">
        <f t="shared" ref="O33:O50" si="14">ROUND(N33*0.004,0)</f>
        <v>42598</v>
      </c>
      <c r="P33" s="523">
        <f>(N33-O33)</f>
        <v>10606962.960000001</v>
      </c>
      <c r="Q33" s="523">
        <v>10606962.960000001</v>
      </c>
      <c r="R33" s="517">
        <v>2024</v>
      </c>
      <c r="S33" s="517" t="str">
        <f t="shared" si="5"/>
        <v>JUN</v>
      </c>
      <c r="T33" s="525">
        <v>45469</v>
      </c>
      <c r="U33" s="526">
        <f t="shared" ref="U33:U50" si="15">+P33-Q33</f>
        <v>0</v>
      </c>
      <c r="Y33" s="24"/>
    </row>
    <row r="34" spans="1:25" ht="15" hidden="1" customHeight="1">
      <c r="A34" s="517">
        <v>2024</v>
      </c>
      <c r="B34" s="517" t="str">
        <f t="shared" si="6"/>
        <v>MAY</v>
      </c>
      <c r="C34" s="518">
        <v>45443</v>
      </c>
      <c r="D34" s="517">
        <v>215</v>
      </c>
      <c r="E34" s="517" t="s">
        <v>22</v>
      </c>
      <c r="F34" s="519" t="s">
        <v>131</v>
      </c>
      <c r="G34" s="520" t="s">
        <v>449</v>
      </c>
      <c r="H34" s="517" t="s">
        <v>133</v>
      </c>
      <c r="I34" s="527"/>
      <c r="J34" s="521">
        <v>32964</v>
      </c>
      <c r="K34" s="522">
        <f>850.96*1.0928</f>
        <v>929.92908799999998</v>
      </c>
      <c r="L34" s="523">
        <v>30654212.52</v>
      </c>
      <c r="M34" s="524"/>
      <c r="N34" s="523">
        <v>30654212.52</v>
      </c>
      <c r="O34" s="523">
        <f t="shared" si="14"/>
        <v>122617</v>
      </c>
      <c r="P34" s="523">
        <f>(N34-O34)</f>
        <v>30531595.52</v>
      </c>
      <c r="Q34" s="523">
        <v>30531595.52</v>
      </c>
      <c r="R34" s="517">
        <v>2024</v>
      </c>
      <c r="S34" s="517" t="str">
        <f t="shared" si="5"/>
        <v>JUN</v>
      </c>
      <c r="T34" s="525">
        <v>45469</v>
      </c>
      <c r="U34" s="526">
        <f t="shared" si="15"/>
        <v>0</v>
      </c>
      <c r="Y34" s="24"/>
    </row>
    <row r="35" spans="1:25" ht="15" hidden="1" customHeight="1">
      <c r="A35" s="540">
        <v>2024</v>
      </c>
      <c r="B35" s="540" t="str">
        <f t="shared" si="6"/>
        <v>JUN</v>
      </c>
      <c r="C35" s="541">
        <v>45473</v>
      </c>
      <c r="D35" s="540" t="s">
        <v>450</v>
      </c>
      <c r="E35" s="540" t="s">
        <v>22</v>
      </c>
      <c r="F35" s="542" t="s">
        <v>135</v>
      </c>
      <c r="G35" s="543" t="s">
        <v>481</v>
      </c>
      <c r="H35" s="540" t="s">
        <v>136</v>
      </c>
      <c r="I35" s="544">
        <v>1319474.9639999999</v>
      </c>
      <c r="J35" s="545"/>
      <c r="K35" s="546">
        <v>8.74</v>
      </c>
      <c r="L35" s="547">
        <v>11535377.925273599</v>
      </c>
      <c r="M35" s="548"/>
      <c r="N35" s="547">
        <f>L35</f>
        <v>11535377.925273599</v>
      </c>
      <c r="O35" s="547">
        <f t="shared" si="14"/>
        <v>46142</v>
      </c>
      <c r="P35" s="547">
        <v>11489235.93</v>
      </c>
      <c r="Q35" s="547">
        <v>11489235.93</v>
      </c>
      <c r="R35" s="540">
        <v>2024</v>
      </c>
      <c r="S35" s="540" t="str">
        <f t="shared" si="5"/>
        <v>JUL</v>
      </c>
      <c r="T35" s="549">
        <v>45504</v>
      </c>
      <c r="U35" s="550">
        <f t="shared" si="15"/>
        <v>0</v>
      </c>
      <c r="Y35" s="24"/>
    </row>
    <row r="36" spans="1:25" ht="15" hidden="1" customHeight="1">
      <c r="A36" s="540">
        <v>2024</v>
      </c>
      <c r="B36" s="540" t="str">
        <f t="shared" si="6"/>
        <v>JUN</v>
      </c>
      <c r="C36" s="541">
        <v>45473</v>
      </c>
      <c r="D36" s="540">
        <v>237</v>
      </c>
      <c r="E36" s="540" t="s">
        <v>22</v>
      </c>
      <c r="F36" s="542" t="s">
        <v>131</v>
      </c>
      <c r="G36" s="543" t="s">
        <v>481</v>
      </c>
      <c r="H36" s="540" t="s">
        <v>133</v>
      </c>
      <c r="I36" s="544"/>
      <c r="J36" s="545">
        <v>19428</v>
      </c>
      <c r="K36" s="546">
        <f>850.96*1.0928</f>
        <v>929.92908799999998</v>
      </c>
      <c r="L36" s="547">
        <v>18066680.039999999</v>
      </c>
      <c r="M36" s="548"/>
      <c r="N36" s="547">
        <f>L36</f>
        <v>18066680.039999999</v>
      </c>
      <c r="O36" s="547">
        <f t="shared" si="14"/>
        <v>72267</v>
      </c>
      <c r="P36" s="547">
        <f t="shared" ref="P36:P42" si="16">(N36-O36)</f>
        <v>17994413.039999999</v>
      </c>
      <c r="Q36" s="547">
        <v>17994413.039999999</v>
      </c>
      <c r="R36" s="540">
        <v>2024</v>
      </c>
      <c r="S36" s="540" t="str">
        <f t="shared" si="5"/>
        <v>JUL</v>
      </c>
      <c r="T36" s="549">
        <v>45504</v>
      </c>
      <c r="U36" s="550">
        <f t="shared" si="15"/>
        <v>0</v>
      </c>
      <c r="Y36" s="24"/>
    </row>
    <row r="37" spans="1:25" ht="15" hidden="1" customHeight="1">
      <c r="A37" s="557">
        <v>2024</v>
      </c>
      <c r="B37" s="557" t="str">
        <f t="shared" si="6"/>
        <v>JUL</v>
      </c>
      <c r="C37" s="558">
        <v>45504</v>
      </c>
      <c r="D37" s="557" t="s">
        <v>488</v>
      </c>
      <c r="E37" s="557" t="s">
        <v>22</v>
      </c>
      <c r="F37" s="559" t="s">
        <v>135</v>
      </c>
      <c r="G37" s="560" t="s">
        <v>487</v>
      </c>
      <c r="H37" s="557" t="s">
        <v>136</v>
      </c>
      <c r="I37" s="562">
        <v>1341466.872</v>
      </c>
      <c r="J37" s="562"/>
      <c r="K37" s="563">
        <v>8.74</v>
      </c>
      <c r="L37" s="564">
        <v>11727639.981772801</v>
      </c>
      <c r="M37" s="565"/>
      <c r="N37" s="564">
        <v>11727639.981772801</v>
      </c>
      <c r="O37" s="564">
        <f t="shared" si="14"/>
        <v>46911</v>
      </c>
      <c r="P37" s="564">
        <f t="shared" si="16"/>
        <v>11680728.981772801</v>
      </c>
      <c r="Q37" s="564">
        <f>P37</f>
        <v>11680728.981772801</v>
      </c>
      <c r="R37" s="557">
        <v>2024</v>
      </c>
      <c r="S37" s="557" t="str">
        <f t="shared" si="5"/>
        <v>AGO</v>
      </c>
      <c r="T37" s="566">
        <v>45533</v>
      </c>
      <c r="U37" s="567">
        <f t="shared" si="15"/>
        <v>0</v>
      </c>
      <c r="Y37" s="24"/>
    </row>
    <row r="38" spans="1:25" ht="12" hidden="1" customHeight="1">
      <c r="A38" s="557">
        <v>2024</v>
      </c>
      <c r="B38" s="557" t="str">
        <f t="shared" si="6"/>
        <v>JUL</v>
      </c>
      <c r="C38" s="558">
        <v>45504</v>
      </c>
      <c r="D38" s="557">
        <v>247</v>
      </c>
      <c r="E38" s="557" t="s">
        <v>22</v>
      </c>
      <c r="F38" s="559" t="s">
        <v>131</v>
      </c>
      <c r="G38" s="560" t="s">
        <v>487</v>
      </c>
      <c r="H38" s="557" t="s">
        <v>133</v>
      </c>
      <c r="I38" s="561"/>
      <c r="J38" s="562">
        <v>26264</v>
      </c>
      <c r="K38" s="563">
        <f>850.96*1.0928</f>
        <v>929.92908799999998</v>
      </c>
      <c r="L38" s="564">
        <v>24423681.520000011</v>
      </c>
      <c r="M38" s="565"/>
      <c r="N38" s="564">
        <v>24423681.520000011</v>
      </c>
      <c r="O38" s="564">
        <f t="shared" si="14"/>
        <v>97695</v>
      </c>
      <c r="P38" s="564">
        <f t="shared" si="16"/>
        <v>24325986.520000011</v>
      </c>
      <c r="Q38" s="564">
        <v>24325986.52</v>
      </c>
      <c r="R38" s="557">
        <v>2024</v>
      </c>
      <c r="S38" s="557" t="str">
        <f t="shared" si="5"/>
        <v>SEP</v>
      </c>
      <c r="T38" s="566">
        <v>45565</v>
      </c>
      <c r="U38" s="567">
        <f t="shared" si="15"/>
        <v>0</v>
      </c>
      <c r="Y38" s="24"/>
    </row>
    <row r="39" spans="1:25" ht="15" hidden="1" customHeight="1">
      <c r="A39" s="56">
        <v>2024</v>
      </c>
      <c r="B39" s="56" t="str">
        <f t="shared" si="6"/>
        <v>AGO</v>
      </c>
      <c r="C39" s="57">
        <v>45535</v>
      </c>
      <c r="D39" s="56" t="s">
        <v>531</v>
      </c>
      <c r="E39" s="56" t="s">
        <v>22</v>
      </c>
      <c r="F39" s="300" t="s">
        <v>135</v>
      </c>
      <c r="G39" s="59" t="s">
        <v>532</v>
      </c>
      <c r="H39" s="59" t="s">
        <v>136</v>
      </c>
      <c r="I39" s="60">
        <v>1068577.42</v>
      </c>
      <c r="J39" s="60"/>
      <c r="K39" s="595">
        <v>8.74</v>
      </c>
      <c r="L39" s="61">
        <v>9341931.1999999993</v>
      </c>
      <c r="M39" s="62"/>
      <c r="N39" s="61">
        <f>L39</f>
        <v>9341931.1999999993</v>
      </c>
      <c r="O39" s="61">
        <f t="shared" si="14"/>
        <v>37368</v>
      </c>
      <c r="P39" s="61">
        <f t="shared" si="16"/>
        <v>9304563.1999999993</v>
      </c>
      <c r="Q39" s="61">
        <v>9304563.1999999993</v>
      </c>
      <c r="R39" s="56">
        <v>2024</v>
      </c>
      <c r="S39" s="56" t="str">
        <f t="shared" si="5"/>
        <v>SEP</v>
      </c>
      <c r="T39" s="596">
        <v>45565</v>
      </c>
      <c r="U39" s="61">
        <f t="shared" si="15"/>
        <v>0</v>
      </c>
      <c r="Y39" s="24"/>
    </row>
    <row r="40" spans="1:25" ht="15" hidden="1" customHeight="1">
      <c r="A40" s="56">
        <v>2024</v>
      </c>
      <c r="B40" s="56" t="str">
        <f t="shared" si="6"/>
        <v>AGO</v>
      </c>
      <c r="C40" s="57">
        <v>45535</v>
      </c>
      <c r="D40" s="56">
        <v>267</v>
      </c>
      <c r="E40" s="56" t="s">
        <v>22</v>
      </c>
      <c r="F40" s="300" t="s">
        <v>131</v>
      </c>
      <c r="G40" s="59" t="s">
        <v>532</v>
      </c>
      <c r="H40" s="59" t="s">
        <v>133</v>
      </c>
      <c r="I40" s="59"/>
      <c r="J40" s="60">
        <v>43540</v>
      </c>
      <c r="K40" s="595">
        <f>850.96*1.0928</f>
        <v>929.92908799999998</v>
      </c>
      <c r="L40" s="61">
        <v>40489152.200000003</v>
      </c>
      <c r="M40" s="62"/>
      <c r="N40" s="61">
        <f>L40</f>
        <v>40489152.200000003</v>
      </c>
      <c r="O40" s="61">
        <f t="shared" si="14"/>
        <v>161957</v>
      </c>
      <c r="P40" s="61">
        <f t="shared" si="16"/>
        <v>40327195.200000003</v>
      </c>
      <c r="Q40" s="61">
        <v>40327195.200000003</v>
      </c>
      <c r="R40" s="56">
        <v>2024</v>
      </c>
      <c r="S40" s="56" t="str">
        <f t="shared" si="5"/>
        <v>NOV</v>
      </c>
      <c r="T40" s="596">
        <v>45623</v>
      </c>
      <c r="U40" s="61">
        <f t="shared" si="15"/>
        <v>0</v>
      </c>
      <c r="Y40" s="24"/>
    </row>
    <row r="41" spans="1:25" ht="15" hidden="1" customHeight="1">
      <c r="A41" s="600">
        <v>2024</v>
      </c>
      <c r="B41" s="600" t="str">
        <f t="shared" si="6"/>
        <v>SEP</v>
      </c>
      <c r="C41" s="601">
        <v>45565</v>
      </c>
      <c r="D41" s="600" t="s">
        <v>558</v>
      </c>
      <c r="E41" s="600" t="s">
        <v>22</v>
      </c>
      <c r="F41" s="602" t="s">
        <v>135</v>
      </c>
      <c r="G41" s="603" t="s">
        <v>559</v>
      </c>
      <c r="H41" s="603" t="s">
        <v>136</v>
      </c>
      <c r="I41" s="604">
        <v>1386927.39</v>
      </c>
      <c r="J41" s="604"/>
      <c r="K41" s="605">
        <v>8.74</v>
      </c>
      <c r="L41" s="606">
        <v>12125074.017832957</v>
      </c>
      <c r="M41" s="607"/>
      <c r="N41" s="606">
        <f>L41</f>
        <v>12125074.017832957</v>
      </c>
      <c r="O41" s="606">
        <f t="shared" si="14"/>
        <v>48500</v>
      </c>
      <c r="P41" s="606">
        <f t="shared" si="16"/>
        <v>12076574.017832957</v>
      </c>
      <c r="Q41" s="606">
        <v>12076574.017832957</v>
      </c>
      <c r="R41" s="600">
        <v>2024</v>
      </c>
      <c r="S41" s="600" t="str">
        <f t="shared" si="5"/>
        <v>OCT</v>
      </c>
      <c r="T41" s="608">
        <v>45596</v>
      </c>
      <c r="U41" s="606">
        <f t="shared" si="15"/>
        <v>0</v>
      </c>
      <c r="Y41" s="24"/>
    </row>
    <row r="42" spans="1:25" ht="15" hidden="1" customHeight="1">
      <c r="A42" s="600">
        <v>2024</v>
      </c>
      <c r="B42" s="600" t="str">
        <f t="shared" si="6"/>
        <v>SEP</v>
      </c>
      <c r="C42" s="601">
        <v>45565</v>
      </c>
      <c r="D42" s="600">
        <v>287</v>
      </c>
      <c r="E42" s="600" t="s">
        <v>22</v>
      </c>
      <c r="F42" s="602" t="s">
        <v>131</v>
      </c>
      <c r="G42" s="603" t="s">
        <v>559</v>
      </c>
      <c r="H42" s="603" t="s">
        <v>133</v>
      </c>
      <c r="I42" s="603"/>
      <c r="J42" s="604">
        <v>34638</v>
      </c>
      <c r="K42" s="605">
        <f>850.96*1.0928</f>
        <v>929.92908799999998</v>
      </c>
      <c r="L42" s="606">
        <v>32210915.340000018</v>
      </c>
      <c r="M42" s="607"/>
      <c r="N42" s="606">
        <f>L42</f>
        <v>32210915.340000018</v>
      </c>
      <c r="O42" s="606">
        <f t="shared" si="14"/>
        <v>128844</v>
      </c>
      <c r="P42" s="606">
        <f t="shared" si="16"/>
        <v>32082071.340000018</v>
      </c>
      <c r="Q42" s="606">
        <v>32082071.340000018</v>
      </c>
      <c r="R42" s="600">
        <v>2024</v>
      </c>
      <c r="S42" s="600" t="str">
        <f t="shared" si="5"/>
        <v>OCT</v>
      </c>
      <c r="T42" s="608">
        <v>45596</v>
      </c>
      <c r="U42" s="606">
        <f t="shared" si="15"/>
        <v>0</v>
      </c>
      <c r="W42" s="24"/>
      <c r="Y42" s="24"/>
    </row>
    <row r="43" spans="1:25" ht="15" hidden="1" customHeight="1">
      <c r="A43" s="8">
        <v>2024</v>
      </c>
      <c r="B43" s="8" t="str">
        <f t="shared" si="6"/>
        <v>OCT</v>
      </c>
      <c r="C43" s="9">
        <v>45596</v>
      </c>
      <c r="D43" s="8" t="s">
        <v>598</v>
      </c>
      <c r="E43" s="8" t="s">
        <v>22</v>
      </c>
      <c r="F43" s="310" t="s">
        <v>135</v>
      </c>
      <c r="G43" s="28" t="s">
        <v>601</v>
      </c>
      <c r="H43" s="28" t="s">
        <v>136</v>
      </c>
      <c r="I43" s="26">
        <v>1333535.27</v>
      </c>
      <c r="J43" s="26"/>
      <c r="K43" s="650">
        <v>8.74</v>
      </c>
      <c r="L43" s="16">
        <v>11658298.73</v>
      </c>
      <c r="M43" s="27"/>
      <c r="N43" s="16">
        <v>11658298.73</v>
      </c>
      <c r="O43" s="16">
        <f t="shared" si="14"/>
        <v>46633</v>
      </c>
      <c r="P43" s="16">
        <f t="shared" ref="P43:P48" si="17">(N43-O43)</f>
        <v>11611665.73</v>
      </c>
      <c r="Q43" s="16">
        <v>11611665.73</v>
      </c>
      <c r="R43" s="8">
        <v>2024</v>
      </c>
      <c r="S43" s="8" t="str">
        <f t="shared" si="5"/>
        <v>NOV</v>
      </c>
      <c r="T43" s="651">
        <v>45623</v>
      </c>
      <c r="U43" s="16">
        <f t="shared" si="15"/>
        <v>0</v>
      </c>
      <c r="W43" s="24"/>
      <c r="Y43" s="24"/>
    </row>
    <row r="44" spans="1:25" ht="15" hidden="1" customHeight="1">
      <c r="A44" s="8">
        <v>2024</v>
      </c>
      <c r="B44" s="8" t="str">
        <f t="shared" si="6"/>
        <v>OCT</v>
      </c>
      <c r="C44" s="9">
        <v>45596</v>
      </c>
      <c r="D44" s="8">
        <v>308</v>
      </c>
      <c r="E44" s="8" t="s">
        <v>22</v>
      </c>
      <c r="F44" s="310" t="s">
        <v>131</v>
      </c>
      <c r="G44" s="28" t="s">
        <v>601</v>
      </c>
      <c r="H44" s="28" t="s">
        <v>133</v>
      </c>
      <c r="I44" s="28"/>
      <c r="J44" s="26">
        <v>36820</v>
      </c>
      <c r="K44" s="650">
        <v>929.93</v>
      </c>
      <c r="L44" s="16">
        <v>34240022.600000001</v>
      </c>
      <c r="M44" s="27"/>
      <c r="N44" s="16">
        <v>34240022.600000001</v>
      </c>
      <c r="O44" s="16">
        <f t="shared" si="14"/>
        <v>136960</v>
      </c>
      <c r="P44" s="16">
        <f t="shared" si="17"/>
        <v>34103062.600000001</v>
      </c>
      <c r="Q44" s="16">
        <v>34103062.600000001</v>
      </c>
      <c r="R44" s="8">
        <v>2025</v>
      </c>
      <c r="S44" s="8" t="str">
        <f t="shared" ref="S44:S49" si="18">UPPER(TEXT(T44,"MMM"))</f>
        <v>FEB</v>
      </c>
      <c r="T44" s="651">
        <v>45714</v>
      </c>
      <c r="U44" s="16">
        <f>+P44-Q44</f>
        <v>0</v>
      </c>
      <c r="W44" s="24"/>
      <c r="Y44" s="24"/>
    </row>
    <row r="45" spans="1:25" ht="15" hidden="1" customHeight="1">
      <c r="A45" s="677">
        <v>2024</v>
      </c>
      <c r="B45" s="677" t="str">
        <f t="shared" si="6"/>
        <v>NOV</v>
      </c>
      <c r="C45" s="678">
        <v>45626</v>
      </c>
      <c r="D45" s="677" t="s">
        <v>636</v>
      </c>
      <c r="E45" s="677" t="s">
        <v>22</v>
      </c>
      <c r="F45" s="679" t="s">
        <v>135</v>
      </c>
      <c r="G45" s="680" t="s">
        <v>637</v>
      </c>
      <c r="H45" s="680" t="s">
        <v>136</v>
      </c>
      <c r="I45" s="681">
        <v>699824.52</v>
      </c>
      <c r="J45" s="681"/>
      <c r="K45" s="682">
        <v>8.74</v>
      </c>
      <c r="L45" s="683">
        <v>6118145.8836479997</v>
      </c>
      <c r="M45" s="684"/>
      <c r="N45" s="683">
        <v>6118145.8836479997</v>
      </c>
      <c r="O45" s="683">
        <f t="shared" si="14"/>
        <v>24473</v>
      </c>
      <c r="P45" s="683">
        <f t="shared" si="17"/>
        <v>6093672.8836479997</v>
      </c>
      <c r="Q45" s="683">
        <v>6093672.8836479997</v>
      </c>
      <c r="R45" s="677">
        <v>2025</v>
      </c>
      <c r="S45" s="677" t="str">
        <f t="shared" si="18"/>
        <v>FEB</v>
      </c>
      <c r="T45" s="713">
        <v>45714</v>
      </c>
      <c r="U45" s="683">
        <f t="shared" si="15"/>
        <v>0</v>
      </c>
      <c r="W45" s="24"/>
      <c r="Y45" s="24"/>
    </row>
    <row r="46" spans="1:25" ht="15" hidden="1" customHeight="1">
      <c r="A46" s="677">
        <v>2024</v>
      </c>
      <c r="B46" s="677" t="str">
        <f t="shared" si="6"/>
        <v>NOV</v>
      </c>
      <c r="C46" s="678">
        <v>45626</v>
      </c>
      <c r="D46" s="677">
        <v>324</v>
      </c>
      <c r="E46" s="677" t="s">
        <v>22</v>
      </c>
      <c r="F46" s="679" t="s">
        <v>131</v>
      </c>
      <c r="G46" s="680" t="s">
        <v>637</v>
      </c>
      <c r="H46" s="680" t="s">
        <v>133</v>
      </c>
      <c r="I46" s="680"/>
      <c r="J46" s="681">
        <v>37392</v>
      </c>
      <c r="K46" s="682">
        <v>929.93</v>
      </c>
      <c r="L46" s="683">
        <v>34771942.560000002</v>
      </c>
      <c r="M46" s="684"/>
      <c r="N46" s="683">
        <v>34771942.560000002</v>
      </c>
      <c r="O46" s="683">
        <f t="shared" si="14"/>
        <v>139088</v>
      </c>
      <c r="P46" s="683">
        <f t="shared" si="17"/>
        <v>34632854.560000002</v>
      </c>
      <c r="Q46" s="683">
        <f>Tabla4[[#This Row],[Valor a Consignar a la ANI]]</f>
        <v>34632854.560000002</v>
      </c>
      <c r="R46" s="677">
        <v>2025</v>
      </c>
      <c r="S46" s="677" t="str">
        <f t="shared" si="18"/>
        <v>ABR</v>
      </c>
      <c r="T46" s="713">
        <v>45770</v>
      </c>
      <c r="U46" s="683">
        <f t="shared" si="15"/>
        <v>0</v>
      </c>
      <c r="W46" s="24"/>
      <c r="Y46" s="24"/>
    </row>
    <row r="47" spans="1:25" ht="15" hidden="1" customHeight="1">
      <c r="A47" s="702">
        <v>2024</v>
      </c>
      <c r="B47" s="702" t="str">
        <f t="shared" si="6"/>
        <v>DIC</v>
      </c>
      <c r="C47" s="703">
        <v>45657</v>
      </c>
      <c r="D47" s="702" t="s">
        <v>659</v>
      </c>
      <c r="E47" s="702" t="s">
        <v>22</v>
      </c>
      <c r="F47" s="704" t="s">
        <v>135</v>
      </c>
      <c r="G47" s="705" t="s">
        <v>661</v>
      </c>
      <c r="H47" s="705" t="s">
        <v>136</v>
      </c>
      <c r="I47" s="707">
        <v>808621.71399999992</v>
      </c>
      <c r="J47" s="707"/>
      <c r="K47" s="708">
        <v>8.74</v>
      </c>
      <c r="L47" s="706">
        <v>7069294.472473599</v>
      </c>
      <c r="M47" s="709"/>
      <c r="N47" s="706">
        <v>7069294.472473599</v>
      </c>
      <c r="O47" s="706">
        <f t="shared" si="14"/>
        <v>28277</v>
      </c>
      <c r="P47" s="706">
        <f t="shared" si="17"/>
        <v>7041017.472473599</v>
      </c>
      <c r="Q47" s="706">
        <v>7041017.472473599</v>
      </c>
      <c r="R47" s="702">
        <v>2025</v>
      </c>
      <c r="S47" s="702" t="str">
        <f t="shared" si="18"/>
        <v>FEB</v>
      </c>
      <c r="T47" s="710">
        <v>45714</v>
      </c>
      <c r="U47" s="706">
        <f t="shared" si="15"/>
        <v>0</v>
      </c>
      <c r="W47" s="24"/>
      <c r="Y47" s="24"/>
    </row>
    <row r="48" spans="1:25" ht="15" hidden="1" customHeight="1">
      <c r="A48" s="702">
        <v>2024</v>
      </c>
      <c r="B48" s="702" t="str">
        <f t="shared" si="6"/>
        <v>DIC</v>
      </c>
      <c r="C48" s="703">
        <v>45657</v>
      </c>
      <c r="D48" s="702">
        <v>344</v>
      </c>
      <c r="E48" s="702" t="s">
        <v>22</v>
      </c>
      <c r="F48" s="704" t="s">
        <v>131</v>
      </c>
      <c r="G48" s="705" t="s">
        <v>661</v>
      </c>
      <c r="H48" s="705" t="s">
        <v>133</v>
      </c>
      <c r="I48" s="707"/>
      <c r="J48" s="707">
        <v>55184</v>
      </c>
      <c r="K48" s="708">
        <v>929.93</v>
      </c>
      <c r="L48" s="706">
        <f>J48*K48</f>
        <v>51317257.119999997</v>
      </c>
      <c r="M48" s="709"/>
      <c r="N48" s="706">
        <f t="shared" ref="N48:N54" si="19">L48</f>
        <v>51317257.119999997</v>
      </c>
      <c r="O48" s="706">
        <f t="shared" si="14"/>
        <v>205269</v>
      </c>
      <c r="P48" s="706">
        <f t="shared" si="17"/>
        <v>51111988.119999997</v>
      </c>
      <c r="Q48" s="706">
        <f>Tabla4[[#This Row],[Valor a Consignar a la ANI]]</f>
        <v>51111988.119999997</v>
      </c>
      <c r="R48" s="702">
        <v>2025</v>
      </c>
      <c r="S48" s="702" t="str">
        <f t="shared" si="18"/>
        <v>MAY</v>
      </c>
      <c r="T48" s="710">
        <v>45805</v>
      </c>
      <c r="U48" s="706">
        <f t="shared" si="15"/>
        <v>0</v>
      </c>
      <c r="W48" s="24"/>
      <c r="Y48" s="24"/>
    </row>
    <row r="49" spans="1:25" ht="15" customHeight="1">
      <c r="A49" s="85">
        <v>2025</v>
      </c>
      <c r="B49" s="85" t="str">
        <f t="shared" si="6"/>
        <v>ENE</v>
      </c>
      <c r="C49" s="86">
        <v>45688</v>
      </c>
      <c r="D49" s="85" t="s">
        <v>682</v>
      </c>
      <c r="E49" s="85" t="s">
        <v>22</v>
      </c>
      <c r="F49" s="302" t="s">
        <v>135</v>
      </c>
      <c r="G49" s="88" t="s">
        <v>683</v>
      </c>
      <c r="H49" s="88" t="s">
        <v>136</v>
      </c>
      <c r="I49" s="89">
        <v>692265.48</v>
      </c>
      <c r="J49" s="89"/>
      <c r="K49" s="884">
        <f>K47*1.052</f>
        <v>9.1944800000000004</v>
      </c>
      <c r="L49" s="90">
        <v>6366768.9424343035</v>
      </c>
      <c r="M49" s="91"/>
      <c r="N49" s="90">
        <f t="shared" si="19"/>
        <v>6366768.9424343035</v>
      </c>
      <c r="O49" s="90">
        <f t="shared" si="14"/>
        <v>25467</v>
      </c>
      <c r="P49" s="90">
        <f t="shared" ref="P49:P54" si="20">(N49-O49)</f>
        <v>6341301.9424343035</v>
      </c>
      <c r="Q49" s="90">
        <f>Tabla4[[#This Row],[Valor a Consignar a la ANI]]</f>
        <v>6341301.9424343035</v>
      </c>
      <c r="R49" s="85">
        <v>2025</v>
      </c>
      <c r="S49" s="85" t="str">
        <f t="shared" si="18"/>
        <v>JUL</v>
      </c>
      <c r="T49" s="87">
        <v>45845</v>
      </c>
      <c r="U49" s="90">
        <f t="shared" si="15"/>
        <v>0</v>
      </c>
      <c r="W49" s="24"/>
      <c r="Y49" s="24"/>
    </row>
    <row r="50" spans="1:25" ht="15" customHeight="1">
      <c r="A50" s="885">
        <v>2025</v>
      </c>
      <c r="B50" s="885" t="str">
        <f t="shared" si="6"/>
        <v>ENE</v>
      </c>
      <c r="C50" s="886">
        <v>45688</v>
      </c>
      <c r="D50" s="887">
        <v>361</v>
      </c>
      <c r="E50" s="885" t="s">
        <v>22</v>
      </c>
      <c r="F50" s="888" t="s">
        <v>131</v>
      </c>
      <c r="G50" s="889" t="s">
        <v>683</v>
      </c>
      <c r="H50" s="889" t="s">
        <v>133</v>
      </c>
      <c r="I50" s="890"/>
      <c r="J50" s="890">
        <v>25602</v>
      </c>
      <c r="K50" s="891">
        <v>978.29</v>
      </c>
      <c r="L50" s="892">
        <f>J50*K50</f>
        <v>25046180.579999998</v>
      </c>
      <c r="M50" s="893"/>
      <c r="N50" s="892">
        <f t="shared" si="19"/>
        <v>25046180.579999998</v>
      </c>
      <c r="O50" s="892">
        <f t="shared" si="14"/>
        <v>100185</v>
      </c>
      <c r="P50" s="892">
        <f t="shared" si="20"/>
        <v>24945995.579999998</v>
      </c>
      <c r="Q50" s="892">
        <f>Tabla4[[#This Row],[Valor a Consignar a la ANI]]</f>
        <v>24945995.579999998</v>
      </c>
      <c r="R50" s="85">
        <v>2025</v>
      </c>
      <c r="S50" s="85" t="str">
        <f>UPPER(TEXT(T50,"MMM"))</f>
        <v>JUL</v>
      </c>
      <c r="T50" s="87">
        <v>45845</v>
      </c>
      <c r="U50" s="892">
        <f t="shared" si="15"/>
        <v>0</v>
      </c>
      <c r="W50" s="24"/>
      <c r="Y50" s="24"/>
    </row>
    <row r="51" spans="1:25" ht="15" customHeight="1">
      <c r="A51" s="557">
        <v>2025</v>
      </c>
      <c r="B51" s="557" t="str">
        <f t="shared" ref="B51" si="21">UPPER(TEXT(C51,"MMM"))</f>
        <v>FEB</v>
      </c>
      <c r="C51" s="894">
        <v>45716</v>
      </c>
      <c r="D51" s="557" t="s">
        <v>726</v>
      </c>
      <c r="E51" s="557" t="s">
        <v>22</v>
      </c>
      <c r="F51" s="559" t="s">
        <v>135</v>
      </c>
      <c r="G51" s="561" t="s">
        <v>727</v>
      </c>
      <c r="H51" s="561" t="s">
        <v>136</v>
      </c>
      <c r="I51" s="562">
        <v>733974.78679999989</v>
      </c>
      <c r="J51" s="562"/>
      <c r="K51" s="563">
        <f>K47*1.052</f>
        <v>9.1944800000000004</v>
      </c>
      <c r="L51" s="564">
        <v>6750369.6372785755</v>
      </c>
      <c r="M51" s="565"/>
      <c r="N51" s="564">
        <f t="shared" si="19"/>
        <v>6750369.6372785755</v>
      </c>
      <c r="O51" s="564">
        <f t="shared" ref="O51" si="22">ROUND(N51*0.004,0)</f>
        <v>27001</v>
      </c>
      <c r="P51" s="564">
        <f t="shared" si="20"/>
        <v>6723368.6372785755</v>
      </c>
      <c r="Q51" s="1035">
        <f>Tabla4[[#This Row],[Valor a Consignar a la ANI]]</f>
        <v>6723368.6372785755</v>
      </c>
      <c r="R51" s="557">
        <v>2025</v>
      </c>
      <c r="S51" s="557" t="str">
        <f t="shared" ref="S51:S53" si="23">UPPER(TEXT(T51,"MMM"))</f>
        <v>AGO</v>
      </c>
      <c r="T51" s="566">
        <v>45873</v>
      </c>
      <c r="U51" s="564">
        <f t="shared" ref="U51" si="24">+P51-Q51</f>
        <v>0</v>
      </c>
      <c r="W51" s="24"/>
      <c r="Y51" s="24"/>
    </row>
    <row r="52" spans="1:25" ht="15" customHeight="1">
      <c r="A52" s="557">
        <v>2025</v>
      </c>
      <c r="B52" s="557" t="str">
        <f t="shared" ref="B52" si="25">UPPER(TEXT(C52,"MMM"))</f>
        <v>FEB</v>
      </c>
      <c r="C52" s="558">
        <v>45716</v>
      </c>
      <c r="D52" s="895">
        <v>378</v>
      </c>
      <c r="E52" s="896" t="s">
        <v>22</v>
      </c>
      <c r="F52" s="897" t="s">
        <v>131</v>
      </c>
      <c r="G52" s="561" t="s">
        <v>727</v>
      </c>
      <c r="H52" s="898" t="s">
        <v>133</v>
      </c>
      <c r="I52" s="562"/>
      <c r="J52" s="562">
        <v>30368</v>
      </c>
      <c r="K52" s="563">
        <v>978.29</v>
      </c>
      <c r="L52" s="564">
        <f>J52*K52</f>
        <v>29708710.719999999</v>
      </c>
      <c r="M52" s="565"/>
      <c r="N52" s="564">
        <f t="shared" si="19"/>
        <v>29708710.719999999</v>
      </c>
      <c r="O52" s="564">
        <f t="shared" ref="O52" si="26">ROUND(N52*0.004,0)</f>
        <v>118835</v>
      </c>
      <c r="P52" s="564">
        <f t="shared" si="20"/>
        <v>29589875.719999999</v>
      </c>
      <c r="Q52" s="1035">
        <f>Tabla4[[#This Row],[Valor a Consignar a la ANI]]</f>
        <v>29589875.719999999</v>
      </c>
      <c r="R52" s="557">
        <v>2025</v>
      </c>
      <c r="S52" s="557" t="str">
        <f t="shared" si="23"/>
        <v>AGO</v>
      </c>
      <c r="T52" s="566">
        <v>45873</v>
      </c>
      <c r="U52" s="564">
        <f t="shared" ref="U52:U58" si="27">+P52-Q52</f>
        <v>0</v>
      </c>
      <c r="W52" s="24"/>
      <c r="Y52" s="24"/>
    </row>
    <row r="53" spans="1:25" ht="15" customHeight="1">
      <c r="A53" s="517">
        <v>2025</v>
      </c>
      <c r="B53" s="517" t="str">
        <f t="shared" ref="B53:B58" si="28">UPPER(TEXT(C53,"MMM"))</f>
        <v>MAR</v>
      </c>
      <c r="C53" s="518">
        <v>45747</v>
      </c>
      <c r="D53" s="899" t="s">
        <v>756</v>
      </c>
      <c r="E53" s="900" t="s">
        <v>22</v>
      </c>
      <c r="F53" s="519" t="s">
        <v>135</v>
      </c>
      <c r="G53" s="527" t="s">
        <v>768</v>
      </c>
      <c r="H53" s="527" t="s">
        <v>136</v>
      </c>
      <c r="I53" s="521">
        <v>996792.49000000022</v>
      </c>
      <c r="J53" s="521"/>
      <c r="K53" s="522">
        <v>9.1944800000000004</v>
      </c>
      <c r="L53" s="523">
        <v>9167505.3200000003</v>
      </c>
      <c r="M53" s="524"/>
      <c r="N53" s="523">
        <f t="shared" si="19"/>
        <v>9167505.3200000003</v>
      </c>
      <c r="O53" s="523">
        <f t="shared" ref="O53:O58" si="29">ROUND(N53*0.004,0)</f>
        <v>36670</v>
      </c>
      <c r="P53" s="523">
        <f t="shared" si="20"/>
        <v>9130835.3200000003</v>
      </c>
      <c r="Q53" s="523">
        <v>9130835.3200000003</v>
      </c>
      <c r="R53" s="517">
        <v>2025</v>
      </c>
      <c r="S53" s="517" t="str">
        <f t="shared" si="23"/>
        <v>SEP</v>
      </c>
      <c r="T53" s="525">
        <v>45904</v>
      </c>
      <c r="U53" s="523">
        <f t="shared" si="27"/>
        <v>0</v>
      </c>
      <c r="W53" s="24"/>
      <c r="Y53" s="24"/>
    </row>
    <row r="54" spans="1:25" ht="15" customHeight="1">
      <c r="A54" s="517">
        <v>2025</v>
      </c>
      <c r="B54" s="517" t="str">
        <f t="shared" si="28"/>
        <v>MAR</v>
      </c>
      <c r="C54" s="518">
        <v>45747</v>
      </c>
      <c r="D54" s="899">
        <v>396</v>
      </c>
      <c r="E54" s="900" t="s">
        <v>22</v>
      </c>
      <c r="F54" s="901" t="s">
        <v>131</v>
      </c>
      <c r="G54" s="527" t="s">
        <v>768</v>
      </c>
      <c r="H54" s="902" t="s">
        <v>133</v>
      </c>
      <c r="I54" s="521"/>
      <c r="J54" s="521">
        <v>37864</v>
      </c>
      <c r="K54" s="522">
        <v>978.29</v>
      </c>
      <c r="L54" s="523">
        <v>37041972.600000001</v>
      </c>
      <c r="M54" s="524"/>
      <c r="N54" s="523">
        <f t="shared" si="19"/>
        <v>37041972.600000001</v>
      </c>
      <c r="O54" s="523">
        <f t="shared" si="29"/>
        <v>148168</v>
      </c>
      <c r="P54" s="523">
        <f t="shared" si="20"/>
        <v>36893804.600000001</v>
      </c>
      <c r="Q54" s="523">
        <f>Tabla4[[#This Row],[Valor a Consignar a la ANI]]</f>
        <v>36893804.600000001</v>
      </c>
      <c r="R54" s="517">
        <v>2025</v>
      </c>
      <c r="S54" s="517" t="s">
        <v>604</v>
      </c>
      <c r="T54" s="525">
        <v>45932</v>
      </c>
      <c r="U54" s="523">
        <f t="shared" si="27"/>
        <v>0</v>
      </c>
      <c r="W54" s="24"/>
      <c r="Y54" s="24"/>
    </row>
    <row r="55" spans="1:25" ht="15" customHeight="1">
      <c r="A55" s="71">
        <v>2025</v>
      </c>
      <c r="B55" s="71" t="str">
        <f t="shared" si="28"/>
        <v>ABR</v>
      </c>
      <c r="C55" s="72">
        <v>45777</v>
      </c>
      <c r="D55" s="925" t="s">
        <v>795</v>
      </c>
      <c r="E55" s="926" t="s">
        <v>22</v>
      </c>
      <c r="F55" s="301" t="s">
        <v>135</v>
      </c>
      <c r="G55" s="74" t="s">
        <v>796</v>
      </c>
      <c r="H55" s="74" t="s">
        <v>136</v>
      </c>
      <c r="I55" s="75">
        <v>797190.87</v>
      </c>
      <c r="J55" s="75"/>
      <c r="K55" s="927">
        <v>9.1944800000000004</v>
      </c>
      <c r="L55" s="76">
        <v>7331768.2599999998</v>
      </c>
      <c r="M55" s="77"/>
      <c r="N55" s="76">
        <f t="shared" ref="N55" si="30">L55</f>
        <v>7331768.2599999998</v>
      </c>
      <c r="O55" s="76">
        <f t="shared" si="29"/>
        <v>29327</v>
      </c>
      <c r="P55" s="76">
        <f t="shared" ref="P55:P56" si="31">(N55-O55)</f>
        <v>7302441.2599999998</v>
      </c>
      <c r="Q55" s="76">
        <f>Tabla4[[#This Row],[Valor a Consignar a la ANI]]</f>
        <v>7302441.2599999998</v>
      </c>
      <c r="R55" s="71">
        <v>2025</v>
      </c>
      <c r="S55" s="71" t="s">
        <v>604</v>
      </c>
      <c r="T55" s="286">
        <v>45932</v>
      </c>
      <c r="U55" s="76">
        <f t="shared" si="27"/>
        <v>0</v>
      </c>
      <c r="W55" s="24"/>
      <c r="Y55" s="24"/>
    </row>
    <row r="56" spans="1:25" ht="15" customHeight="1">
      <c r="A56" s="71">
        <v>2025</v>
      </c>
      <c r="B56" s="71" t="str">
        <f t="shared" si="28"/>
        <v>ABR</v>
      </c>
      <c r="C56" s="72">
        <v>45777</v>
      </c>
      <c r="D56" s="957">
        <v>419</v>
      </c>
      <c r="E56" s="926" t="s">
        <v>22</v>
      </c>
      <c r="F56" s="928" t="s">
        <v>131</v>
      </c>
      <c r="G56" s="929" t="s">
        <v>796</v>
      </c>
      <c r="H56" s="929" t="s">
        <v>133</v>
      </c>
      <c r="I56" s="958"/>
      <c r="J56" s="958">
        <v>35748</v>
      </c>
      <c r="K56" s="959">
        <v>978.29</v>
      </c>
      <c r="L56" s="76">
        <f>Tabla4[[#This Row],[Valor bruto]]</f>
        <v>34971910.920000017</v>
      </c>
      <c r="M56" s="960"/>
      <c r="N56" s="961">
        <v>34971910.920000017</v>
      </c>
      <c r="O56" s="961">
        <f t="shared" si="29"/>
        <v>139888</v>
      </c>
      <c r="P56" s="961">
        <f t="shared" si="31"/>
        <v>34832022.920000017</v>
      </c>
      <c r="Q56" s="961">
        <f>Tabla4[[#This Row],[Valor a Consignar a la ANI]]</f>
        <v>34832022.920000017</v>
      </c>
      <c r="R56" s="71">
        <v>2025</v>
      </c>
      <c r="S56" s="71" t="s">
        <v>604</v>
      </c>
      <c r="T56" s="286">
        <v>45938</v>
      </c>
      <c r="U56" s="961">
        <f t="shared" si="27"/>
        <v>0</v>
      </c>
      <c r="W56" s="24"/>
      <c r="Y56" s="24"/>
    </row>
    <row r="57" spans="1:25" ht="15" customHeight="1">
      <c r="A57" s="600">
        <v>2025</v>
      </c>
      <c r="B57" s="600" t="str">
        <f t="shared" si="28"/>
        <v>MAY</v>
      </c>
      <c r="C57" s="601">
        <v>45808</v>
      </c>
      <c r="D57" s="962" t="s">
        <v>811</v>
      </c>
      <c r="E57" s="600" t="s">
        <v>22</v>
      </c>
      <c r="F57" s="602" t="s">
        <v>135</v>
      </c>
      <c r="G57" s="603" t="s">
        <v>813</v>
      </c>
      <c r="H57" s="603" t="s">
        <v>136</v>
      </c>
      <c r="I57" s="604">
        <v>1001291.77</v>
      </c>
      <c r="J57" s="604"/>
      <c r="K57" s="605">
        <v>9.1944800000000004</v>
      </c>
      <c r="L57" s="606">
        <v>9208885.2148904894</v>
      </c>
      <c r="M57" s="607"/>
      <c r="N57" s="606">
        <v>9208885.2148904949</v>
      </c>
      <c r="O57" s="606">
        <f t="shared" si="29"/>
        <v>36836</v>
      </c>
      <c r="P57" s="606">
        <f t="shared" ref="P57:P60" si="32">(N57-O57)</f>
        <v>9172049.2148904949</v>
      </c>
      <c r="Q57" s="606">
        <f>Tabla4[[#This Row],[Valor a Consignar a la ANI]]</f>
        <v>9172049.2148904949</v>
      </c>
      <c r="R57" s="600">
        <v>2025</v>
      </c>
      <c r="S57" s="600" t="s">
        <v>604</v>
      </c>
      <c r="T57" s="608">
        <v>45938</v>
      </c>
      <c r="U57" s="606">
        <f t="shared" si="27"/>
        <v>0</v>
      </c>
      <c r="W57" s="24"/>
      <c r="Y57" s="24"/>
    </row>
    <row r="58" spans="1:25" ht="15" customHeight="1">
      <c r="A58" s="600">
        <v>2025</v>
      </c>
      <c r="B58" s="600" t="str">
        <f t="shared" si="28"/>
        <v>MAY</v>
      </c>
      <c r="C58" s="601">
        <v>45808</v>
      </c>
      <c r="D58" s="962">
        <v>443</v>
      </c>
      <c r="E58" s="600" t="s">
        <v>22</v>
      </c>
      <c r="F58" s="602" t="s">
        <v>131</v>
      </c>
      <c r="G58" s="603" t="s">
        <v>813</v>
      </c>
      <c r="H58" s="603" t="s">
        <v>133</v>
      </c>
      <c r="I58" s="604"/>
      <c r="J58" s="604">
        <v>35792</v>
      </c>
      <c r="K58" s="605">
        <v>978.29</v>
      </c>
      <c r="L58" s="606">
        <v>35014955.680000015</v>
      </c>
      <c r="M58" s="607"/>
      <c r="N58" s="606">
        <v>35014955.680000015</v>
      </c>
      <c r="O58" s="606">
        <f t="shared" si="29"/>
        <v>140060</v>
      </c>
      <c r="P58" s="606">
        <f t="shared" si="32"/>
        <v>34874895.680000015</v>
      </c>
      <c r="Q58" s="606">
        <f>Tabla4[[#This Row],[Valor a Consignar a la ANI]]</f>
        <v>34874895.680000015</v>
      </c>
      <c r="R58" s="600">
        <v>2025</v>
      </c>
      <c r="S58" s="600" t="s">
        <v>604</v>
      </c>
      <c r="T58" s="608">
        <v>45938</v>
      </c>
      <c r="U58" s="606">
        <f t="shared" si="27"/>
        <v>0</v>
      </c>
      <c r="W58" s="24"/>
      <c r="Y58" s="24"/>
    </row>
    <row r="59" spans="1:25" ht="15" customHeight="1">
      <c r="A59" s="85">
        <v>2025</v>
      </c>
      <c r="B59" s="85" t="str">
        <f t="shared" ref="B59:B67" si="33">UPPER(TEXT(C59,"MMM"))</f>
        <v>JUN</v>
      </c>
      <c r="C59" s="86">
        <v>45838</v>
      </c>
      <c r="D59" s="967" t="s">
        <v>832</v>
      </c>
      <c r="E59" s="85" t="s">
        <v>22</v>
      </c>
      <c r="F59" s="302" t="s">
        <v>135</v>
      </c>
      <c r="G59" s="88" t="s">
        <v>834</v>
      </c>
      <c r="H59" s="88" t="s">
        <v>136</v>
      </c>
      <c r="I59" s="89">
        <v>884138.7100000002</v>
      </c>
      <c r="J59" s="89"/>
      <c r="K59" s="884">
        <v>9.1944800000000004</v>
      </c>
      <c r="L59" s="90">
        <v>8131427.959735807</v>
      </c>
      <c r="M59" s="91"/>
      <c r="N59" s="90">
        <v>8131427.959735807</v>
      </c>
      <c r="O59" s="90">
        <f t="shared" ref="O59:O67" si="34">ROUND(N59*0.004,0)</f>
        <v>32526</v>
      </c>
      <c r="P59" s="90">
        <f t="shared" si="32"/>
        <v>8098901.959735807</v>
      </c>
      <c r="Q59" s="90">
        <f>Tabla4[[#This Row],[Valor a Consignar a la ANI]]</f>
        <v>8098901.959735807</v>
      </c>
      <c r="R59" s="85">
        <v>2025</v>
      </c>
      <c r="S59" s="85" t="s">
        <v>604</v>
      </c>
      <c r="T59" s="87">
        <v>45938</v>
      </c>
      <c r="U59" s="90">
        <f t="shared" ref="U59:U67" si="35">+P59-Q59</f>
        <v>0</v>
      </c>
      <c r="W59" s="24"/>
      <c r="Y59" s="24"/>
    </row>
    <row r="60" spans="1:25" ht="15" customHeight="1">
      <c r="A60" s="85">
        <v>2025</v>
      </c>
      <c r="B60" s="85" t="str">
        <f t="shared" si="33"/>
        <v>JUL</v>
      </c>
      <c r="C60" s="86">
        <v>45839</v>
      </c>
      <c r="D60" s="967">
        <v>458</v>
      </c>
      <c r="E60" s="85" t="s">
        <v>22</v>
      </c>
      <c r="F60" s="302" t="s">
        <v>131</v>
      </c>
      <c r="G60" s="88" t="s">
        <v>834</v>
      </c>
      <c r="H60" s="88" t="s">
        <v>133</v>
      </c>
      <c r="I60" s="89"/>
      <c r="J60" s="89">
        <v>18732</v>
      </c>
      <c r="K60" s="884">
        <v>978.29</v>
      </c>
      <c r="L60" s="90">
        <v>18325328.280000001</v>
      </c>
      <c r="M60" s="91"/>
      <c r="N60" s="90">
        <v>18325328.280000001</v>
      </c>
      <c r="O60" s="90">
        <f t="shared" si="34"/>
        <v>73301</v>
      </c>
      <c r="P60" s="90">
        <f t="shared" si="32"/>
        <v>18252027.280000001</v>
      </c>
      <c r="Q60" s="90"/>
      <c r="R60" s="85"/>
      <c r="S60" s="85"/>
      <c r="T60" s="87"/>
      <c r="U60" s="90">
        <f t="shared" si="35"/>
        <v>18252027.280000001</v>
      </c>
      <c r="W60" s="24"/>
      <c r="Y60" s="24"/>
    </row>
    <row r="61" spans="1:25" ht="15" customHeight="1">
      <c r="A61" s="990">
        <v>2025</v>
      </c>
      <c r="B61" s="990" t="str">
        <f t="shared" si="33"/>
        <v>JUL</v>
      </c>
      <c r="C61" s="998">
        <v>45869</v>
      </c>
      <c r="D61" s="989" t="s">
        <v>869</v>
      </c>
      <c r="E61" s="990" t="s">
        <v>22</v>
      </c>
      <c r="F61" s="991" t="s">
        <v>135</v>
      </c>
      <c r="G61" s="992" t="s">
        <v>870</v>
      </c>
      <c r="H61" s="992" t="s">
        <v>136</v>
      </c>
      <c r="I61" s="993">
        <v>978468.71</v>
      </c>
      <c r="J61" s="993"/>
      <c r="K61" s="994">
        <v>9.1944800000000004</v>
      </c>
      <c r="L61" s="995">
        <v>8998981.3800000008</v>
      </c>
      <c r="M61" s="996"/>
      <c r="N61" s="995">
        <v>8998981.3800000008</v>
      </c>
      <c r="O61" s="995">
        <f t="shared" si="34"/>
        <v>35996</v>
      </c>
      <c r="P61" s="995">
        <f t="shared" ref="P61:P62" si="36">(N61-O61)</f>
        <v>8962985.3800000008</v>
      </c>
      <c r="Q61" s="995">
        <f>Tabla4[[#This Row],[Valor a Consignar a la ANI]]</f>
        <v>8962985.3800000008</v>
      </c>
      <c r="R61" s="990">
        <v>2025</v>
      </c>
      <c r="S61" s="990" t="s">
        <v>604</v>
      </c>
      <c r="T61" s="997">
        <v>45961</v>
      </c>
      <c r="U61" s="995">
        <f t="shared" si="35"/>
        <v>0</v>
      </c>
      <c r="W61" s="24"/>
      <c r="Y61" s="24"/>
    </row>
    <row r="62" spans="1:25" ht="15" customHeight="1">
      <c r="A62" s="990">
        <v>2025</v>
      </c>
      <c r="B62" s="990" t="str">
        <f t="shared" si="33"/>
        <v>JUL</v>
      </c>
      <c r="C62" s="998">
        <v>45869</v>
      </c>
      <c r="D62" s="989">
        <v>474</v>
      </c>
      <c r="E62" s="990" t="s">
        <v>22</v>
      </c>
      <c r="F62" s="991" t="s">
        <v>131</v>
      </c>
      <c r="G62" s="992" t="s">
        <v>870</v>
      </c>
      <c r="H62" s="992" t="s">
        <v>133</v>
      </c>
      <c r="I62" s="993"/>
      <c r="J62" s="993">
        <v>23558</v>
      </c>
      <c r="K62" s="994">
        <v>978.29</v>
      </c>
      <c r="L62" s="995">
        <v>23046555.82</v>
      </c>
      <c r="M62" s="996"/>
      <c r="N62" s="995">
        <v>23046555.82</v>
      </c>
      <c r="O62" s="995">
        <f t="shared" si="34"/>
        <v>92186</v>
      </c>
      <c r="P62" s="995">
        <f t="shared" si="36"/>
        <v>22954369.82</v>
      </c>
      <c r="Q62" s="995">
        <f>Tabla4[[#This Row],[Valor a Consignar a la ANI]]</f>
        <v>22954369.82</v>
      </c>
      <c r="R62" s="990">
        <v>2025</v>
      </c>
      <c r="S62" s="990" t="s">
        <v>604</v>
      </c>
      <c r="T62" s="997">
        <v>45961</v>
      </c>
      <c r="U62" s="995">
        <f t="shared" si="35"/>
        <v>0</v>
      </c>
      <c r="W62" s="24"/>
      <c r="Y62" s="24"/>
    </row>
    <row r="63" spans="1:25" ht="15" customHeight="1">
      <c r="A63" s="990">
        <v>2025</v>
      </c>
      <c r="B63" s="990" t="str">
        <f t="shared" si="33"/>
        <v>JUL</v>
      </c>
      <c r="C63" s="998">
        <v>45869</v>
      </c>
      <c r="D63" s="989">
        <v>475</v>
      </c>
      <c r="E63" s="990" t="s">
        <v>22</v>
      </c>
      <c r="F63" s="991" t="s">
        <v>146</v>
      </c>
      <c r="G63" s="992" t="s">
        <v>870</v>
      </c>
      <c r="H63" s="992" t="s">
        <v>133</v>
      </c>
      <c r="I63" s="993"/>
      <c r="J63" s="993">
        <v>416</v>
      </c>
      <c r="K63" s="994">
        <v>978.29</v>
      </c>
      <c r="L63" s="995">
        <v>406968.64</v>
      </c>
      <c r="M63" s="996"/>
      <c r="N63" s="995">
        <v>406968.64</v>
      </c>
      <c r="O63" s="995">
        <f t="shared" si="34"/>
        <v>1628</v>
      </c>
      <c r="P63" s="995">
        <f t="shared" ref="P63:P66" si="37">(N63-O63)</f>
        <v>405340.64</v>
      </c>
      <c r="Q63" s="995"/>
      <c r="R63" s="990"/>
      <c r="S63" s="990"/>
      <c r="T63" s="997"/>
      <c r="U63" s="995">
        <f t="shared" si="35"/>
        <v>405340.64</v>
      </c>
      <c r="W63" s="24"/>
      <c r="Y63" s="24"/>
    </row>
    <row r="64" spans="1:25" ht="15" customHeight="1">
      <c r="A64" s="1036">
        <v>2025</v>
      </c>
      <c r="B64" s="1036" t="str">
        <f t="shared" si="33"/>
        <v>AGO</v>
      </c>
      <c r="C64" s="1037">
        <v>45900</v>
      </c>
      <c r="D64" s="1038" t="s">
        <v>919</v>
      </c>
      <c r="E64" s="1036" t="s">
        <v>22</v>
      </c>
      <c r="F64" s="1039" t="s">
        <v>135</v>
      </c>
      <c r="G64" s="1040" t="s">
        <v>918</v>
      </c>
      <c r="H64" s="1040" t="s">
        <v>136</v>
      </c>
      <c r="I64" s="1041">
        <v>980537.40000000014</v>
      </c>
      <c r="J64" s="1041"/>
      <c r="K64" s="1042">
        <v>9.1944800000000004</v>
      </c>
      <c r="L64" s="1043">
        <v>9018007.1743795183</v>
      </c>
      <c r="M64" s="1044"/>
      <c r="N64" s="1043">
        <v>9018007.1743795183</v>
      </c>
      <c r="O64" s="1043">
        <f t="shared" si="34"/>
        <v>36072</v>
      </c>
      <c r="P64" s="1043">
        <f t="shared" si="37"/>
        <v>8981935.1743795183</v>
      </c>
      <c r="Q64" s="1043"/>
      <c r="R64" s="1036"/>
      <c r="S64" s="1036"/>
      <c r="T64" s="1045"/>
      <c r="U64" s="1043">
        <f t="shared" si="35"/>
        <v>8981935.1743795183</v>
      </c>
      <c r="W64" s="24"/>
      <c r="Y64" s="24"/>
    </row>
    <row r="65" spans="1:25" ht="15" customHeight="1">
      <c r="A65" s="1036">
        <v>2025</v>
      </c>
      <c r="B65" s="1036" t="str">
        <f t="shared" ref="B65" si="38">UPPER(TEXT(C65,"MMM"))</f>
        <v>AGO</v>
      </c>
      <c r="C65" s="1037">
        <v>45900</v>
      </c>
      <c r="D65" s="1038" t="s">
        <v>919</v>
      </c>
      <c r="E65" s="1036" t="s">
        <v>22</v>
      </c>
      <c r="F65" s="1039" t="s">
        <v>135</v>
      </c>
      <c r="G65" s="1040" t="s">
        <v>918</v>
      </c>
      <c r="H65" s="1040" t="s">
        <v>136</v>
      </c>
      <c r="I65" s="1041">
        <v>980537.40000000014</v>
      </c>
      <c r="J65" s="1041"/>
      <c r="K65" s="1042">
        <v>9.1944800000000004</v>
      </c>
      <c r="L65" s="1043"/>
      <c r="M65" s="1044"/>
      <c r="N65" s="1043"/>
      <c r="O65" s="1043">
        <f>ROUND(N65*0.004,0)</f>
        <v>0</v>
      </c>
      <c r="P65" s="1043">
        <f>(N65-O65)</f>
        <v>0</v>
      </c>
      <c r="Q65" s="1043">
        <v>1981352.8378385899</v>
      </c>
      <c r="R65" s="1036">
        <v>2025</v>
      </c>
      <c r="S65" s="1036" t="s">
        <v>604</v>
      </c>
      <c r="T65" s="1045">
        <v>45961</v>
      </c>
      <c r="U65" s="1043">
        <f>+P65-Q65</f>
        <v>-1981352.8378385899</v>
      </c>
      <c r="W65" s="24"/>
      <c r="Y65" s="24"/>
    </row>
    <row r="66" spans="1:25" ht="15" customHeight="1">
      <c r="A66" s="1036">
        <v>2025</v>
      </c>
      <c r="B66" s="1036" t="str">
        <f t="shared" si="33"/>
        <v>AGO</v>
      </c>
      <c r="C66" s="1037">
        <v>45900</v>
      </c>
      <c r="D66" s="1038">
        <v>508</v>
      </c>
      <c r="E66" s="1036" t="s">
        <v>22</v>
      </c>
      <c r="F66" s="1039" t="s">
        <v>131</v>
      </c>
      <c r="G66" s="1040" t="s">
        <v>918</v>
      </c>
      <c r="H66" s="1040" t="s">
        <v>133</v>
      </c>
      <c r="I66" s="1041"/>
      <c r="J66" s="1041">
        <v>40892</v>
      </c>
      <c r="K66" s="1042">
        <v>978.29</v>
      </c>
      <c r="L66" s="1043">
        <v>40004234.680000015</v>
      </c>
      <c r="M66" s="1044"/>
      <c r="N66" s="1043">
        <v>40004234.68</v>
      </c>
      <c r="O66" s="1043">
        <f t="shared" si="34"/>
        <v>160017</v>
      </c>
      <c r="P66" s="1043">
        <f t="shared" si="37"/>
        <v>39844217.68</v>
      </c>
      <c r="Q66" s="1043">
        <f>Tabla4[[#This Row],[Valor a Consignar a la ANI]]</f>
        <v>39844217.68</v>
      </c>
      <c r="R66" s="1036">
        <v>2025</v>
      </c>
      <c r="S66" s="1036" t="s">
        <v>604</v>
      </c>
      <c r="T66" s="1045">
        <v>45961</v>
      </c>
      <c r="U66" s="1043">
        <f t="shared" si="35"/>
        <v>0</v>
      </c>
      <c r="W66" s="24"/>
      <c r="Y66" s="24"/>
    </row>
    <row r="67" spans="1:25" ht="15" customHeight="1">
      <c r="A67" s="1036">
        <v>2025</v>
      </c>
      <c r="B67" s="1036" t="str">
        <f t="shared" si="33"/>
        <v>AGO</v>
      </c>
      <c r="C67" s="1037">
        <v>45900</v>
      </c>
      <c r="D67" s="1038">
        <v>509</v>
      </c>
      <c r="E67" s="1036" t="s">
        <v>22</v>
      </c>
      <c r="F67" s="1039" t="s">
        <v>146</v>
      </c>
      <c r="G67" s="1040" t="s">
        <v>918</v>
      </c>
      <c r="H67" s="1040" t="s">
        <v>133</v>
      </c>
      <c r="I67" s="1041"/>
      <c r="J67" s="1041">
        <v>96</v>
      </c>
      <c r="K67" s="1042">
        <v>978.29</v>
      </c>
      <c r="L67" s="1043">
        <v>93915.839999999997</v>
      </c>
      <c r="M67" s="1044"/>
      <c r="N67" s="1043">
        <v>93915.839999999997</v>
      </c>
      <c r="O67" s="1043">
        <f t="shared" si="34"/>
        <v>376</v>
      </c>
      <c r="P67" s="1043">
        <f t="shared" ref="P67:P68" si="39">(N67-O67)</f>
        <v>93539.839999999997</v>
      </c>
      <c r="Q67" s="1043"/>
      <c r="R67" s="1036"/>
      <c r="S67" s="1036"/>
      <c r="T67" s="1045"/>
      <c r="U67" s="1043">
        <f t="shared" si="35"/>
        <v>93539.839999999997</v>
      </c>
      <c r="W67" s="24"/>
      <c r="Y67" s="24"/>
    </row>
    <row r="68" spans="1:25" s="1058" customFormat="1" ht="15" customHeight="1">
      <c r="A68" s="1060">
        <v>2025</v>
      </c>
      <c r="B68" s="1060" t="str">
        <f t="shared" ref="B68:B70" si="40">UPPER(TEXT(C68,"MMM"))</f>
        <v>SEP</v>
      </c>
      <c r="C68" s="1061">
        <v>45930</v>
      </c>
      <c r="D68" s="1062" t="s">
        <v>945</v>
      </c>
      <c r="E68" s="1060" t="s">
        <v>22</v>
      </c>
      <c r="F68" s="1063" t="s">
        <v>135</v>
      </c>
      <c r="G68" s="1064" t="s">
        <v>944</v>
      </c>
      <c r="H68" s="1064" t="s">
        <v>136</v>
      </c>
      <c r="I68" s="1065">
        <v>717230.05</v>
      </c>
      <c r="J68" s="1065"/>
      <c r="K68" s="1066">
        <v>9.1944800000000004</v>
      </c>
      <c r="L68" s="1067">
        <v>6596368.2125542397</v>
      </c>
      <c r="M68" s="1068"/>
      <c r="N68" s="1067">
        <v>6596368.2125542397</v>
      </c>
      <c r="O68" s="1067">
        <f>ROUND(N68*0.004,0)</f>
        <v>26385</v>
      </c>
      <c r="P68" s="1067">
        <f t="shared" si="39"/>
        <v>6569983.2125542397</v>
      </c>
      <c r="Q68" s="1067"/>
      <c r="R68" s="1060"/>
      <c r="S68" s="1060"/>
      <c r="T68" s="1069"/>
      <c r="U68" s="1067">
        <f t="shared" ref="U68:U70" si="41">+P68-Q68</f>
        <v>6569983.2125542397</v>
      </c>
      <c r="W68" s="1059"/>
      <c r="Y68" s="1059"/>
    </row>
    <row r="69" spans="1:25" s="1058" customFormat="1" ht="15" customHeight="1">
      <c r="A69" s="1060">
        <v>2025</v>
      </c>
      <c r="B69" s="1060" t="str">
        <f t="shared" si="40"/>
        <v>SEP</v>
      </c>
      <c r="C69" s="1061">
        <v>45930</v>
      </c>
      <c r="D69" s="1062">
        <v>526</v>
      </c>
      <c r="E69" s="1060" t="s">
        <v>22</v>
      </c>
      <c r="F69" s="1063" t="s">
        <v>131</v>
      </c>
      <c r="G69" s="1064" t="s">
        <v>944</v>
      </c>
      <c r="H69" s="1064" t="s">
        <v>133</v>
      </c>
      <c r="I69" s="1065"/>
      <c r="J69" s="1065">
        <v>35406</v>
      </c>
      <c r="K69" s="1066">
        <v>978.29</v>
      </c>
      <c r="L69" s="1067">
        <v>34637335.740000002</v>
      </c>
      <c r="M69" s="1068"/>
      <c r="N69" s="1067">
        <v>34637335.740000002</v>
      </c>
      <c r="O69" s="1067">
        <f t="shared" ref="O69:O70" si="42">ROUND(N69*0.004,0)</f>
        <v>138549</v>
      </c>
      <c r="P69" s="1067">
        <f>(N69-O69)</f>
        <v>34498786.740000002</v>
      </c>
      <c r="Q69" s="1067"/>
      <c r="R69" s="1060"/>
      <c r="S69" s="1060"/>
      <c r="T69" s="1069"/>
      <c r="U69" s="1067">
        <f t="shared" si="41"/>
        <v>34498786.740000002</v>
      </c>
      <c r="W69" s="1059"/>
      <c r="Y69" s="1059"/>
    </row>
    <row r="70" spans="1:25" s="1058" customFormat="1" ht="15" customHeight="1">
      <c r="A70" s="1060">
        <v>2025</v>
      </c>
      <c r="B70" s="1060" t="str">
        <f t="shared" si="40"/>
        <v>SEP</v>
      </c>
      <c r="C70" s="1061">
        <v>45930</v>
      </c>
      <c r="D70" s="1062">
        <v>525</v>
      </c>
      <c r="E70" s="1060" t="s">
        <v>22</v>
      </c>
      <c r="F70" s="1063" t="s">
        <v>146</v>
      </c>
      <c r="G70" s="1064" t="s">
        <v>944</v>
      </c>
      <c r="H70" s="1064" t="s">
        <v>133</v>
      </c>
      <c r="I70" s="1065"/>
      <c r="J70" s="1065">
        <v>392</v>
      </c>
      <c r="K70" s="1066">
        <v>978.29</v>
      </c>
      <c r="L70" s="1067">
        <v>383489.68000000005</v>
      </c>
      <c r="M70" s="1068"/>
      <c r="N70" s="1067">
        <v>383489.68000000005</v>
      </c>
      <c r="O70" s="1067">
        <f t="shared" si="42"/>
        <v>1534</v>
      </c>
      <c r="P70" s="1067">
        <f>(N70-O70)</f>
        <v>381955.68000000005</v>
      </c>
      <c r="Q70" s="1067"/>
      <c r="R70" s="1060"/>
      <c r="S70" s="1060"/>
      <c r="T70" s="1069"/>
      <c r="U70" s="1067">
        <f t="shared" si="41"/>
        <v>381955.68000000005</v>
      </c>
      <c r="W70" s="1059"/>
      <c r="Y70" s="1059"/>
    </row>
    <row r="71" spans="1:25" ht="16.2" customHeight="1">
      <c r="A71" s="812"/>
      <c r="B71" s="812"/>
      <c r="C71" s="813"/>
      <c r="D71" s="812"/>
      <c r="E71" s="812"/>
      <c r="F71" s="814"/>
      <c r="G71" s="815"/>
      <c r="H71" s="812"/>
      <c r="I71" s="816"/>
      <c r="J71" s="816"/>
      <c r="K71" s="812"/>
      <c r="L71" s="817"/>
      <c r="M71" s="818"/>
      <c r="N71" s="817"/>
      <c r="O71" s="817"/>
      <c r="P71" s="817">
        <f>SUBTOTAL(109,Tabla4[Valor a Consignar a la ANI])</f>
        <v>348850634.28127289</v>
      </c>
      <c r="Q71" s="817">
        <f>SUBTOTAL(109,Tabla4[Valor Pagado])</f>
        <v>281648418.55217779</v>
      </c>
      <c r="R71" s="817"/>
      <c r="S71" s="878"/>
      <c r="T71" s="817"/>
      <c r="U71" s="824">
        <f>SUBTOTAL(109,Tabla4[Valor Por Cobrar])</f>
        <v>67202215.729095176</v>
      </c>
      <c r="W71" s="553"/>
    </row>
    <row r="72" spans="1:25" ht="36" customHeight="1" thickBot="1">
      <c r="A72" s="1078" t="s">
        <v>152</v>
      </c>
      <c r="B72" s="1078"/>
      <c r="C72" s="1078"/>
      <c r="D72" s="1078"/>
      <c r="E72" s="1078"/>
      <c r="F72" s="1078"/>
      <c r="G72" s="1078"/>
      <c r="H72" s="1078"/>
      <c r="I72" s="1078"/>
      <c r="J72" s="1078"/>
      <c r="K72" s="1078"/>
      <c r="L72" s="1078"/>
      <c r="M72" s="1078"/>
      <c r="N72" s="1078"/>
      <c r="O72" s="1078"/>
      <c r="P72" s="1078"/>
      <c r="Q72" s="1078"/>
      <c r="R72" s="1078"/>
      <c r="S72" s="1078"/>
      <c r="T72" s="1078"/>
      <c r="U72" s="1078"/>
    </row>
    <row r="73" spans="1:25" ht="15" customHeight="1">
      <c r="E73" s="735" t="s">
        <v>153</v>
      </c>
      <c r="F73" s="736" t="s">
        <v>154</v>
      </c>
      <c r="G73" s="736" t="s">
        <v>155</v>
      </c>
      <c r="H73" s="736" t="s">
        <v>399</v>
      </c>
      <c r="I73" s="736" t="s">
        <v>325</v>
      </c>
      <c r="J73" s="737" t="s">
        <v>156</v>
      </c>
      <c r="L73" s="24"/>
      <c r="P73" s="24"/>
      <c r="Q73" s="24"/>
      <c r="R73" s="24"/>
      <c r="S73" s="24"/>
      <c r="T73" s="24"/>
    </row>
    <row r="74" spans="1:25" ht="76.8" customHeight="1">
      <c r="E74" s="738" t="str">
        <f>F16</f>
        <v>TURISTREN</v>
      </c>
      <c r="F74" s="629">
        <f>P69</f>
        <v>34498786.740000002</v>
      </c>
      <c r="G74" s="629"/>
      <c r="H74" s="629"/>
      <c r="I74" s="94">
        <f>U62+U54+U56+U58+U60+U66+U69</f>
        <v>52750814.020000003</v>
      </c>
      <c r="J74" s="739" t="s">
        <v>979</v>
      </c>
      <c r="M74" s="553"/>
      <c r="Q74" s="24"/>
      <c r="R74" s="24"/>
    </row>
    <row r="75" spans="1:25" ht="96.6" customHeight="1">
      <c r="E75" s="738" t="s">
        <v>157</v>
      </c>
      <c r="F75" s="629">
        <f>P68</f>
        <v>6569983.2125542397</v>
      </c>
      <c r="G75" s="629">
        <f>Q53</f>
        <v>9130835.3200000003</v>
      </c>
      <c r="H75" s="629">
        <f>Q53</f>
        <v>9130835.3200000003</v>
      </c>
      <c r="I75" s="94">
        <f>+U61+U55+U57+U59+U64+U68</f>
        <v>15551918.386933759</v>
      </c>
      <c r="J75" s="740" t="s">
        <v>980</v>
      </c>
      <c r="Q75" s="24"/>
      <c r="R75" s="24"/>
    </row>
    <row r="76" spans="1:25" ht="90" customHeight="1">
      <c r="E76" s="738" t="s">
        <v>909</v>
      </c>
      <c r="F76" s="629">
        <f>P70</f>
        <v>381955.68000000005</v>
      </c>
      <c r="G76" s="629"/>
      <c r="H76" s="629"/>
      <c r="I76" s="94">
        <f>U63+U67+U70</f>
        <v>880836.16</v>
      </c>
      <c r="J76" s="740" t="s">
        <v>981</v>
      </c>
      <c r="Q76" s="24"/>
      <c r="R76" s="24"/>
    </row>
    <row r="77" spans="1:25" ht="15" customHeight="1" thickBot="1">
      <c r="E77" s="741" t="s">
        <v>119</v>
      </c>
      <c r="F77" s="742">
        <f>SUBTOTAL(9,F74:F76)</f>
        <v>41450725.632554241</v>
      </c>
      <c r="G77" s="742">
        <f>SUBTOTAL(9,G74:G76)</f>
        <v>9130835.3200000003</v>
      </c>
      <c r="H77" s="742">
        <f>SUM(H74:H76)</f>
        <v>9130835.3200000003</v>
      </c>
      <c r="I77" s="743">
        <f>SUM(I74:I76)</f>
        <v>69183568.566933751</v>
      </c>
      <c r="J77" s="744"/>
      <c r="Q77" s="24"/>
    </row>
    <row r="78" spans="1:25" ht="15" customHeight="1">
      <c r="I78" s="24"/>
      <c r="J78" s="1079"/>
      <c r="K78" s="1079"/>
      <c r="L78" s="1079"/>
    </row>
    <row r="79" spans="1:25" ht="15" customHeight="1">
      <c r="H79" s="24"/>
      <c r="J79" s="1"/>
      <c r="K79" s="653"/>
    </row>
    <row r="80" spans="1:25" ht="15" customHeight="1">
      <c r="G80" s="24"/>
      <c r="K80" s="24"/>
    </row>
    <row r="81" spans="11:13" ht="15" customHeight="1">
      <c r="K81" s="653"/>
      <c r="L81" s="1"/>
    </row>
    <row r="82" spans="11:13" ht="15" customHeight="1">
      <c r="K82" s="653"/>
      <c r="L82" s="654"/>
    </row>
    <row r="83" spans="11:13" ht="15" customHeight="1">
      <c r="K83" s="24"/>
      <c r="L83" s="654"/>
    </row>
    <row r="84" spans="11:13" ht="15" customHeight="1">
      <c r="L84" s="655"/>
      <c r="M84" s="24"/>
    </row>
    <row r="85" spans="11:13" ht="15" customHeight="1">
      <c r="L85" s="552"/>
    </row>
    <row r="86" spans="11:13" ht="15" customHeight="1">
      <c r="L86" s="552"/>
    </row>
    <row r="87" spans="11:13" ht="15" customHeight="1">
      <c r="L87" s="552"/>
    </row>
    <row r="88" spans="11:13" ht="15" customHeight="1">
      <c r="L88" s="552"/>
    </row>
  </sheetData>
  <mergeCells count="2">
    <mergeCell ref="A72:U72"/>
    <mergeCell ref="J78:L78"/>
  </mergeCells>
  <phoneticPr fontId="16" type="noConversion"/>
  <pageMargins left="0.7" right="0.7" top="0.75" bottom="0.75" header="0.3" footer="0.3"/>
  <pageSetup orientation="portrait"/>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5B90F-CFCC-43BE-B590-0D2D860D5CE2}">
  <sheetPr>
    <tabColor theme="5" tint="0.39979247413556324"/>
  </sheetPr>
  <dimension ref="A2:G27"/>
  <sheetViews>
    <sheetView workbookViewId="0"/>
  </sheetViews>
  <sheetFormatPr baseColWidth="10" defaultRowHeight="14.4"/>
  <cols>
    <col min="1" max="1" width="25.88671875" bestFit="1" customWidth="1"/>
    <col min="2" max="2" width="30.6640625" style="381" bestFit="1" customWidth="1"/>
    <col min="3" max="3" width="20.109375" style="381" bestFit="1" customWidth="1"/>
    <col min="6" max="6" width="16.5546875" bestFit="1" customWidth="1"/>
    <col min="7" max="7" width="20.109375" style="381" bestFit="1" customWidth="1"/>
  </cols>
  <sheetData>
    <row r="2" spans="1:7">
      <c r="F2" s="1077" t="s">
        <v>710</v>
      </c>
      <c r="G2" s="1077"/>
    </row>
    <row r="3" spans="1:7">
      <c r="A3" s="377" t="s">
        <v>296</v>
      </c>
      <c r="B3" s="381" t="s">
        <v>314</v>
      </c>
      <c r="C3" s="381" t="s">
        <v>315</v>
      </c>
      <c r="F3" s="796" t="s">
        <v>296</v>
      </c>
      <c r="G3" s="797" t="s">
        <v>315</v>
      </c>
    </row>
    <row r="4" spans="1:7">
      <c r="A4" s="378">
        <v>2023</v>
      </c>
      <c r="B4" s="381">
        <v>106801642.82352939</v>
      </c>
      <c r="C4" s="381">
        <v>106801642.82352939</v>
      </c>
      <c r="F4" s="798">
        <v>2023</v>
      </c>
      <c r="G4" s="797">
        <v>106801642.82352939</v>
      </c>
    </row>
    <row r="5" spans="1:7">
      <c r="A5" s="380" t="s">
        <v>400</v>
      </c>
      <c r="B5" s="381">
        <v>106801642.82352939</v>
      </c>
      <c r="C5" s="381">
        <v>106801642.82352939</v>
      </c>
      <c r="F5" s="799" t="s">
        <v>448</v>
      </c>
      <c r="G5" s="797">
        <v>14759305</v>
      </c>
    </row>
    <row r="6" spans="1:7">
      <c r="A6" s="378">
        <v>2024</v>
      </c>
      <c r="B6" s="381">
        <v>186352791.38396084</v>
      </c>
      <c r="C6" s="381">
        <v>151708247.47841457</v>
      </c>
      <c r="F6" s="799" t="s">
        <v>486</v>
      </c>
      <c r="G6" s="797">
        <v>18449131</v>
      </c>
    </row>
    <row r="7" spans="1:7">
      <c r="A7" s="380" t="s">
        <v>400</v>
      </c>
      <c r="B7" s="381">
        <v>186352791.38396084</v>
      </c>
      <c r="C7" s="381">
        <v>151708247.47841457</v>
      </c>
      <c r="F7" s="799" t="s">
        <v>548</v>
      </c>
      <c r="G7" s="797">
        <v>14759305</v>
      </c>
    </row>
    <row r="8" spans="1:7">
      <c r="A8" s="378">
        <v>2025</v>
      </c>
      <c r="B8" s="381">
        <v>19178664.062184878</v>
      </c>
      <c r="F8" s="799" t="s">
        <v>578</v>
      </c>
      <c r="G8" s="797">
        <v>16604217</v>
      </c>
    </row>
    <row r="9" spans="1:7">
      <c r="A9" s="380" t="s">
        <v>400</v>
      </c>
      <c r="B9" s="381">
        <v>19178664.062184878</v>
      </c>
      <c r="F9" s="799" t="s">
        <v>604</v>
      </c>
      <c r="G9" s="797">
        <v>14759304.8235294</v>
      </c>
    </row>
    <row r="10" spans="1:7">
      <c r="A10" s="378" t="s">
        <v>297</v>
      </c>
      <c r="B10" s="381">
        <v>312333098.26967508</v>
      </c>
      <c r="C10" s="381">
        <v>258509890.30194396</v>
      </c>
      <c r="F10" s="799" t="s">
        <v>633</v>
      </c>
      <c r="G10" s="797">
        <v>15150166</v>
      </c>
    </row>
    <row r="11" spans="1:7">
      <c r="F11" s="799" t="s">
        <v>658</v>
      </c>
      <c r="G11" s="797">
        <v>12320214</v>
      </c>
    </row>
    <row r="12" spans="1:7">
      <c r="F12" s="798">
        <v>2024</v>
      </c>
      <c r="G12" s="797">
        <v>151708247.47841457</v>
      </c>
    </row>
    <row r="13" spans="1:7">
      <c r="F13" s="799" t="s">
        <v>306</v>
      </c>
      <c r="G13" s="797">
        <v>16813221</v>
      </c>
    </row>
    <row r="14" spans="1:7">
      <c r="F14" s="799" t="s">
        <v>307</v>
      </c>
      <c r="G14" s="797">
        <v>14389891</v>
      </c>
    </row>
    <row r="15" spans="1:7">
      <c r="F15" s="799" t="s">
        <v>313</v>
      </c>
      <c r="G15" s="797">
        <v>11655292.279999999</v>
      </c>
    </row>
    <row r="16" spans="1:7">
      <c r="F16" s="799" t="s">
        <v>372</v>
      </c>
      <c r="G16" s="797">
        <v>14805698.49</v>
      </c>
    </row>
    <row r="17" spans="6:7">
      <c r="F17" s="799" t="s">
        <v>415</v>
      </c>
      <c r="G17" s="797">
        <v>13178594.279999999</v>
      </c>
    </row>
    <row r="18" spans="6:7">
      <c r="F18" s="799" t="s">
        <v>448</v>
      </c>
      <c r="G18" s="797">
        <v>13812200.732616248</v>
      </c>
    </row>
    <row r="19" spans="6:7">
      <c r="F19" s="799" t="s">
        <v>486</v>
      </c>
      <c r="G19" s="797">
        <v>14322432.0346891</v>
      </c>
    </row>
    <row r="20" spans="6:7">
      <c r="F20" s="799" t="s">
        <v>548</v>
      </c>
      <c r="G20" s="797">
        <v>18432269.891831901</v>
      </c>
    </row>
    <row r="21" spans="6:7">
      <c r="F21" s="799" t="s">
        <v>578</v>
      </c>
      <c r="G21" s="797">
        <v>17979918.487327736</v>
      </c>
    </row>
    <row r="22" spans="6:7">
      <c r="F22" s="799" t="s">
        <v>604</v>
      </c>
      <c r="G22" s="797">
        <v>16318729.281949582</v>
      </c>
    </row>
    <row r="23" spans="6:7">
      <c r="F23" s="799" t="s">
        <v>633</v>
      </c>
      <c r="G23" s="797"/>
    </row>
    <row r="24" spans="6:7">
      <c r="F24" s="799" t="s">
        <v>658</v>
      </c>
      <c r="G24" s="797"/>
    </row>
    <row r="25" spans="6:7">
      <c r="F25" s="798">
        <v>2025</v>
      </c>
      <c r="G25" s="797"/>
    </row>
    <row r="26" spans="6:7">
      <c r="F26" s="799" t="s">
        <v>306</v>
      </c>
      <c r="G26" s="797"/>
    </row>
    <row r="27" spans="6:7">
      <c r="F27" s="798" t="s">
        <v>297</v>
      </c>
      <c r="G27" s="797">
        <v>258509890.30194396</v>
      </c>
    </row>
  </sheetData>
  <mergeCells count="1">
    <mergeCell ref="F2:G2"/>
  </mergeCell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7398F-B8CE-434D-A47C-8CE908A3CCD6}">
  <sheetPr>
    <tabColor theme="5" tint="0.39979247413556324"/>
  </sheetPr>
  <dimension ref="A3:D31"/>
  <sheetViews>
    <sheetView workbookViewId="0"/>
  </sheetViews>
  <sheetFormatPr baseColWidth="10" defaultRowHeight="14.4"/>
  <cols>
    <col min="1" max="1" width="16.5546875" bestFit="1" customWidth="1"/>
    <col min="2" max="3" width="20.109375" style="381" bestFit="1" customWidth="1"/>
    <col min="4" max="4" width="13.21875" style="381" bestFit="1" customWidth="1"/>
  </cols>
  <sheetData>
    <row r="3" spans="1:3">
      <c r="A3" s="377" t="s">
        <v>296</v>
      </c>
      <c r="B3" s="381" t="s">
        <v>315</v>
      </c>
      <c r="C3"/>
    </row>
    <row r="4" spans="1:3">
      <c r="A4" s="378" t="s">
        <v>306</v>
      </c>
      <c r="B4" s="381">
        <v>80433236.75999999</v>
      </c>
      <c r="C4"/>
    </row>
    <row r="5" spans="1:3">
      <c r="A5" s="380">
        <v>2024</v>
      </c>
      <c r="B5" s="381">
        <v>80433236.75999999</v>
      </c>
      <c r="C5"/>
    </row>
    <row r="6" spans="1:3">
      <c r="A6" s="378" t="s">
        <v>307</v>
      </c>
      <c r="B6" s="381">
        <v>29134095.02</v>
      </c>
      <c r="C6"/>
    </row>
    <row r="7" spans="1:3">
      <c r="A7" s="380">
        <v>2024</v>
      </c>
      <c r="B7" s="381">
        <v>29134095.02</v>
      </c>
      <c r="C7"/>
    </row>
    <row r="8" spans="1:3">
      <c r="A8" s="378" t="s">
        <v>372</v>
      </c>
      <c r="B8" s="381">
        <v>53250674.689999998</v>
      </c>
      <c r="C8"/>
    </row>
    <row r="9" spans="1:3">
      <c r="A9" s="380">
        <v>2024</v>
      </c>
      <c r="B9" s="381">
        <v>53250674.689999998</v>
      </c>
      <c r="C9"/>
    </row>
    <row r="10" spans="1:3">
      <c r="A10" s="378" t="s">
        <v>415</v>
      </c>
      <c r="B10" s="381">
        <v>86979757.769999996</v>
      </c>
      <c r="C10"/>
    </row>
    <row r="11" spans="1:3">
      <c r="A11" s="380">
        <v>2024</v>
      </c>
      <c r="B11" s="381">
        <v>86979757.769999996</v>
      </c>
      <c r="C11"/>
    </row>
    <row r="12" spans="1:3">
      <c r="A12" s="378" t="s">
        <v>448</v>
      </c>
      <c r="B12" s="381">
        <v>87681256.480000004</v>
      </c>
      <c r="C12"/>
    </row>
    <row r="13" spans="1:3">
      <c r="A13" s="380">
        <v>2023</v>
      </c>
      <c r="B13" s="381">
        <v>46542698</v>
      </c>
      <c r="C13"/>
    </row>
    <row r="14" spans="1:3">
      <c r="A14" s="380">
        <v>2024</v>
      </c>
      <c r="B14" s="381">
        <v>41138558.480000004</v>
      </c>
      <c r="C14"/>
    </row>
    <row r="15" spans="1:3">
      <c r="A15" s="378" t="s">
        <v>486</v>
      </c>
      <c r="B15" s="381">
        <v>96929028.969999999</v>
      </c>
      <c r="C15"/>
    </row>
    <row r="16" spans="1:3">
      <c r="A16" s="380">
        <v>2023</v>
      </c>
      <c r="B16" s="381">
        <v>67445380</v>
      </c>
      <c r="C16"/>
    </row>
    <row r="17" spans="1:3">
      <c r="A17" s="380">
        <v>2024</v>
      </c>
      <c r="B17" s="381">
        <v>29483648.969999999</v>
      </c>
      <c r="C17"/>
    </row>
    <row r="18" spans="1:3">
      <c r="A18" s="378" t="s">
        <v>548</v>
      </c>
      <c r="B18" s="381">
        <v>42648473.981772803</v>
      </c>
      <c r="C18"/>
    </row>
    <row r="19" spans="1:3">
      <c r="A19" s="380">
        <v>2023</v>
      </c>
      <c r="B19" s="381">
        <v>30967745</v>
      </c>
      <c r="C19"/>
    </row>
    <row r="20" spans="1:3">
      <c r="A20" s="380">
        <v>2024</v>
      </c>
      <c r="B20" s="381">
        <v>11680728.981772801</v>
      </c>
      <c r="C20"/>
    </row>
    <row r="21" spans="1:3">
      <c r="A21" s="378" t="s">
        <v>578</v>
      </c>
      <c r="B21" s="381">
        <v>33630549.719999999</v>
      </c>
      <c r="C21"/>
    </row>
    <row r="22" spans="1:3">
      <c r="A22" s="380">
        <v>2024</v>
      </c>
      <c r="B22" s="381">
        <v>33630549.719999999</v>
      </c>
      <c r="C22"/>
    </row>
    <row r="23" spans="1:3">
      <c r="A23" s="378" t="s">
        <v>604</v>
      </c>
      <c r="B23" s="381">
        <v>79005069.357832968</v>
      </c>
      <c r="C23"/>
    </row>
    <row r="24" spans="1:3">
      <c r="A24" s="380">
        <v>2023</v>
      </c>
      <c r="B24" s="381">
        <v>34846424</v>
      </c>
      <c r="C24"/>
    </row>
    <row r="25" spans="1:3">
      <c r="A25" s="380">
        <v>2024</v>
      </c>
      <c r="B25" s="381">
        <v>44158645.357832976</v>
      </c>
      <c r="C25"/>
    </row>
    <row r="26" spans="1:3">
      <c r="A26" s="378" t="s">
        <v>633</v>
      </c>
      <c r="B26" s="381">
        <v>130963011.21000001</v>
      </c>
      <c r="C26"/>
    </row>
    <row r="27" spans="1:3">
      <c r="A27" s="380">
        <v>2023</v>
      </c>
      <c r="B27" s="381">
        <v>79024150.280000001</v>
      </c>
      <c r="C27"/>
    </row>
    <row r="28" spans="1:3">
      <c r="A28" s="380">
        <v>2024</v>
      </c>
      <c r="B28" s="381">
        <v>51938860.930000007</v>
      </c>
      <c r="C28"/>
    </row>
    <row r="29" spans="1:3">
      <c r="A29" s="378" t="s">
        <v>297</v>
      </c>
      <c r="B29" s="381">
        <v>720655153.95960569</v>
      </c>
      <c r="C29"/>
    </row>
    <row r="30" spans="1:3">
      <c r="C30"/>
    </row>
    <row r="31" spans="1:3">
      <c r="C3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39979247413556324"/>
  </sheetPr>
  <dimension ref="A1:V61"/>
  <sheetViews>
    <sheetView tabSelected="1" topLeftCell="K17" workbookViewId="0">
      <selection activeCell="S30" sqref="S30"/>
    </sheetView>
  </sheetViews>
  <sheetFormatPr baseColWidth="10" defaultColWidth="10.88671875" defaultRowHeight="15" customHeight="1"/>
  <cols>
    <col min="1" max="2" width="8.109375" style="1" customWidth="1"/>
    <col min="3" max="3" width="9" style="1" customWidth="1"/>
    <col min="4" max="4" width="10.44140625" style="1" customWidth="1"/>
    <col min="5" max="5" width="18.33203125" style="1" customWidth="1"/>
    <col min="6" max="6" width="16.6640625" style="1" customWidth="1"/>
    <col min="7" max="7" width="19.6640625" style="1" customWidth="1"/>
    <col min="8" max="8" width="27.109375" style="1" customWidth="1"/>
    <col min="9" max="9" width="15.109375" style="1" customWidth="1"/>
    <col min="10" max="10" width="17.6640625" style="1" customWidth="1"/>
    <col min="11" max="11" width="13.6640625" style="1" customWidth="1"/>
    <col min="12" max="13" width="14.88671875" style="1" customWidth="1"/>
    <col min="14" max="14" width="20.77734375" style="1" customWidth="1"/>
    <col min="15" max="15" width="19.6640625" style="1" customWidth="1"/>
    <col min="16" max="16" width="23.33203125" style="1" customWidth="1"/>
    <col min="17" max="17" width="17.109375" style="1" customWidth="1"/>
    <col min="18" max="18" width="30" style="1" customWidth="1"/>
    <col min="19" max="19" width="25" style="1" customWidth="1"/>
    <col min="20" max="20" width="15.88671875" style="1" customWidth="1"/>
    <col min="21" max="21" width="13" style="1" customWidth="1"/>
    <col min="22" max="22" width="14.6640625" style="1" customWidth="1"/>
    <col min="23" max="255" width="10.88671875" style="1"/>
    <col min="256" max="256" width="5.6640625" style="1" customWidth="1"/>
    <col min="257" max="258" width="8.109375" style="1" customWidth="1"/>
    <col min="259" max="259" width="9" style="1" customWidth="1"/>
    <col min="260" max="260" width="8.6640625" style="1" customWidth="1"/>
    <col min="261" max="261" width="18.33203125" style="1" customWidth="1"/>
    <col min="262" max="262" width="16.6640625" style="1" customWidth="1"/>
    <col min="263" max="263" width="19.6640625" style="1" customWidth="1"/>
    <col min="264" max="264" width="27.109375" style="1" customWidth="1"/>
    <col min="265" max="265" width="15.109375" style="1" customWidth="1"/>
    <col min="266" max="266" width="17.6640625" style="1" customWidth="1"/>
    <col min="267" max="267" width="13.6640625" style="1" customWidth="1"/>
    <col min="268" max="269" width="14.88671875" style="1" customWidth="1"/>
    <col min="270" max="270" width="16.33203125" style="1" customWidth="1"/>
    <col min="271" max="271" width="15.33203125" style="1" customWidth="1"/>
    <col min="272" max="272" width="14.6640625" style="1" customWidth="1"/>
    <col min="273" max="274" width="8.109375" style="1" customWidth="1"/>
    <col min="275" max="275" width="10.6640625" style="1" customWidth="1"/>
    <col min="276" max="276" width="15.88671875" style="1" customWidth="1"/>
    <col min="277" max="277" width="13" style="1" customWidth="1"/>
    <col min="278" max="278" width="14.6640625" style="1" customWidth="1"/>
    <col min="279" max="511" width="10.88671875" style="1"/>
    <col min="512" max="512" width="5.6640625" style="1" customWidth="1"/>
    <col min="513" max="514" width="8.109375" style="1" customWidth="1"/>
    <col min="515" max="515" width="9" style="1" customWidth="1"/>
    <col min="516" max="516" width="8.6640625" style="1" customWidth="1"/>
    <col min="517" max="517" width="18.33203125" style="1" customWidth="1"/>
    <col min="518" max="518" width="16.6640625" style="1" customWidth="1"/>
    <col min="519" max="519" width="19.6640625" style="1" customWidth="1"/>
    <col min="520" max="520" width="27.109375" style="1" customWidth="1"/>
    <col min="521" max="521" width="15.109375" style="1" customWidth="1"/>
    <col min="522" max="522" width="17.6640625" style="1" customWidth="1"/>
    <col min="523" max="523" width="13.6640625" style="1" customWidth="1"/>
    <col min="524" max="525" width="14.88671875" style="1" customWidth="1"/>
    <col min="526" max="526" width="16.33203125" style="1" customWidth="1"/>
    <col min="527" max="527" width="15.33203125" style="1" customWidth="1"/>
    <col min="528" max="528" width="14.6640625" style="1" customWidth="1"/>
    <col min="529" max="530" width="8.109375" style="1" customWidth="1"/>
    <col min="531" max="531" width="10.6640625" style="1" customWidth="1"/>
    <col min="532" max="532" width="15.88671875" style="1" customWidth="1"/>
    <col min="533" max="533" width="13" style="1" customWidth="1"/>
    <col min="534" max="534" width="14.6640625" style="1" customWidth="1"/>
    <col min="535" max="767" width="10.88671875" style="1"/>
    <col min="768" max="768" width="5.6640625" style="1" customWidth="1"/>
    <col min="769" max="770" width="8.109375" style="1" customWidth="1"/>
    <col min="771" max="771" width="9" style="1" customWidth="1"/>
    <col min="772" max="772" width="8.6640625" style="1" customWidth="1"/>
    <col min="773" max="773" width="18.33203125" style="1" customWidth="1"/>
    <col min="774" max="774" width="16.6640625" style="1" customWidth="1"/>
    <col min="775" max="775" width="19.6640625" style="1" customWidth="1"/>
    <col min="776" max="776" width="27.109375" style="1" customWidth="1"/>
    <col min="777" max="777" width="15.109375" style="1" customWidth="1"/>
    <col min="778" max="778" width="17.6640625" style="1" customWidth="1"/>
    <col min="779" max="779" width="13.6640625" style="1" customWidth="1"/>
    <col min="780" max="781" width="14.88671875" style="1" customWidth="1"/>
    <col min="782" max="782" width="16.33203125" style="1" customWidth="1"/>
    <col min="783" max="783" width="15.33203125" style="1" customWidth="1"/>
    <col min="784" max="784" width="14.6640625" style="1" customWidth="1"/>
    <col min="785" max="786" width="8.109375" style="1" customWidth="1"/>
    <col min="787" max="787" width="10.6640625" style="1" customWidth="1"/>
    <col min="788" max="788" width="15.88671875" style="1" customWidth="1"/>
    <col min="789" max="789" width="13" style="1" customWidth="1"/>
    <col min="790" max="790" width="14.6640625" style="1" customWidth="1"/>
    <col min="791" max="1023" width="10.88671875" style="1"/>
    <col min="1024" max="1024" width="5.6640625" style="1" customWidth="1"/>
    <col min="1025" max="1026" width="8.109375" style="1" customWidth="1"/>
    <col min="1027" max="1027" width="9" style="1" customWidth="1"/>
    <col min="1028" max="1028" width="8.6640625" style="1" customWidth="1"/>
    <col min="1029" max="1029" width="18.33203125" style="1" customWidth="1"/>
    <col min="1030" max="1030" width="16.6640625" style="1" customWidth="1"/>
    <col min="1031" max="1031" width="19.6640625" style="1" customWidth="1"/>
    <col min="1032" max="1032" width="27.109375" style="1" customWidth="1"/>
    <col min="1033" max="1033" width="15.109375" style="1" customWidth="1"/>
    <col min="1034" max="1034" width="17.6640625" style="1" customWidth="1"/>
    <col min="1035" max="1035" width="13.6640625" style="1" customWidth="1"/>
    <col min="1036" max="1037" width="14.88671875" style="1" customWidth="1"/>
    <col min="1038" max="1038" width="16.33203125" style="1" customWidth="1"/>
    <col min="1039" max="1039" width="15.33203125" style="1" customWidth="1"/>
    <col min="1040" max="1040" width="14.6640625" style="1" customWidth="1"/>
    <col min="1041" max="1042" width="8.109375" style="1" customWidth="1"/>
    <col min="1043" max="1043" width="10.6640625" style="1" customWidth="1"/>
    <col min="1044" max="1044" width="15.88671875" style="1" customWidth="1"/>
    <col min="1045" max="1045" width="13" style="1" customWidth="1"/>
    <col min="1046" max="1046" width="14.6640625" style="1" customWidth="1"/>
    <col min="1047" max="1279" width="10.88671875" style="1"/>
    <col min="1280" max="1280" width="5.6640625" style="1" customWidth="1"/>
    <col min="1281" max="1282" width="8.109375" style="1" customWidth="1"/>
    <col min="1283" max="1283" width="9" style="1" customWidth="1"/>
    <col min="1284" max="1284" width="8.6640625" style="1" customWidth="1"/>
    <col min="1285" max="1285" width="18.33203125" style="1" customWidth="1"/>
    <col min="1286" max="1286" width="16.6640625" style="1" customWidth="1"/>
    <col min="1287" max="1287" width="19.6640625" style="1" customWidth="1"/>
    <col min="1288" max="1288" width="27.109375" style="1" customWidth="1"/>
    <col min="1289" max="1289" width="15.109375" style="1" customWidth="1"/>
    <col min="1290" max="1290" width="17.6640625" style="1" customWidth="1"/>
    <col min="1291" max="1291" width="13.6640625" style="1" customWidth="1"/>
    <col min="1292" max="1293" width="14.88671875" style="1" customWidth="1"/>
    <col min="1294" max="1294" width="16.33203125" style="1" customWidth="1"/>
    <col min="1295" max="1295" width="15.33203125" style="1" customWidth="1"/>
    <col min="1296" max="1296" width="14.6640625" style="1" customWidth="1"/>
    <col min="1297" max="1298" width="8.109375" style="1" customWidth="1"/>
    <col min="1299" max="1299" width="10.6640625" style="1" customWidth="1"/>
    <col min="1300" max="1300" width="15.88671875" style="1" customWidth="1"/>
    <col min="1301" max="1301" width="13" style="1" customWidth="1"/>
    <col min="1302" max="1302" width="14.6640625" style="1" customWidth="1"/>
    <col min="1303" max="1535" width="10.88671875" style="1"/>
    <col min="1536" max="1536" width="5.6640625" style="1" customWidth="1"/>
    <col min="1537" max="1538" width="8.109375" style="1" customWidth="1"/>
    <col min="1539" max="1539" width="9" style="1" customWidth="1"/>
    <col min="1540" max="1540" width="8.6640625" style="1" customWidth="1"/>
    <col min="1541" max="1541" width="18.33203125" style="1" customWidth="1"/>
    <col min="1542" max="1542" width="16.6640625" style="1" customWidth="1"/>
    <col min="1543" max="1543" width="19.6640625" style="1" customWidth="1"/>
    <col min="1544" max="1544" width="27.109375" style="1" customWidth="1"/>
    <col min="1545" max="1545" width="15.109375" style="1" customWidth="1"/>
    <col min="1546" max="1546" width="17.6640625" style="1" customWidth="1"/>
    <col min="1547" max="1547" width="13.6640625" style="1" customWidth="1"/>
    <col min="1548" max="1549" width="14.88671875" style="1" customWidth="1"/>
    <col min="1550" max="1550" width="16.33203125" style="1" customWidth="1"/>
    <col min="1551" max="1551" width="15.33203125" style="1" customWidth="1"/>
    <col min="1552" max="1552" width="14.6640625" style="1" customWidth="1"/>
    <col min="1553" max="1554" width="8.109375" style="1" customWidth="1"/>
    <col min="1555" max="1555" width="10.6640625" style="1" customWidth="1"/>
    <col min="1556" max="1556" width="15.88671875" style="1" customWidth="1"/>
    <col min="1557" max="1557" width="13" style="1" customWidth="1"/>
    <col min="1558" max="1558" width="14.6640625" style="1" customWidth="1"/>
    <col min="1559" max="1791" width="10.88671875" style="1"/>
    <col min="1792" max="1792" width="5.6640625" style="1" customWidth="1"/>
    <col min="1793" max="1794" width="8.109375" style="1" customWidth="1"/>
    <col min="1795" max="1795" width="9" style="1" customWidth="1"/>
    <col min="1796" max="1796" width="8.6640625" style="1" customWidth="1"/>
    <col min="1797" max="1797" width="18.33203125" style="1" customWidth="1"/>
    <col min="1798" max="1798" width="16.6640625" style="1" customWidth="1"/>
    <col min="1799" max="1799" width="19.6640625" style="1" customWidth="1"/>
    <col min="1800" max="1800" width="27.109375" style="1" customWidth="1"/>
    <col min="1801" max="1801" width="15.109375" style="1" customWidth="1"/>
    <col min="1802" max="1802" width="17.6640625" style="1" customWidth="1"/>
    <col min="1803" max="1803" width="13.6640625" style="1" customWidth="1"/>
    <col min="1804" max="1805" width="14.88671875" style="1" customWidth="1"/>
    <col min="1806" max="1806" width="16.33203125" style="1" customWidth="1"/>
    <col min="1807" max="1807" width="15.33203125" style="1" customWidth="1"/>
    <col min="1808" max="1808" width="14.6640625" style="1" customWidth="1"/>
    <col min="1809" max="1810" width="8.109375" style="1" customWidth="1"/>
    <col min="1811" max="1811" width="10.6640625" style="1" customWidth="1"/>
    <col min="1812" max="1812" width="15.88671875" style="1" customWidth="1"/>
    <col min="1813" max="1813" width="13" style="1" customWidth="1"/>
    <col min="1814" max="1814" width="14.6640625" style="1" customWidth="1"/>
    <col min="1815" max="2047" width="10.88671875" style="1"/>
    <col min="2048" max="2048" width="5.6640625" style="1" customWidth="1"/>
    <col min="2049" max="2050" width="8.109375" style="1" customWidth="1"/>
    <col min="2051" max="2051" width="9" style="1" customWidth="1"/>
    <col min="2052" max="2052" width="8.6640625" style="1" customWidth="1"/>
    <col min="2053" max="2053" width="18.33203125" style="1" customWidth="1"/>
    <col min="2054" max="2054" width="16.6640625" style="1" customWidth="1"/>
    <col min="2055" max="2055" width="19.6640625" style="1" customWidth="1"/>
    <col min="2056" max="2056" width="27.109375" style="1" customWidth="1"/>
    <col min="2057" max="2057" width="15.109375" style="1" customWidth="1"/>
    <col min="2058" max="2058" width="17.6640625" style="1" customWidth="1"/>
    <col min="2059" max="2059" width="13.6640625" style="1" customWidth="1"/>
    <col min="2060" max="2061" width="14.88671875" style="1" customWidth="1"/>
    <col min="2062" max="2062" width="16.33203125" style="1" customWidth="1"/>
    <col min="2063" max="2063" width="15.33203125" style="1" customWidth="1"/>
    <col min="2064" max="2064" width="14.6640625" style="1" customWidth="1"/>
    <col min="2065" max="2066" width="8.109375" style="1" customWidth="1"/>
    <col min="2067" max="2067" width="10.6640625" style="1" customWidth="1"/>
    <col min="2068" max="2068" width="15.88671875" style="1" customWidth="1"/>
    <col min="2069" max="2069" width="13" style="1" customWidth="1"/>
    <col min="2070" max="2070" width="14.6640625" style="1" customWidth="1"/>
    <col min="2071" max="2303" width="10.88671875" style="1"/>
    <col min="2304" max="2304" width="5.6640625" style="1" customWidth="1"/>
    <col min="2305" max="2306" width="8.109375" style="1" customWidth="1"/>
    <col min="2307" max="2307" width="9" style="1" customWidth="1"/>
    <col min="2308" max="2308" width="8.6640625" style="1" customWidth="1"/>
    <col min="2309" max="2309" width="18.33203125" style="1" customWidth="1"/>
    <col min="2310" max="2310" width="16.6640625" style="1" customWidth="1"/>
    <col min="2311" max="2311" width="19.6640625" style="1" customWidth="1"/>
    <col min="2312" max="2312" width="27.109375" style="1" customWidth="1"/>
    <col min="2313" max="2313" width="15.109375" style="1" customWidth="1"/>
    <col min="2314" max="2314" width="17.6640625" style="1" customWidth="1"/>
    <col min="2315" max="2315" width="13.6640625" style="1" customWidth="1"/>
    <col min="2316" max="2317" width="14.88671875" style="1" customWidth="1"/>
    <col min="2318" max="2318" width="16.33203125" style="1" customWidth="1"/>
    <col min="2319" max="2319" width="15.33203125" style="1" customWidth="1"/>
    <col min="2320" max="2320" width="14.6640625" style="1" customWidth="1"/>
    <col min="2321" max="2322" width="8.109375" style="1" customWidth="1"/>
    <col min="2323" max="2323" width="10.6640625" style="1" customWidth="1"/>
    <col min="2324" max="2324" width="15.88671875" style="1" customWidth="1"/>
    <col min="2325" max="2325" width="13" style="1" customWidth="1"/>
    <col min="2326" max="2326" width="14.6640625" style="1" customWidth="1"/>
    <col min="2327" max="2559" width="10.88671875" style="1"/>
    <col min="2560" max="2560" width="5.6640625" style="1" customWidth="1"/>
    <col min="2561" max="2562" width="8.109375" style="1" customWidth="1"/>
    <col min="2563" max="2563" width="9" style="1" customWidth="1"/>
    <col min="2564" max="2564" width="8.6640625" style="1" customWidth="1"/>
    <col min="2565" max="2565" width="18.33203125" style="1" customWidth="1"/>
    <col min="2566" max="2566" width="16.6640625" style="1" customWidth="1"/>
    <col min="2567" max="2567" width="19.6640625" style="1" customWidth="1"/>
    <col min="2568" max="2568" width="27.109375" style="1" customWidth="1"/>
    <col min="2569" max="2569" width="15.109375" style="1" customWidth="1"/>
    <col min="2570" max="2570" width="17.6640625" style="1" customWidth="1"/>
    <col min="2571" max="2571" width="13.6640625" style="1" customWidth="1"/>
    <col min="2572" max="2573" width="14.88671875" style="1" customWidth="1"/>
    <col min="2574" max="2574" width="16.33203125" style="1" customWidth="1"/>
    <col min="2575" max="2575" width="15.33203125" style="1" customWidth="1"/>
    <col min="2576" max="2576" width="14.6640625" style="1" customWidth="1"/>
    <col min="2577" max="2578" width="8.109375" style="1" customWidth="1"/>
    <col min="2579" max="2579" width="10.6640625" style="1" customWidth="1"/>
    <col min="2580" max="2580" width="15.88671875" style="1" customWidth="1"/>
    <col min="2581" max="2581" width="13" style="1" customWidth="1"/>
    <col min="2582" max="2582" width="14.6640625" style="1" customWidth="1"/>
    <col min="2583" max="2815" width="10.88671875" style="1"/>
    <col min="2816" max="2816" width="5.6640625" style="1" customWidth="1"/>
    <col min="2817" max="2818" width="8.109375" style="1" customWidth="1"/>
    <col min="2819" max="2819" width="9" style="1" customWidth="1"/>
    <col min="2820" max="2820" width="8.6640625" style="1" customWidth="1"/>
    <col min="2821" max="2821" width="18.33203125" style="1" customWidth="1"/>
    <col min="2822" max="2822" width="16.6640625" style="1" customWidth="1"/>
    <col min="2823" max="2823" width="19.6640625" style="1" customWidth="1"/>
    <col min="2824" max="2824" width="27.109375" style="1" customWidth="1"/>
    <col min="2825" max="2825" width="15.109375" style="1" customWidth="1"/>
    <col min="2826" max="2826" width="17.6640625" style="1" customWidth="1"/>
    <col min="2827" max="2827" width="13.6640625" style="1" customWidth="1"/>
    <col min="2828" max="2829" width="14.88671875" style="1" customWidth="1"/>
    <col min="2830" max="2830" width="16.33203125" style="1" customWidth="1"/>
    <col min="2831" max="2831" width="15.33203125" style="1" customWidth="1"/>
    <col min="2832" max="2832" width="14.6640625" style="1" customWidth="1"/>
    <col min="2833" max="2834" width="8.109375" style="1" customWidth="1"/>
    <col min="2835" max="2835" width="10.6640625" style="1" customWidth="1"/>
    <col min="2836" max="2836" width="15.88671875" style="1" customWidth="1"/>
    <col min="2837" max="2837" width="13" style="1" customWidth="1"/>
    <col min="2838" max="2838" width="14.6640625" style="1" customWidth="1"/>
    <col min="2839" max="3071" width="10.88671875" style="1"/>
    <col min="3072" max="3072" width="5.6640625" style="1" customWidth="1"/>
    <col min="3073" max="3074" width="8.109375" style="1" customWidth="1"/>
    <col min="3075" max="3075" width="9" style="1" customWidth="1"/>
    <col min="3076" max="3076" width="8.6640625" style="1" customWidth="1"/>
    <col min="3077" max="3077" width="18.33203125" style="1" customWidth="1"/>
    <col min="3078" max="3078" width="16.6640625" style="1" customWidth="1"/>
    <col min="3079" max="3079" width="19.6640625" style="1" customWidth="1"/>
    <col min="3080" max="3080" width="27.109375" style="1" customWidth="1"/>
    <col min="3081" max="3081" width="15.109375" style="1" customWidth="1"/>
    <col min="3082" max="3082" width="17.6640625" style="1" customWidth="1"/>
    <col min="3083" max="3083" width="13.6640625" style="1" customWidth="1"/>
    <col min="3084" max="3085" width="14.88671875" style="1" customWidth="1"/>
    <col min="3086" max="3086" width="16.33203125" style="1" customWidth="1"/>
    <col min="3087" max="3087" width="15.33203125" style="1" customWidth="1"/>
    <col min="3088" max="3088" width="14.6640625" style="1" customWidth="1"/>
    <col min="3089" max="3090" width="8.109375" style="1" customWidth="1"/>
    <col min="3091" max="3091" width="10.6640625" style="1" customWidth="1"/>
    <col min="3092" max="3092" width="15.88671875" style="1" customWidth="1"/>
    <col min="3093" max="3093" width="13" style="1" customWidth="1"/>
    <col min="3094" max="3094" width="14.6640625" style="1" customWidth="1"/>
    <col min="3095" max="3327" width="10.88671875" style="1"/>
    <col min="3328" max="3328" width="5.6640625" style="1" customWidth="1"/>
    <col min="3329" max="3330" width="8.109375" style="1" customWidth="1"/>
    <col min="3331" max="3331" width="9" style="1" customWidth="1"/>
    <col min="3332" max="3332" width="8.6640625" style="1" customWidth="1"/>
    <col min="3333" max="3333" width="18.33203125" style="1" customWidth="1"/>
    <col min="3334" max="3334" width="16.6640625" style="1" customWidth="1"/>
    <col min="3335" max="3335" width="19.6640625" style="1" customWidth="1"/>
    <col min="3336" max="3336" width="27.109375" style="1" customWidth="1"/>
    <col min="3337" max="3337" width="15.109375" style="1" customWidth="1"/>
    <col min="3338" max="3338" width="17.6640625" style="1" customWidth="1"/>
    <col min="3339" max="3339" width="13.6640625" style="1" customWidth="1"/>
    <col min="3340" max="3341" width="14.88671875" style="1" customWidth="1"/>
    <col min="3342" max="3342" width="16.33203125" style="1" customWidth="1"/>
    <col min="3343" max="3343" width="15.33203125" style="1" customWidth="1"/>
    <col min="3344" max="3344" width="14.6640625" style="1" customWidth="1"/>
    <col min="3345" max="3346" width="8.109375" style="1" customWidth="1"/>
    <col min="3347" max="3347" width="10.6640625" style="1" customWidth="1"/>
    <col min="3348" max="3348" width="15.88671875" style="1" customWidth="1"/>
    <col min="3349" max="3349" width="13" style="1" customWidth="1"/>
    <col min="3350" max="3350" width="14.6640625" style="1" customWidth="1"/>
    <col min="3351" max="3583" width="10.88671875" style="1"/>
    <col min="3584" max="3584" width="5.6640625" style="1" customWidth="1"/>
    <col min="3585" max="3586" width="8.109375" style="1" customWidth="1"/>
    <col min="3587" max="3587" width="9" style="1" customWidth="1"/>
    <col min="3588" max="3588" width="8.6640625" style="1" customWidth="1"/>
    <col min="3589" max="3589" width="18.33203125" style="1" customWidth="1"/>
    <col min="3590" max="3590" width="16.6640625" style="1" customWidth="1"/>
    <col min="3591" max="3591" width="19.6640625" style="1" customWidth="1"/>
    <col min="3592" max="3592" width="27.109375" style="1" customWidth="1"/>
    <col min="3593" max="3593" width="15.109375" style="1" customWidth="1"/>
    <col min="3594" max="3594" width="17.6640625" style="1" customWidth="1"/>
    <col min="3595" max="3595" width="13.6640625" style="1" customWidth="1"/>
    <col min="3596" max="3597" width="14.88671875" style="1" customWidth="1"/>
    <col min="3598" max="3598" width="16.33203125" style="1" customWidth="1"/>
    <col min="3599" max="3599" width="15.33203125" style="1" customWidth="1"/>
    <col min="3600" max="3600" width="14.6640625" style="1" customWidth="1"/>
    <col min="3601" max="3602" width="8.109375" style="1" customWidth="1"/>
    <col min="3603" max="3603" width="10.6640625" style="1" customWidth="1"/>
    <col min="3604" max="3604" width="15.88671875" style="1" customWidth="1"/>
    <col min="3605" max="3605" width="13" style="1" customWidth="1"/>
    <col min="3606" max="3606" width="14.6640625" style="1" customWidth="1"/>
    <col min="3607" max="3839" width="10.88671875" style="1"/>
    <col min="3840" max="3840" width="5.6640625" style="1" customWidth="1"/>
    <col min="3841" max="3842" width="8.109375" style="1" customWidth="1"/>
    <col min="3843" max="3843" width="9" style="1" customWidth="1"/>
    <col min="3844" max="3844" width="8.6640625" style="1" customWidth="1"/>
    <col min="3845" max="3845" width="18.33203125" style="1" customWidth="1"/>
    <col min="3846" max="3846" width="16.6640625" style="1" customWidth="1"/>
    <col min="3847" max="3847" width="19.6640625" style="1" customWidth="1"/>
    <col min="3848" max="3848" width="27.109375" style="1" customWidth="1"/>
    <col min="3849" max="3849" width="15.109375" style="1" customWidth="1"/>
    <col min="3850" max="3850" width="17.6640625" style="1" customWidth="1"/>
    <col min="3851" max="3851" width="13.6640625" style="1" customWidth="1"/>
    <col min="3852" max="3853" width="14.88671875" style="1" customWidth="1"/>
    <col min="3854" max="3854" width="16.33203125" style="1" customWidth="1"/>
    <col min="3855" max="3855" width="15.33203125" style="1" customWidth="1"/>
    <col min="3856" max="3856" width="14.6640625" style="1" customWidth="1"/>
    <col min="3857" max="3858" width="8.109375" style="1" customWidth="1"/>
    <col min="3859" max="3859" width="10.6640625" style="1" customWidth="1"/>
    <col min="3860" max="3860" width="15.88671875" style="1" customWidth="1"/>
    <col min="3861" max="3861" width="13" style="1" customWidth="1"/>
    <col min="3862" max="3862" width="14.6640625" style="1" customWidth="1"/>
    <col min="3863" max="4095" width="10.88671875" style="1"/>
    <col min="4096" max="4096" width="5.6640625" style="1" customWidth="1"/>
    <col min="4097" max="4098" width="8.109375" style="1" customWidth="1"/>
    <col min="4099" max="4099" width="9" style="1" customWidth="1"/>
    <col min="4100" max="4100" width="8.6640625" style="1" customWidth="1"/>
    <col min="4101" max="4101" width="18.33203125" style="1" customWidth="1"/>
    <col min="4102" max="4102" width="16.6640625" style="1" customWidth="1"/>
    <col min="4103" max="4103" width="19.6640625" style="1" customWidth="1"/>
    <col min="4104" max="4104" width="27.109375" style="1" customWidth="1"/>
    <col min="4105" max="4105" width="15.109375" style="1" customWidth="1"/>
    <col min="4106" max="4106" width="17.6640625" style="1" customWidth="1"/>
    <col min="4107" max="4107" width="13.6640625" style="1" customWidth="1"/>
    <col min="4108" max="4109" width="14.88671875" style="1" customWidth="1"/>
    <col min="4110" max="4110" width="16.33203125" style="1" customWidth="1"/>
    <col min="4111" max="4111" width="15.33203125" style="1" customWidth="1"/>
    <col min="4112" max="4112" width="14.6640625" style="1" customWidth="1"/>
    <col min="4113" max="4114" width="8.109375" style="1" customWidth="1"/>
    <col min="4115" max="4115" width="10.6640625" style="1" customWidth="1"/>
    <col min="4116" max="4116" width="15.88671875" style="1" customWidth="1"/>
    <col min="4117" max="4117" width="13" style="1" customWidth="1"/>
    <col min="4118" max="4118" width="14.6640625" style="1" customWidth="1"/>
    <col min="4119" max="4351" width="10.88671875" style="1"/>
    <col min="4352" max="4352" width="5.6640625" style="1" customWidth="1"/>
    <col min="4353" max="4354" width="8.109375" style="1" customWidth="1"/>
    <col min="4355" max="4355" width="9" style="1" customWidth="1"/>
    <col min="4356" max="4356" width="8.6640625" style="1" customWidth="1"/>
    <col min="4357" max="4357" width="18.33203125" style="1" customWidth="1"/>
    <col min="4358" max="4358" width="16.6640625" style="1" customWidth="1"/>
    <col min="4359" max="4359" width="19.6640625" style="1" customWidth="1"/>
    <col min="4360" max="4360" width="27.109375" style="1" customWidth="1"/>
    <col min="4361" max="4361" width="15.109375" style="1" customWidth="1"/>
    <col min="4362" max="4362" width="17.6640625" style="1" customWidth="1"/>
    <col min="4363" max="4363" width="13.6640625" style="1" customWidth="1"/>
    <col min="4364" max="4365" width="14.88671875" style="1" customWidth="1"/>
    <col min="4366" max="4366" width="16.33203125" style="1" customWidth="1"/>
    <col min="4367" max="4367" width="15.33203125" style="1" customWidth="1"/>
    <col min="4368" max="4368" width="14.6640625" style="1" customWidth="1"/>
    <col min="4369" max="4370" width="8.109375" style="1" customWidth="1"/>
    <col min="4371" max="4371" width="10.6640625" style="1" customWidth="1"/>
    <col min="4372" max="4372" width="15.88671875" style="1" customWidth="1"/>
    <col min="4373" max="4373" width="13" style="1" customWidth="1"/>
    <col min="4374" max="4374" width="14.6640625" style="1" customWidth="1"/>
    <col min="4375" max="4607" width="10.88671875" style="1"/>
    <col min="4608" max="4608" width="5.6640625" style="1" customWidth="1"/>
    <col min="4609" max="4610" width="8.109375" style="1" customWidth="1"/>
    <col min="4611" max="4611" width="9" style="1" customWidth="1"/>
    <col min="4612" max="4612" width="8.6640625" style="1" customWidth="1"/>
    <col min="4613" max="4613" width="18.33203125" style="1" customWidth="1"/>
    <col min="4614" max="4614" width="16.6640625" style="1" customWidth="1"/>
    <col min="4615" max="4615" width="19.6640625" style="1" customWidth="1"/>
    <col min="4616" max="4616" width="27.109375" style="1" customWidth="1"/>
    <col min="4617" max="4617" width="15.109375" style="1" customWidth="1"/>
    <col min="4618" max="4618" width="17.6640625" style="1" customWidth="1"/>
    <col min="4619" max="4619" width="13.6640625" style="1" customWidth="1"/>
    <col min="4620" max="4621" width="14.88671875" style="1" customWidth="1"/>
    <col min="4622" max="4622" width="16.33203125" style="1" customWidth="1"/>
    <col min="4623" max="4623" width="15.33203125" style="1" customWidth="1"/>
    <col min="4624" max="4624" width="14.6640625" style="1" customWidth="1"/>
    <col min="4625" max="4626" width="8.109375" style="1" customWidth="1"/>
    <col min="4627" max="4627" width="10.6640625" style="1" customWidth="1"/>
    <col min="4628" max="4628" width="15.88671875" style="1" customWidth="1"/>
    <col min="4629" max="4629" width="13" style="1" customWidth="1"/>
    <col min="4630" max="4630" width="14.6640625" style="1" customWidth="1"/>
    <col min="4631" max="4863" width="10.88671875" style="1"/>
    <col min="4864" max="4864" width="5.6640625" style="1" customWidth="1"/>
    <col min="4865" max="4866" width="8.109375" style="1" customWidth="1"/>
    <col min="4867" max="4867" width="9" style="1" customWidth="1"/>
    <col min="4868" max="4868" width="8.6640625" style="1" customWidth="1"/>
    <col min="4869" max="4869" width="18.33203125" style="1" customWidth="1"/>
    <col min="4870" max="4870" width="16.6640625" style="1" customWidth="1"/>
    <col min="4871" max="4871" width="19.6640625" style="1" customWidth="1"/>
    <col min="4872" max="4872" width="27.109375" style="1" customWidth="1"/>
    <col min="4873" max="4873" width="15.109375" style="1" customWidth="1"/>
    <col min="4874" max="4874" width="17.6640625" style="1" customWidth="1"/>
    <col min="4875" max="4875" width="13.6640625" style="1" customWidth="1"/>
    <col min="4876" max="4877" width="14.88671875" style="1" customWidth="1"/>
    <col min="4878" max="4878" width="16.33203125" style="1" customWidth="1"/>
    <col min="4879" max="4879" width="15.33203125" style="1" customWidth="1"/>
    <col min="4880" max="4880" width="14.6640625" style="1" customWidth="1"/>
    <col min="4881" max="4882" width="8.109375" style="1" customWidth="1"/>
    <col min="4883" max="4883" width="10.6640625" style="1" customWidth="1"/>
    <col min="4884" max="4884" width="15.88671875" style="1" customWidth="1"/>
    <col min="4885" max="4885" width="13" style="1" customWidth="1"/>
    <col min="4886" max="4886" width="14.6640625" style="1" customWidth="1"/>
    <col min="4887" max="5119" width="10.88671875" style="1"/>
    <col min="5120" max="5120" width="5.6640625" style="1" customWidth="1"/>
    <col min="5121" max="5122" width="8.109375" style="1" customWidth="1"/>
    <col min="5123" max="5123" width="9" style="1" customWidth="1"/>
    <col min="5124" max="5124" width="8.6640625" style="1" customWidth="1"/>
    <col min="5125" max="5125" width="18.33203125" style="1" customWidth="1"/>
    <col min="5126" max="5126" width="16.6640625" style="1" customWidth="1"/>
    <col min="5127" max="5127" width="19.6640625" style="1" customWidth="1"/>
    <col min="5128" max="5128" width="27.109375" style="1" customWidth="1"/>
    <col min="5129" max="5129" width="15.109375" style="1" customWidth="1"/>
    <col min="5130" max="5130" width="17.6640625" style="1" customWidth="1"/>
    <col min="5131" max="5131" width="13.6640625" style="1" customWidth="1"/>
    <col min="5132" max="5133" width="14.88671875" style="1" customWidth="1"/>
    <col min="5134" max="5134" width="16.33203125" style="1" customWidth="1"/>
    <col min="5135" max="5135" width="15.33203125" style="1" customWidth="1"/>
    <col min="5136" max="5136" width="14.6640625" style="1" customWidth="1"/>
    <col min="5137" max="5138" width="8.109375" style="1" customWidth="1"/>
    <col min="5139" max="5139" width="10.6640625" style="1" customWidth="1"/>
    <col min="5140" max="5140" width="15.88671875" style="1" customWidth="1"/>
    <col min="5141" max="5141" width="13" style="1" customWidth="1"/>
    <col min="5142" max="5142" width="14.6640625" style="1" customWidth="1"/>
    <col min="5143" max="5375" width="10.88671875" style="1"/>
    <col min="5376" max="5376" width="5.6640625" style="1" customWidth="1"/>
    <col min="5377" max="5378" width="8.109375" style="1" customWidth="1"/>
    <col min="5379" max="5379" width="9" style="1" customWidth="1"/>
    <col min="5380" max="5380" width="8.6640625" style="1" customWidth="1"/>
    <col min="5381" max="5381" width="18.33203125" style="1" customWidth="1"/>
    <col min="5382" max="5382" width="16.6640625" style="1" customWidth="1"/>
    <col min="5383" max="5383" width="19.6640625" style="1" customWidth="1"/>
    <col min="5384" max="5384" width="27.109375" style="1" customWidth="1"/>
    <col min="5385" max="5385" width="15.109375" style="1" customWidth="1"/>
    <col min="5386" max="5386" width="17.6640625" style="1" customWidth="1"/>
    <col min="5387" max="5387" width="13.6640625" style="1" customWidth="1"/>
    <col min="5388" max="5389" width="14.88671875" style="1" customWidth="1"/>
    <col min="5390" max="5390" width="16.33203125" style="1" customWidth="1"/>
    <col min="5391" max="5391" width="15.33203125" style="1" customWidth="1"/>
    <col min="5392" max="5392" width="14.6640625" style="1" customWidth="1"/>
    <col min="5393" max="5394" width="8.109375" style="1" customWidth="1"/>
    <col min="5395" max="5395" width="10.6640625" style="1" customWidth="1"/>
    <col min="5396" max="5396" width="15.88671875" style="1" customWidth="1"/>
    <col min="5397" max="5397" width="13" style="1" customWidth="1"/>
    <col min="5398" max="5398" width="14.6640625" style="1" customWidth="1"/>
    <col min="5399" max="5631" width="10.88671875" style="1"/>
    <col min="5632" max="5632" width="5.6640625" style="1" customWidth="1"/>
    <col min="5633" max="5634" width="8.109375" style="1" customWidth="1"/>
    <col min="5635" max="5635" width="9" style="1" customWidth="1"/>
    <col min="5636" max="5636" width="8.6640625" style="1" customWidth="1"/>
    <col min="5637" max="5637" width="18.33203125" style="1" customWidth="1"/>
    <col min="5638" max="5638" width="16.6640625" style="1" customWidth="1"/>
    <col min="5639" max="5639" width="19.6640625" style="1" customWidth="1"/>
    <col min="5640" max="5640" width="27.109375" style="1" customWidth="1"/>
    <col min="5641" max="5641" width="15.109375" style="1" customWidth="1"/>
    <col min="5642" max="5642" width="17.6640625" style="1" customWidth="1"/>
    <col min="5643" max="5643" width="13.6640625" style="1" customWidth="1"/>
    <col min="5644" max="5645" width="14.88671875" style="1" customWidth="1"/>
    <col min="5646" max="5646" width="16.33203125" style="1" customWidth="1"/>
    <col min="5647" max="5647" width="15.33203125" style="1" customWidth="1"/>
    <col min="5648" max="5648" width="14.6640625" style="1" customWidth="1"/>
    <col min="5649" max="5650" width="8.109375" style="1" customWidth="1"/>
    <col min="5651" max="5651" width="10.6640625" style="1" customWidth="1"/>
    <col min="5652" max="5652" width="15.88671875" style="1" customWidth="1"/>
    <col min="5653" max="5653" width="13" style="1" customWidth="1"/>
    <col min="5654" max="5654" width="14.6640625" style="1" customWidth="1"/>
    <col min="5655" max="5887" width="10.88671875" style="1"/>
    <col min="5888" max="5888" width="5.6640625" style="1" customWidth="1"/>
    <col min="5889" max="5890" width="8.109375" style="1" customWidth="1"/>
    <col min="5891" max="5891" width="9" style="1" customWidth="1"/>
    <col min="5892" max="5892" width="8.6640625" style="1" customWidth="1"/>
    <col min="5893" max="5893" width="18.33203125" style="1" customWidth="1"/>
    <col min="5894" max="5894" width="16.6640625" style="1" customWidth="1"/>
    <col min="5895" max="5895" width="19.6640625" style="1" customWidth="1"/>
    <col min="5896" max="5896" width="27.109375" style="1" customWidth="1"/>
    <col min="5897" max="5897" width="15.109375" style="1" customWidth="1"/>
    <col min="5898" max="5898" width="17.6640625" style="1" customWidth="1"/>
    <col min="5899" max="5899" width="13.6640625" style="1" customWidth="1"/>
    <col min="5900" max="5901" width="14.88671875" style="1" customWidth="1"/>
    <col min="5902" max="5902" width="16.33203125" style="1" customWidth="1"/>
    <col min="5903" max="5903" width="15.33203125" style="1" customWidth="1"/>
    <col min="5904" max="5904" width="14.6640625" style="1" customWidth="1"/>
    <col min="5905" max="5906" width="8.109375" style="1" customWidth="1"/>
    <col min="5907" max="5907" width="10.6640625" style="1" customWidth="1"/>
    <col min="5908" max="5908" width="15.88671875" style="1" customWidth="1"/>
    <col min="5909" max="5909" width="13" style="1" customWidth="1"/>
    <col min="5910" max="5910" width="14.6640625" style="1" customWidth="1"/>
    <col min="5911" max="6143" width="10.88671875" style="1"/>
    <col min="6144" max="6144" width="5.6640625" style="1" customWidth="1"/>
    <col min="6145" max="6146" width="8.109375" style="1" customWidth="1"/>
    <col min="6147" max="6147" width="9" style="1" customWidth="1"/>
    <col min="6148" max="6148" width="8.6640625" style="1" customWidth="1"/>
    <col min="6149" max="6149" width="18.33203125" style="1" customWidth="1"/>
    <col min="6150" max="6150" width="16.6640625" style="1" customWidth="1"/>
    <col min="6151" max="6151" width="19.6640625" style="1" customWidth="1"/>
    <col min="6152" max="6152" width="27.109375" style="1" customWidth="1"/>
    <col min="6153" max="6153" width="15.109375" style="1" customWidth="1"/>
    <col min="6154" max="6154" width="17.6640625" style="1" customWidth="1"/>
    <col min="6155" max="6155" width="13.6640625" style="1" customWidth="1"/>
    <col min="6156" max="6157" width="14.88671875" style="1" customWidth="1"/>
    <col min="6158" max="6158" width="16.33203125" style="1" customWidth="1"/>
    <col min="6159" max="6159" width="15.33203125" style="1" customWidth="1"/>
    <col min="6160" max="6160" width="14.6640625" style="1" customWidth="1"/>
    <col min="6161" max="6162" width="8.109375" style="1" customWidth="1"/>
    <col min="6163" max="6163" width="10.6640625" style="1" customWidth="1"/>
    <col min="6164" max="6164" width="15.88671875" style="1" customWidth="1"/>
    <col min="6165" max="6165" width="13" style="1" customWidth="1"/>
    <col min="6166" max="6166" width="14.6640625" style="1" customWidth="1"/>
    <col min="6167" max="6399" width="10.88671875" style="1"/>
    <col min="6400" max="6400" width="5.6640625" style="1" customWidth="1"/>
    <col min="6401" max="6402" width="8.109375" style="1" customWidth="1"/>
    <col min="6403" max="6403" width="9" style="1" customWidth="1"/>
    <col min="6404" max="6404" width="8.6640625" style="1" customWidth="1"/>
    <col min="6405" max="6405" width="18.33203125" style="1" customWidth="1"/>
    <col min="6406" max="6406" width="16.6640625" style="1" customWidth="1"/>
    <col min="6407" max="6407" width="19.6640625" style="1" customWidth="1"/>
    <col min="6408" max="6408" width="27.109375" style="1" customWidth="1"/>
    <col min="6409" max="6409" width="15.109375" style="1" customWidth="1"/>
    <col min="6410" max="6410" width="17.6640625" style="1" customWidth="1"/>
    <col min="6411" max="6411" width="13.6640625" style="1" customWidth="1"/>
    <col min="6412" max="6413" width="14.88671875" style="1" customWidth="1"/>
    <col min="6414" max="6414" width="16.33203125" style="1" customWidth="1"/>
    <col min="6415" max="6415" width="15.33203125" style="1" customWidth="1"/>
    <col min="6416" max="6416" width="14.6640625" style="1" customWidth="1"/>
    <col min="6417" max="6418" width="8.109375" style="1" customWidth="1"/>
    <col min="6419" max="6419" width="10.6640625" style="1" customWidth="1"/>
    <col min="6420" max="6420" width="15.88671875" style="1" customWidth="1"/>
    <col min="6421" max="6421" width="13" style="1" customWidth="1"/>
    <col min="6422" max="6422" width="14.6640625" style="1" customWidth="1"/>
    <col min="6423" max="6655" width="10.88671875" style="1"/>
    <col min="6656" max="6656" width="5.6640625" style="1" customWidth="1"/>
    <col min="6657" max="6658" width="8.109375" style="1" customWidth="1"/>
    <col min="6659" max="6659" width="9" style="1" customWidth="1"/>
    <col min="6660" max="6660" width="8.6640625" style="1" customWidth="1"/>
    <col min="6661" max="6661" width="18.33203125" style="1" customWidth="1"/>
    <col min="6662" max="6662" width="16.6640625" style="1" customWidth="1"/>
    <col min="6663" max="6663" width="19.6640625" style="1" customWidth="1"/>
    <col min="6664" max="6664" width="27.109375" style="1" customWidth="1"/>
    <col min="6665" max="6665" width="15.109375" style="1" customWidth="1"/>
    <col min="6666" max="6666" width="17.6640625" style="1" customWidth="1"/>
    <col min="6667" max="6667" width="13.6640625" style="1" customWidth="1"/>
    <col min="6668" max="6669" width="14.88671875" style="1" customWidth="1"/>
    <col min="6670" max="6670" width="16.33203125" style="1" customWidth="1"/>
    <col min="6671" max="6671" width="15.33203125" style="1" customWidth="1"/>
    <col min="6672" max="6672" width="14.6640625" style="1" customWidth="1"/>
    <col min="6673" max="6674" width="8.109375" style="1" customWidth="1"/>
    <col min="6675" max="6675" width="10.6640625" style="1" customWidth="1"/>
    <col min="6676" max="6676" width="15.88671875" style="1" customWidth="1"/>
    <col min="6677" max="6677" width="13" style="1" customWidth="1"/>
    <col min="6678" max="6678" width="14.6640625" style="1" customWidth="1"/>
    <col min="6679" max="6911" width="10.88671875" style="1"/>
    <col min="6912" max="6912" width="5.6640625" style="1" customWidth="1"/>
    <col min="6913" max="6914" width="8.109375" style="1" customWidth="1"/>
    <col min="6915" max="6915" width="9" style="1" customWidth="1"/>
    <col min="6916" max="6916" width="8.6640625" style="1" customWidth="1"/>
    <col min="6917" max="6917" width="18.33203125" style="1" customWidth="1"/>
    <col min="6918" max="6918" width="16.6640625" style="1" customWidth="1"/>
    <col min="6919" max="6919" width="19.6640625" style="1" customWidth="1"/>
    <col min="6920" max="6920" width="27.109375" style="1" customWidth="1"/>
    <col min="6921" max="6921" width="15.109375" style="1" customWidth="1"/>
    <col min="6922" max="6922" width="17.6640625" style="1" customWidth="1"/>
    <col min="6923" max="6923" width="13.6640625" style="1" customWidth="1"/>
    <col min="6924" max="6925" width="14.88671875" style="1" customWidth="1"/>
    <col min="6926" max="6926" width="16.33203125" style="1" customWidth="1"/>
    <col min="6927" max="6927" width="15.33203125" style="1" customWidth="1"/>
    <col min="6928" max="6928" width="14.6640625" style="1" customWidth="1"/>
    <col min="6929" max="6930" width="8.109375" style="1" customWidth="1"/>
    <col min="6931" max="6931" width="10.6640625" style="1" customWidth="1"/>
    <col min="6932" max="6932" width="15.88671875" style="1" customWidth="1"/>
    <col min="6933" max="6933" width="13" style="1" customWidth="1"/>
    <col min="6934" max="6934" width="14.6640625" style="1" customWidth="1"/>
    <col min="6935" max="7167" width="10.88671875" style="1"/>
    <col min="7168" max="7168" width="5.6640625" style="1" customWidth="1"/>
    <col min="7169" max="7170" width="8.109375" style="1" customWidth="1"/>
    <col min="7171" max="7171" width="9" style="1" customWidth="1"/>
    <col min="7172" max="7172" width="8.6640625" style="1" customWidth="1"/>
    <col min="7173" max="7173" width="18.33203125" style="1" customWidth="1"/>
    <col min="7174" max="7174" width="16.6640625" style="1" customWidth="1"/>
    <col min="7175" max="7175" width="19.6640625" style="1" customWidth="1"/>
    <col min="7176" max="7176" width="27.109375" style="1" customWidth="1"/>
    <col min="7177" max="7177" width="15.109375" style="1" customWidth="1"/>
    <col min="7178" max="7178" width="17.6640625" style="1" customWidth="1"/>
    <col min="7179" max="7179" width="13.6640625" style="1" customWidth="1"/>
    <col min="7180" max="7181" width="14.88671875" style="1" customWidth="1"/>
    <col min="7182" max="7182" width="16.33203125" style="1" customWidth="1"/>
    <col min="7183" max="7183" width="15.33203125" style="1" customWidth="1"/>
    <col min="7184" max="7184" width="14.6640625" style="1" customWidth="1"/>
    <col min="7185" max="7186" width="8.109375" style="1" customWidth="1"/>
    <col min="7187" max="7187" width="10.6640625" style="1" customWidth="1"/>
    <col min="7188" max="7188" width="15.88671875" style="1" customWidth="1"/>
    <col min="7189" max="7189" width="13" style="1" customWidth="1"/>
    <col min="7190" max="7190" width="14.6640625" style="1" customWidth="1"/>
    <col min="7191" max="7423" width="10.88671875" style="1"/>
    <col min="7424" max="7424" width="5.6640625" style="1" customWidth="1"/>
    <col min="7425" max="7426" width="8.109375" style="1" customWidth="1"/>
    <col min="7427" max="7427" width="9" style="1" customWidth="1"/>
    <col min="7428" max="7428" width="8.6640625" style="1" customWidth="1"/>
    <col min="7429" max="7429" width="18.33203125" style="1" customWidth="1"/>
    <col min="7430" max="7430" width="16.6640625" style="1" customWidth="1"/>
    <col min="7431" max="7431" width="19.6640625" style="1" customWidth="1"/>
    <col min="7432" max="7432" width="27.109375" style="1" customWidth="1"/>
    <col min="7433" max="7433" width="15.109375" style="1" customWidth="1"/>
    <col min="7434" max="7434" width="17.6640625" style="1" customWidth="1"/>
    <col min="7435" max="7435" width="13.6640625" style="1" customWidth="1"/>
    <col min="7436" max="7437" width="14.88671875" style="1" customWidth="1"/>
    <col min="7438" max="7438" width="16.33203125" style="1" customWidth="1"/>
    <col min="7439" max="7439" width="15.33203125" style="1" customWidth="1"/>
    <col min="7440" max="7440" width="14.6640625" style="1" customWidth="1"/>
    <col min="7441" max="7442" width="8.109375" style="1" customWidth="1"/>
    <col min="7443" max="7443" width="10.6640625" style="1" customWidth="1"/>
    <col min="7444" max="7444" width="15.88671875" style="1" customWidth="1"/>
    <col min="7445" max="7445" width="13" style="1" customWidth="1"/>
    <col min="7446" max="7446" width="14.6640625" style="1" customWidth="1"/>
    <col min="7447" max="7679" width="10.88671875" style="1"/>
    <col min="7680" max="7680" width="5.6640625" style="1" customWidth="1"/>
    <col min="7681" max="7682" width="8.109375" style="1" customWidth="1"/>
    <col min="7683" max="7683" width="9" style="1" customWidth="1"/>
    <col min="7684" max="7684" width="8.6640625" style="1" customWidth="1"/>
    <col min="7685" max="7685" width="18.33203125" style="1" customWidth="1"/>
    <col min="7686" max="7686" width="16.6640625" style="1" customWidth="1"/>
    <col min="7687" max="7687" width="19.6640625" style="1" customWidth="1"/>
    <col min="7688" max="7688" width="27.109375" style="1" customWidth="1"/>
    <col min="7689" max="7689" width="15.109375" style="1" customWidth="1"/>
    <col min="7690" max="7690" width="17.6640625" style="1" customWidth="1"/>
    <col min="7691" max="7691" width="13.6640625" style="1" customWidth="1"/>
    <col min="7692" max="7693" width="14.88671875" style="1" customWidth="1"/>
    <col min="7694" max="7694" width="16.33203125" style="1" customWidth="1"/>
    <col min="7695" max="7695" width="15.33203125" style="1" customWidth="1"/>
    <col min="7696" max="7696" width="14.6640625" style="1" customWidth="1"/>
    <col min="7697" max="7698" width="8.109375" style="1" customWidth="1"/>
    <col min="7699" max="7699" width="10.6640625" style="1" customWidth="1"/>
    <col min="7700" max="7700" width="15.88671875" style="1" customWidth="1"/>
    <col min="7701" max="7701" width="13" style="1" customWidth="1"/>
    <col min="7702" max="7702" width="14.6640625" style="1" customWidth="1"/>
    <col min="7703" max="7935" width="10.88671875" style="1"/>
    <col min="7936" max="7936" width="5.6640625" style="1" customWidth="1"/>
    <col min="7937" max="7938" width="8.109375" style="1" customWidth="1"/>
    <col min="7939" max="7939" width="9" style="1" customWidth="1"/>
    <col min="7940" max="7940" width="8.6640625" style="1" customWidth="1"/>
    <col min="7941" max="7941" width="18.33203125" style="1" customWidth="1"/>
    <col min="7942" max="7942" width="16.6640625" style="1" customWidth="1"/>
    <col min="7943" max="7943" width="19.6640625" style="1" customWidth="1"/>
    <col min="7944" max="7944" width="27.109375" style="1" customWidth="1"/>
    <col min="7945" max="7945" width="15.109375" style="1" customWidth="1"/>
    <col min="7946" max="7946" width="17.6640625" style="1" customWidth="1"/>
    <col min="7947" max="7947" width="13.6640625" style="1" customWidth="1"/>
    <col min="7948" max="7949" width="14.88671875" style="1" customWidth="1"/>
    <col min="7950" max="7950" width="16.33203125" style="1" customWidth="1"/>
    <col min="7951" max="7951" width="15.33203125" style="1" customWidth="1"/>
    <col min="7952" max="7952" width="14.6640625" style="1" customWidth="1"/>
    <col min="7953" max="7954" width="8.109375" style="1" customWidth="1"/>
    <col min="7955" max="7955" width="10.6640625" style="1" customWidth="1"/>
    <col min="7956" max="7956" width="15.88671875" style="1" customWidth="1"/>
    <col min="7957" max="7957" width="13" style="1" customWidth="1"/>
    <col min="7958" max="7958" width="14.6640625" style="1" customWidth="1"/>
    <col min="7959" max="8191" width="10.88671875" style="1"/>
    <col min="8192" max="8192" width="5.6640625" style="1" customWidth="1"/>
    <col min="8193" max="8194" width="8.109375" style="1" customWidth="1"/>
    <col min="8195" max="8195" width="9" style="1" customWidth="1"/>
    <col min="8196" max="8196" width="8.6640625" style="1" customWidth="1"/>
    <col min="8197" max="8197" width="18.33203125" style="1" customWidth="1"/>
    <col min="8198" max="8198" width="16.6640625" style="1" customWidth="1"/>
    <col min="8199" max="8199" width="19.6640625" style="1" customWidth="1"/>
    <col min="8200" max="8200" width="27.109375" style="1" customWidth="1"/>
    <col min="8201" max="8201" width="15.109375" style="1" customWidth="1"/>
    <col min="8202" max="8202" width="17.6640625" style="1" customWidth="1"/>
    <col min="8203" max="8203" width="13.6640625" style="1" customWidth="1"/>
    <col min="8204" max="8205" width="14.88671875" style="1" customWidth="1"/>
    <col min="8206" max="8206" width="16.33203125" style="1" customWidth="1"/>
    <col min="8207" max="8207" width="15.33203125" style="1" customWidth="1"/>
    <col min="8208" max="8208" width="14.6640625" style="1" customWidth="1"/>
    <col min="8209" max="8210" width="8.109375" style="1" customWidth="1"/>
    <col min="8211" max="8211" width="10.6640625" style="1" customWidth="1"/>
    <col min="8212" max="8212" width="15.88671875" style="1" customWidth="1"/>
    <col min="8213" max="8213" width="13" style="1" customWidth="1"/>
    <col min="8214" max="8214" width="14.6640625" style="1" customWidth="1"/>
    <col min="8215" max="8447" width="10.88671875" style="1"/>
    <col min="8448" max="8448" width="5.6640625" style="1" customWidth="1"/>
    <col min="8449" max="8450" width="8.109375" style="1" customWidth="1"/>
    <col min="8451" max="8451" width="9" style="1" customWidth="1"/>
    <col min="8452" max="8452" width="8.6640625" style="1" customWidth="1"/>
    <col min="8453" max="8453" width="18.33203125" style="1" customWidth="1"/>
    <col min="8454" max="8454" width="16.6640625" style="1" customWidth="1"/>
    <col min="8455" max="8455" width="19.6640625" style="1" customWidth="1"/>
    <col min="8456" max="8456" width="27.109375" style="1" customWidth="1"/>
    <col min="8457" max="8457" width="15.109375" style="1" customWidth="1"/>
    <col min="8458" max="8458" width="17.6640625" style="1" customWidth="1"/>
    <col min="8459" max="8459" width="13.6640625" style="1" customWidth="1"/>
    <col min="8460" max="8461" width="14.88671875" style="1" customWidth="1"/>
    <col min="8462" max="8462" width="16.33203125" style="1" customWidth="1"/>
    <col min="8463" max="8463" width="15.33203125" style="1" customWidth="1"/>
    <col min="8464" max="8464" width="14.6640625" style="1" customWidth="1"/>
    <col min="8465" max="8466" width="8.109375" style="1" customWidth="1"/>
    <col min="8467" max="8467" width="10.6640625" style="1" customWidth="1"/>
    <col min="8468" max="8468" width="15.88671875" style="1" customWidth="1"/>
    <col min="8469" max="8469" width="13" style="1" customWidth="1"/>
    <col min="8470" max="8470" width="14.6640625" style="1" customWidth="1"/>
    <col min="8471" max="8703" width="10.88671875" style="1"/>
    <col min="8704" max="8704" width="5.6640625" style="1" customWidth="1"/>
    <col min="8705" max="8706" width="8.109375" style="1" customWidth="1"/>
    <col min="8707" max="8707" width="9" style="1" customWidth="1"/>
    <col min="8708" max="8708" width="8.6640625" style="1" customWidth="1"/>
    <col min="8709" max="8709" width="18.33203125" style="1" customWidth="1"/>
    <col min="8710" max="8710" width="16.6640625" style="1" customWidth="1"/>
    <col min="8711" max="8711" width="19.6640625" style="1" customWidth="1"/>
    <col min="8712" max="8712" width="27.109375" style="1" customWidth="1"/>
    <col min="8713" max="8713" width="15.109375" style="1" customWidth="1"/>
    <col min="8714" max="8714" width="17.6640625" style="1" customWidth="1"/>
    <col min="8715" max="8715" width="13.6640625" style="1" customWidth="1"/>
    <col min="8716" max="8717" width="14.88671875" style="1" customWidth="1"/>
    <col min="8718" max="8718" width="16.33203125" style="1" customWidth="1"/>
    <col min="8719" max="8719" width="15.33203125" style="1" customWidth="1"/>
    <col min="8720" max="8720" width="14.6640625" style="1" customWidth="1"/>
    <col min="8721" max="8722" width="8.109375" style="1" customWidth="1"/>
    <col min="8723" max="8723" width="10.6640625" style="1" customWidth="1"/>
    <col min="8724" max="8724" width="15.88671875" style="1" customWidth="1"/>
    <col min="8725" max="8725" width="13" style="1" customWidth="1"/>
    <col min="8726" max="8726" width="14.6640625" style="1" customWidth="1"/>
    <col min="8727" max="8959" width="10.88671875" style="1"/>
    <col min="8960" max="8960" width="5.6640625" style="1" customWidth="1"/>
    <col min="8961" max="8962" width="8.109375" style="1" customWidth="1"/>
    <col min="8963" max="8963" width="9" style="1" customWidth="1"/>
    <col min="8964" max="8964" width="8.6640625" style="1" customWidth="1"/>
    <col min="8965" max="8965" width="18.33203125" style="1" customWidth="1"/>
    <col min="8966" max="8966" width="16.6640625" style="1" customWidth="1"/>
    <col min="8967" max="8967" width="19.6640625" style="1" customWidth="1"/>
    <col min="8968" max="8968" width="27.109375" style="1" customWidth="1"/>
    <col min="8969" max="8969" width="15.109375" style="1" customWidth="1"/>
    <col min="8970" max="8970" width="17.6640625" style="1" customWidth="1"/>
    <col min="8971" max="8971" width="13.6640625" style="1" customWidth="1"/>
    <col min="8972" max="8973" width="14.88671875" style="1" customWidth="1"/>
    <col min="8974" max="8974" width="16.33203125" style="1" customWidth="1"/>
    <col min="8975" max="8975" width="15.33203125" style="1" customWidth="1"/>
    <col min="8976" max="8976" width="14.6640625" style="1" customWidth="1"/>
    <col min="8977" max="8978" width="8.109375" style="1" customWidth="1"/>
    <col min="8979" max="8979" width="10.6640625" style="1" customWidth="1"/>
    <col min="8980" max="8980" width="15.88671875" style="1" customWidth="1"/>
    <col min="8981" max="8981" width="13" style="1" customWidth="1"/>
    <col min="8982" max="8982" width="14.6640625" style="1" customWidth="1"/>
    <col min="8983" max="9215" width="10.88671875" style="1"/>
    <col min="9216" max="9216" width="5.6640625" style="1" customWidth="1"/>
    <col min="9217" max="9218" width="8.109375" style="1" customWidth="1"/>
    <col min="9219" max="9219" width="9" style="1" customWidth="1"/>
    <col min="9220" max="9220" width="8.6640625" style="1" customWidth="1"/>
    <col min="9221" max="9221" width="18.33203125" style="1" customWidth="1"/>
    <col min="9222" max="9222" width="16.6640625" style="1" customWidth="1"/>
    <col min="9223" max="9223" width="19.6640625" style="1" customWidth="1"/>
    <col min="9224" max="9224" width="27.109375" style="1" customWidth="1"/>
    <col min="9225" max="9225" width="15.109375" style="1" customWidth="1"/>
    <col min="9226" max="9226" width="17.6640625" style="1" customWidth="1"/>
    <col min="9227" max="9227" width="13.6640625" style="1" customWidth="1"/>
    <col min="9228" max="9229" width="14.88671875" style="1" customWidth="1"/>
    <col min="9230" max="9230" width="16.33203125" style="1" customWidth="1"/>
    <col min="9231" max="9231" width="15.33203125" style="1" customWidth="1"/>
    <col min="9232" max="9232" width="14.6640625" style="1" customWidth="1"/>
    <col min="9233" max="9234" width="8.109375" style="1" customWidth="1"/>
    <col min="9235" max="9235" width="10.6640625" style="1" customWidth="1"/>
    <col min="9236" max="9236" width="15.88671875" style="1" customWidth="1"/>
    <col min="9237" max="9237" width="13" style="1" customWidth="1"/>
    <col min="9238" max="9238" width="14.6640625" style="1" customWidth="1"/>
    <col min="9239" max="9471" width="10.88671875" style="1"/>
    <col min="9472" max="9472" width="5.6640625" style="1" customWidth="1"/>
    <col min="9473" max="9474" width="8.109375" style="1" customWidth="1"/>
    <col min="9475" max="9475" width="9" style="1" customWidth="1"/>
    <col min="9476" max="9476" width="8.6640625" style="1" customWidth="1"/>
    <col min="9477" max="9477" width="18.33203125" style="1" customWidth="1"/>
    <col min="9478" max="9478" width="16.6640625" style="1" customWidth="1"/>
    <col min="9479" max="9479" width="19.6640625" style="1" customWidth="1"/>
    <col min="9480" max="9480" width="27.109375" style="1" customWidth="1"/>
    <col min="9481" max="9481" width="15.109375" style="1" customWidth="1"/>
    <col min="9482" max="9482" width="17.6640625" style="1" customWidth="1"/>
    <col min="9483" max="9483" width="13.6640625" style="1" customWidth="1"/>
    <col min="9484" max="9485" width="14.88671875" style="1" customWidth="1"/>
    <col min="9486" max="9486" width="16.33203125" style="1" customWidth="1"/>
    <col min="9487" max="9487" width="15.33203125" style="1" customWidth="1"/>
    <col min="9488" max="9488" width="14.6640625" style="1" customWidth="1"/>
    <col min="9489" max="9490" width="8.109375" style="1" customWidth="1"/>
    <col min="9491" max="9491" width="10.6640625" style="1" customWidth="1"/>
    <col min="9492" max="9492" width="15.88671875" style="1" customWidth="1"/>
    <col min="9493" max="9493" width="13" style="1" customWidth="1"/>
    <col min="9494" max="9494" width="14.6640625" style="1" customWidth="1"/>
    <col min="9495" max="9727" width="10.88671875" style="1"/>
    <col min="9728" max="9728" width="5.6640625" style="1" customWidth="1"/>
    <col min="9729" max="9730" width="8.109375" style="1" customWidth="1"/>
    <col min="9731" max="9731" width="9" style="1" customWidth="1"/>
    <col min="9732" max="9732" width="8.6640625" style="1" customWidth="1"/>
    <col min="9733" max="9733" width="18.33203125" style="1" customWidth="1"/>
    <col min="9734" max="9734" width="16.6640625" style="1" customWidth="1"/>
    <col min="9735" max="9735" width="19.6640625" style="1" customWidth="1"/>
    <col min="9736" max="9736" width="27.109375" style="1" customWidth="1"/>
    <col min="9737" max="9737" width="15.109375" style="1" customWidth="1"/>
    <col min="9738" max="9738" width="17.6640625" style="1" customWidth="1"/>
    <col min="9739" max="9739" width="13.6640625" style="1" customWidth="1"/>
    <col min="9740" max="9741" width="14.88671875" style="1" customWidth="1"/>
    <col min="9742" max="9742" width="16.33203125" style="1" customWidth="1"/>
    <col min="9743" max="9743" width="15.33203125" style="1" customWidth="1"/>
    <col min="9744" max="9744" width="14.6640625" style="1" customWidth="1"/>
    <col min="9745" max="9746" width="8.109375" style="1" customWidth="1"/>
    <col min="9747" max="9747" width="10.6640625" style="1" customWidth="1"/>
    <col min="9748" max="9748" width="15.88671875" style="1" customWidth="1"/>
    <col min="9749" max="9749" width="13" style="1" customWidth="1"/>
    <col min="9750" max="9750" width="14.6640625" style="1" customWidth="1"/>
    <col min="9751" max="9983" width="10.88671875" style="1"/>
    <col min="9984" max="9984" width="5.6640625" style="1" customWidth="1"/>
    <col min="9985" max="9986" width="8.109375" style="1" customWidth="1"/>
    <col min="9987" max="9987" width="9" style="1" customWidth="1"/>
    <col min="9988" max="9988" width="8.6640625" style="1" customWidth="1"/>
    <col min="9989" max="9989" width="18.33203125" style="1" customWidth="1"/>
    <col min="9990" max="9990" width="16.6640625" style="1" customWidth="1"/>
    <col min="9991" max="9991" width="19.6640625" style="1" customWidth="1"/>
    <col min="9992" max="9992" width="27.109375" style="1" customWidth="1"/>
    <col min="9993" max="9993" width="15.109375" style="1" customWidth="1"/>
    <col min="9994" max="9994" width="17.6640625" style="1" customWidth="1"/>
    <col min="9995" max="9995" width="13.6640625" style="1" customWidth="1"/>
    <col min="9996" max="9997" width="14.88671875" style="1" customWidth="1"/>
    <col min="9998" max="9998" width="16.33203125" style="1" customWidth="1"/>
    <col min="9999" max="9999" width="15.33203125" style="1" customWidth="1"/>
    <col min="10000" max="10000" width="14.6640625" style="1" customWidth="1"/>
    <col min="10001" max="10002" width="8.109375" style="1" customWidth="1"/>
    <col min="10003" max="10003" width="10.6640625" style="1" customWidth="1"/>
    <col min="10004" max="10004" width="15.88671875" style="1" customWidth="1"/>
    <col min="10005" max="10005" width="13" style="1" customWidth="1"/>
    <col min="10006" max="10006" width="14.6640625" style="1" customWidth="1"/>
    <col min="10007" max="10239" width="10.88671875" style="1"/>
    <col min="10240" max="10240" width="5.6640625" style="1" customWidth="1"/>
    <col min="10241" max="10242" width="8.109375" style="1" customWidth="1"/>
    <col min="10243" max="10243" width="9" style="1" customWidth="1"/>
    <col min="10244" max="10244" width="8.6640625" style="1" customWidth="1"/>
    <col min="10245" max="10245" width="18.33203125" style="1" customWidth="1"/>
    <col min="10246" max="10246" width="16.6640625" style="1" customWidth="1"/>
    <col min="10247" max="10247" width="19.6640625" style="1" customWidth="1"/>
    <col min="10248" max="10248" width="27.109375" style="1" customWidth="1"/>
    <col min="10249" max="10249" width="15.109375" style="1" customWidth="1"/>
    <col min="10250" max="10250" width="17.6640625" style="1" customWidth="1"/>
    <col min="10251" max="10251" width="13.6640625" style="1" customWidth="1"/>
    <col min="10252" max="10253" width="14.88671875" style="1" customWidth="1"/>
    <col min="10254" max="10254" width="16.33203125" style="1" customWidth="1"/>
    <col min="10255" max="10255" width="15.33203125" style="1" customWidth="1"/>
    <col min="10256" max="10256" width="14.6640625" style="1" customWidth="1"/>
    <col min="10257" max="10258" width="8.109375" style="1" customWidth="1"/>
    <col min="10259" max="10259" width="10.6640625" style="1" customWidth="1"/>
    <col min="10260" max="10260" width="15.88671875" style="1" customWidth="1"/>
    <col min="10261" max="10261" width="13" style="1" customWidth="1"/>
    <col min="10262" max="10262" width="14.6640625" style="1" customWidth="1"/>
    <col min="10263" max="10495" width="10.88671875" style="1"/>
    <col min="10496" max="10496" width="5.6640625" style="1" customWidth="1"/>
    <col min="10497" max="10498" width="8.109375" style="1" customWidth="1"/>
    <col min="10499" max="10499" width="9" style="1" customWidth="1"/>
    <col min="10500" max="10500" width="8.6640625" style="1" customWidth="1"/>
    <col min="10501" max="10501" width="18.33203125" style="1" customWidth="1"/>
    <col min="10502" max="10502" width="16.6640625" style="1" customWidth="1"/>
    <col min="10503" max="10503" width="19.6640625" style="1" customWidth="1"/>
    <col min="10504" max="10504" width="27.109375" style="1" customWidth="1"/>
    <col min="10505" max="10505" width="15.109375" style="1" customWidth="1"/>
    <col min="10506" max="10506" width="17.6640625" style="1" customWidth="1"/>
    <col min="10507" max="10507" width="13.6640625" style="1" customWidth="1"/>
    <col min="10508" max="10509" width="14.88671875" style="1" customWidth="1"/>
    <col min="10510" max="10510" width="16.33203125" style="1" customWidth="1"/>
    <col min="10511" max="10511" width="15.33203125" style="1" customWidth="1"/>
    <col min="10512" max="10512" width="14.6640625" style="1" customWidth="1"/>
    <col min="10513" max="10514" width="8.109375" style="1" customWidth="1"/>
    <col min="10515" max="10515" width="10.6640625" style="1" customWidth="1"/>
    <col min="10516" max="10516" width="15.88671875" style="1" customWidth="1"/>
    <col min="10517" max="10517" width="13" style="1" customWidth="1"/>
    <col min="10518" max="10518" width="14.6640625" style="1" customWidth="1"/>
    <col min="10519" max="10751" width="10.88671875" style="1"/>
    <col min="10752" max="10752" width="5.6640625" style="1" customWidth="1"/>
    <col min="10753" max="10754" width="8.109375" style="1" customWidth="1"/>
    <col min="10755" max="10755" width="9" style="1" customWidth="1"/>
    <col min="10756" max="10756" width="8.6640625" style="1" customWidth="1"/>
    <col min="10757" max="10757" width="18.33203125" style="1" customWidth="1"/>
    <col min="10758" max="10758" width="16.6640625" style="1" customWidth="1"/>
    <col min="10759" max="10759" width="19.6640625" style="1" customWidth="1"/>
    <col min="10760" max="10760" width="27.109375" style="1" customWidth="1"/>
    <col min="10761" max="10761" width="15.109375" style="1" customWidth="1"/>
    <col min="10762" max="10762" width="17.6640625" style="1" customWidth="1"/>
    <col min="10763" max="10763" width="13.6640625" style="1" customWidth="1"/>
    <col min="10764" max="10765" width="14.88671875" style="1" customWidth="1"/>
    <col min="10766" max="10766" width="16.33203125" style="1" customWidth="1"/>
    <col min="10767" max="10767" width="15.33203125" style="1" customWidth="1"/>
    <col min="10768" max="10768" width="14.6640625" style="1" customWidth="1"/>
    <col min="10769" max="10770" width="8.109375" style="1" customWidth="1"/>
    <col min="10771" max="10771" width="10.6640625" style="1" customWidth="1"/>
    <col min="10772" max="10772" width="15.88671875" style="1" customWidth="1"/>
    <col min="10773" max="10773" width="13" style="1" customWidth="1"/>
    <col min="10774" max="10774" width="14.6640625" style="1" customWidth="1"/>
    <col min="10775" max="11007" width="10.88671875" style="1"/>
    <col min="11008" max="11008" width="5.6640625" style="1" customWidth="1"/>
    <col min="11009" max="11010" width="8.109375" style="1" customWidth="1"/>
    <col min="11011" max="11011" width="9" style="1" customWidth="1"/>
    <col min="11012" max="11012" width="8.6640625" style="1" customWidth="1"/>
    <col min="11013" max="11013" width="18.33203125" style="1" customWidth="1"/>
    <col min="11014" max="11014" width="16.6640625" style="1" customWidth="1"/>
    <col min="11015" max="11015" width="19.6640625" style="1" customWidth="1"/>
    <col min="11016" max="11016" width="27.109375" style="1" customWidth="1"/>
    <col min="11017" max="11017" width="15.109375" style="1" customWidth="1"/>
    <col min="11018" max="11018" width="17.6640625" style="1" customWidth="1"/>
    <col min="11019" max="11019" width="13.6640625" style="1" customWidth="1"/>
    <col min="11020" max="11021" width="14.88671875" style="1" customWidth="1"/>
    <col min="11022" max="11022" width="16.33203125" style="1" customWidth="1"/>
    <col min="11023" max="11023" width="15.33203125" style="1" customWidth="1"/>
    <col min="11024" max="11024" width="14.6640625" style="1" customWidth="1"/>
    <col min="11025" max="11026" width="8.109375" style="1" customWidth="1"/>
    <col min="11027" max="11027" width="10.6640625" style="1" customWidth="1"/>
    <col min="11028" max="11028" width="15.88671875" style="1" customWidth="1"/>
    <col min="11029" max="11029" width="13" style="1" customWidth="1"/>
    <col min="11030" max="11030" width="14.6640625" style="1" customWidth="1"/>
    <col min="11031" max="11263" width="10.88671875" style="1"/>
    <col min="11264" max="11264" width="5.6640625" style="1" customWidth="1"/>
    <col min="11265" max="11266" width="8.109375" style="1" customWidth="1"/>
    <col min="11267" max="11267" width="9" style="1" customWidth="1"/>
    <col min="11268" max="11268" width="8.6640625" style="1" customWidth="1"/>
    <col min="11269" max="11269" width="18.33203125" style="1" customWidth="1"/>
    <col min="11270" max="11270" width="16.6640625" style="1" customWidth="1"/>
    <col min="11271" max="11271" width="19.6640625" style="1" customWidth="1"/>
    <col min="11272" max="11272" width="27.109375" style="1" customWidth="1"/>
    <col min="11273" max="11273" width="15.109375" style="1" customWidth="1"/>
    <col min="11274" max="11274" width="17.6640625" style="1" customWidth="1"/>
    <col min="11275" max="11275" width="13.6640625" style="1" customWidth="1"/>
    <col min="11276" max="11277" width="14.88671875" style="1" customWidth="1"/>
    <col min="11278" max="11278" width="16.33203125" style="1" customWidth="1"/>
    <col min="11279" max="11279" width="15.33203125" style="1" customWidth="1"/>
    <col min="11280" max="11280" width="14.6640625" style="1" customWidth="1"/>
    <col min="11281" max="11282" width="8.109375" style="1" customWidth="1"/>
    <col min="11283" max="11283" width="10.6640625" style="1" customWidth="1"/>
    <col min="11284" max="11284" width="15.88671875" style="1" customWidth="1"/>
    <col min="11285" max="11285" width="13" style="1" customWidth="1"/>
    <col min="11286" max="11286" width="14.6640625" style="1" customWidth="1"/>
    <col min="11287" max="11519" width="10.88671875" style="1"/>
    <col min="11520" max="11520" width="5.6640625" style="1" customWidth="1"/>
    <col min="11521" max="11522" width="8.109375" style="1" customWidth="1"/>
    <col min="11523" max="11523" width="9" style="1" customWidth="1"/>
    <col min="11524" max="11524" width="8.6640625" style="1" customWidth="1"/>
    <col min="11525" max="11525" width="18.33203125" style="1" customWidth="1"/>
    <col min="11526" max="11526" width="16.6640625" style="1" customWidth="1"/>
    <col min="11527" max="11527" width="19.6640625" style="1" customWidth="1"/>
    <col min="11528" max="11528" width="27.109375" style="1" customWidth="1"/>
    <col min="11529" max="11529" width="15.109375" style="1" customWidth="1"/>
    <col min="11530" max="11530" width="17.6640625" style="1" customWidth="1"/>
    <col min="11531" max="11531" width="13.6640625" style="1" customWidth="1"/>
    <col min="11532" max="11533" width="14.88671875" style="1" customWidth="1"/>
    <col min="11534" max="11534" width="16.33203125" style="1" customWidth="1"/>
    <col min="11535" max="11535" width="15.33203125" style="1" customWidth="1"/>
    <col min="11536" max="11536" width="14.6640625" style="1" customWidth="1"/>
    <col min="11537" max="11538" width="8.109375" style="1" customWidth="1"/>
    <col min="11539" max="11539" width="10.6640625" style="1" customWidth="1"/>
    <col min="11540" max="11540" width="15.88671875" style="1" customWidth="1"/>
    <col min="11541" max="11541" width="13" style="1" customWidth="1"/>
    <col min="11542" max="11542" width="14.6640625" style="1" customWidth="1"/>
    <col min="11543" max="11775" width="10.88671875" style="1"/>
    <col min="11776" max="11776" width="5.6640625" style="1" customWidth="1"/>
    <col min="11777" max="11778" width="8.109375" style="1" customWidth="1"/>
    <col min="11779" max="11779" width="9" style="1" customWidth="1"/>
    <col min="11780" max="11780" width="8.6640625" style="1" customWidth="1"/>
    <col min="11781" max="11781" width="18.33203125" style="1" customWidth="1"/>
    <col min="11782" max="11782" width="16.6640625" style="1" customWidth="1"/>
    <col min="11783" max="11783" width="19.6640625" style="1" customWidth="1"/>
    <col min="11784" max="11784" width="27.109375" style="1" customWidth="1"/>
    <col min="11785" max="11785" width="15.109375" style="1" customWidth="1"/>
    <col min="11786" max="11786" width="17.6640625" style="1" customWidth="1"/>
    <col min="11787" max="11787" width="13.6640625" style="1" customWidth="1"/>
    <col min="11788" max="11789" width="14.88671875" style="1" customWidth="1"/>
    <col min="11790" max="11790" width="16.33203125" style="1" customWidth="1"/>
    <col min="11791" max="11791" width="15.33203125" style="1" customWidth="1"/>
    <col min="11792" max="11792" width="14.6640625" style="1" customWidth="1"/>
    <col min="11793" max="11794" width="8.109375" style="1" customWidth="1"/>
    <col min="11795" max="11795" width="10.6640625" style="1" customWidth="1"/>
    <col min="11796" max="11796" width="15.88671875" style="1" customWidth="1"/>
    <col min="11797" max="11797" width="13" style="1" customWidth="1"/>
    <col min="11798" max="11798" width="14.6640625" style="1" customWidth="1"/>
    <col min="11799" max="12031" width="10.88671875" style="1"/>
    <col min="12032" max="12032" width="5.6640625" style="1" customWidth="1"/>
    <col min="12033" max="12034" width="8.109375" style="1" customWidth="1"/>
    <col min="12035" max="12035" width="9" style="1" customWidth="1"/>
    <col min="12036" max="12036" width="8.6640625" style="1" customWidth="1"/>
    <col min="12037" max="12037" width="18.33203125" style="1" customWidth="1"/>
    <col min="12038" max="12038" width="16.6640625" style="1" customWidth="1"/>
    <col min="12039" max="12039" width="19.6640625" style="1" customWidth="1"/>
    <col min="12040" max="12040" width="27.109375" style="1" customWidth="1"/>
    <col min="12041" max="12041" width="15.109375" style="1" customWidth="1"/>
    <col min="12042" max="12042" width="17.6640625" style="1" customWidth="1"/>
    <col min="12043" max="12043" width="13.6640625" style="1" customWidth="1"/>
    <col min="12044" max="12045" width="14.88671875" style="1" customWidth="1"/>
    <col min="12046" max="12046" width="16.33203125" style="1" customWidth="1"/>
    <col min="12047" max="12047" width="15.33203125" style="1" customWidth="1"/>
    <col min="12048" max="12048" width="14.6640625" style="1" customWidth="1"/>
    <col min="12049" max="12050" width="8.109375" style="1" customWidth="1"/>
    <col min="12051" max="12051" width="10.6640625" style="1" customWidth="1"/>
    <col min="12052" max="12052" width="15.88671875" style="1" customWidth="1"/>
    <col min="12053" max="12053" width="13" style="1" customWidth="1"/>
    <col min="12054" max="12054" width="14.6640625" style="1" customWidth="1"/>
    <col min="12055" max="12287" width="10.88671875" style="1"/>
    <col min="12288" max="12288" width="5.6640625" style="1" customWidth="1"/>
    <col min="12289" max="12290" width="8.109375" style="1" customWidth="1"/>
    <col min="12291" max="12291" width="9" style="1" customWidth="1"/>
    <col min="12292" max="12292" width="8.6640625" style="1" customWidth="1"/>
    <col min="12293" max="12293" width="18.33203125" style="1" customWidth="1"/>
    <col min="12294" max="12294" width="16.6640625" style="1" customWidth="1"/>
    <col min="12295" max="12295" width="19.6640625" style="1" customWidth="1"/>
    <col min="12296" max="12296" width="27.109375" style="1" customWidth="1"/>
    <col min="12297" max="12297" width="15.109375" style="1" customWidth="1"/>
    <col min="12298" max="12298" width="17.6640625" style="1" customWidth="1"/>
    <col min="12299" max="12299" width="13.6640625" style="1" customWidth="1"/>
    <col min="12300" max="12301" width="14.88671875" style="1" customWidth="1"/>
    <col min="12302" max="12302" width="16.33203125" style="1" customWidth="1"/>
    <col min="12303" max="12303" width="15.33203125" style="1" customWidth="1"/>
    <col min="12304" max="12304" width="14.6640625" style="1" customWidth="1"/>
    <col min="12305" max="12306" width="8.109375" style="1" customWidth="1"/>
    <col min="12307" max="12307" width="10.6640625" style="1" customWidth="1"/>
    <col min="12308" max="12308" width="15.88671875" style="1" customWidth="1"/>
    <col min="12309" max="12309" width="13" style="1" customWidth="1"/>
    <col min="12310" max="12310" width="14.6640625" style="1" customWidth="1"/>
    <col min="12311" max="12543" width="10.88671875" style="1"/>
    <col min="12544" max="12544" width="5.6640625" style="1" customWidth="1"/>
    <col min="12545" max="12546" width="8.109375" style="1" customWidth="1"/>
    <col min="12547" max="12547" width="9" style="1" customWidth="1"/>
    <col min="12548" max="12548" width="8.6640625" style="1" customWidth="1"/>
    <col min="12549" max="12549" width="18.33203125" style="1" customWidth="1"/>
    <col min="12550" max="12550" width="16.6640625" style="1" customWidth="1"/>
    <col min="12551" max="12551" width="19.6640625" style="1" customWidth="1"/>
    <col min="12552" max="12552" width="27.109375" style="1" customWidth="1"/>
    <col min="12553" max="12553" width="15.109375" style="1" customWidth="1"/>
    <col min="12554" max="12554" width="17.6640625" style="1" customWidth="1"/>
    <col min="12555" max="12555" width="13.6640625" style="1" customWidth="1"/>
    <col min="12556" max="12557" width="14.88671875" style="1" customWidth="1"/>
    <col min="12558" max="12558" width="16.33203125" style="1" customWidth="1"/>
    <col min="12559" max="12559" width="15.33203125" style="1" customWidth="1"/>
    <col min="12560" max="12560" width="14.6640625" style="1" customWidth="1"/>
    <col min="12561" max="12562" width="8.109375" style="1" customWidth="1"/>
    <col min="12563" max="12563" width="10.6640625" style="1" customWidth="1"/>
    <col min="12564" max="12564" width="15.88671875" style="1" customWidth="1"/>
    <col min="12565" max="12565" width="13" style="1" customWidth="1"/>
    <col min="12566" max="12566" width="14.6640625" style="1" customWidth="1"/>
    <col min="12567" max="12799" width="10.88671875" style="1"/>
    <col min="12800" max="12800" width="5.6640625" style="1" customWidth="1"/>
    <col min="12801" max="12802" width="8.109375" style="1" customWidth="1"/>
    <col min="12803" max="12803" width="9" style="1" customWidth="1"/>
    <col min="12804" max="12804" width="8.6640625" style="1" customWidth="1"/>
    <col min="12805" max="12805" width="18.33203125" style="1" customWidth="1"/>
    <col min="12806" max="12806" width="16.6640625" style="1" customWidth="1"/>
    <col min="12807" max="12807" width="19.6640625" style="1" customWidth="1"/>
    <col min="12808" max="12808" width="27.109375" style="1" customWidth="1"/>
    <col min="12809" max="12809" width="15.109375" style="1" customWidth="1"/>
    <col min="12810" max="12810" width="17.6640625" style="1" customWidth="1"/>
    <col min="12811" max="12811" width="13.6640625" style="1" customWidth="1"/>
    <col min="12812" max="12813" width="14.88671875" style="1" customWidth="1"/>
    <col min="12814" max="12814" width="16.33203125" style="1" customWidth="1"/>
    <col min="12815" max="12815" width="15.33203125" style="1" customWidth="1"/>
    <col min="12816" max="12816" width="14.6640625" style="1" customWidth="1"/>
    <col min="12817" max="12818" width="8.109375" style="1" customWidth="1"/>
    <col min="12819" max="12819" width="10.6640625" style="1" customWidth="1"/>
    <col min="12820" max="12820" width="15.88671875" style="1" customWidth="1"/>
    <col min="12821" max="12821" width="13" style="1" customWidth="1"/>
    <col min="12822" max="12822" width="14.6640625" style="1" customWidth="1"/>
    <col min="12823" max="13055" width="10.88671875" style="1"/>
    <col min="13056" max="13056" width="5.6640625" style="1" customWidth="1"/>
    <col min="13057" max="13058" width="8.109375" style="1" customWidth="1"/>
    <col min="13059" max="13059" width="9" style="1" customWidth="1"/>
    <col min="13060" max="13060" width="8.6640625" style="1" customWidth="1"/>
    <col min="13061" max="13061" width="18.33203125" style="1" customWidth="1"/>
    <col min="13062" max="13062" width="16.6640625" style="1" customWidth="1"/>
    <col min="13063" max="13063" width="19.6640625" style="1" customWidth="1"/>
    <col min="13064" max="13064" width="27.109375" style="1" customWidth="1"/>
    <col min="13065" max="13065" width="15.109375" style="1" customWidth="1"/>
    <col min="13066" max="13066" width="17.6640625" style="1" customWidth="1"/>
    <col min="13067" max="13067" width="13.6640625" style="1" customWidth="1"/>
    <col min="13068" max="13069" width="14.88671875" style="1" customWidth="1"/>
    <col min="13070" max="13070" width="16.33203125" style="1" customWidth="1"/>
    <col min="13071" max="13071" width="15.33203125" style="1" customWidth="1"/>
    <col min="13072" max="13072" width="14.6640625" style="1" customWidth="1"/>
    <col min="13073" max="13074" width="8.109375" style="1" customWidth="1"/>
    <col min="13075" max="13075" width="10.6640625" style="1" customWidth="1"/>
    <col min="13076" max="13076" width="15.88671875" style="1" customWidth="1"/>
    <col min="13077" max="13077" width="13" style="1" customWidth="1"/>
    <col min="13078" max="13078" width="14.6640625" style="1" customWidth="1"/>
    <col min="13079" max="13311" width="10.88671875" style="1"/>
    <col min="13312" max="13312" width="5.6640625" style="1" customWidth="1"/>
    <col min="13313" max="13314" width="8.109375" style="1" customWidth="1"/>
    <col min="13315" max="13315" width="9" style="1" customWidth="1"/>
    <col min="13316" max="13316" width="8.6640625" style="1" customWidth="1"/>
    <col min="13317" max="13317" width="18.33203125" style="1" customWidth="1"/>
    <col min="13318" max="13318" width="16.6640625" style="1" customWidth="1"/>
    <col min="13319" max="13319" width="19.6640625" style="1" customWidth="1"/>
    <col min="13320" max="13320" width="27.109375" style="1" customWidth="1"/>
    <col min="13321" max="13321" width="15.109375" style="1" customWidth="1"/>
    <col min="13322" max="13322" width="17.6640625" style="1" customWidth="1"/>
    <col min="13323" max="13323" width="13.6640625" style="1" customWidth="1"/>
    <col min="13324" max="13325" width="14.88671875" style="1" customWidth="1"/>
    <col min="13326" max="13326" width="16.33203125" style="1" customWidth="1"/>
    <col min="13327" max="13327" width="15.33203125" style="1" customWidth="1"/>
    <col min="13328" max="13328" width="14.6640625" style="1" customWidth="1"/>
    <col min="13329" max="13330" width="8.109375" style="1" customWidth="1"/>
    <col min="13331" max="13331" width="10.6640625" style="1" customWidth="1"/>
    <col min="13332" max="13332" width="15.88671875" style="1" customWidth="1"/>
    <col min="13333" max="13333" width="13" style="1" customWidth="1"/>
    <col min="13334" max="13334" width="14.6640625" style="1" customWidth="1"/>
    <col min="13335" max="13567" width="10.88671875" style="1"/>
    <col min="13568" max="13568" width="5.6640625" style="1" customWidth="1"/>
    <col min="13569" max="13570" width="8.109375" style="1" customWidth="1"/>
    <col min="13571" max="13571" width="9" style="1" customWidth="1"/>
    <col min="13572" max="13572" width="8.6640625" style="1" customWidth="1"/>
    <col min="13573" max="13573" width="18.33203125" style="1" customWidth="1"/>
    <col min="13574" max="13574" width="16.6640625" style="1" customWidth="1"/>
    <col min="13575" max="13575" width="19.6640625" style="1" customWidth="1"/>
    <col min="13576" max="13576" width="27.109375" style="1" customWidth="1"/>
    <col min="13577" max="13577" width="15.109375" style="1" customWidth="1"/>
    <col min="13578" max="13578" width="17.6640625" style="1" customWidth="1"/>
    <col min="13579" max="13579" width="13.6640625" style="1" customWidth="1"/>
    <col min="13580" max="13581" width="14.88671875" style="1" customWidth="1"/>
    <col min="13582" max="13582" width="16.33203125" style="1" customWidth="1"/>
    <col min="13583" max="13583" width="15.33203125" style="1" customWidth="1"/>
    <col min="13584" max="13584" width="14.6640625" style="1" customWidth="1"/>
    <col min="13585" max="13586" width="8.109375" style="1" customWidth="1"/>
    <col min="13587" max="13587" width="10.6640625" style="1" customWidth="1"/>
    <col min="13588" max="13588" width="15.88671875" style="1" customWidth="1"/>
    <col min="13589" max="13589" width="13" style="1" customWidth="1"/>
    <col min="13590" max="13590" width="14.6640625" style="1" customWidth="1"/>
    <col min="13591" max="13823" width="10.88671875" style="1"/>
    <col min="13824" max="13824" width="5.6640625" style="1" customWidth="1"/>
    <col min="13825" max="13826" width="8.109375" style="1" customWidth="1"/>
    <col min="13827" max="13827" width="9" style="1" customWidth="1"/>
    <col min="13828" max="13828" width="8.6640625" style="1" customWidth="1"/>
    <col min="13829" max="13829" width="18.33203125" style="1" customWidth="1"/>
    <col min="13830" max="13830" width="16.6640625" style="1" customWidth="1"/>
    <col min="13831" max="13831" width="19.6640625" style="1" customWidth="1"/>
    <col min="13832" max="13832" width="27.109375" style="1" customWidth="1"/>
    <col min="13833" max="13833" width="15.109375" style="1" customWidth="1"/>
    <col min="13834" max="13834" width="17.6640625" style="1" customWidth="1"/>
    <col min="13835" max="13835" width="13.6640625" style="1" customWidth="1"/>
    <col min="13836" max="13837" width="14.88671875" style="1" customWidth="1"/>
    <col min="13838" max="13838" width="16.33203125" style="1" customWidth="1"/>
    <col min="13839" max="13839" width="15.33203125" style="1" customWidth="1"/>
    <col min="13840" max="13840" width="14.6640625" style="1" customWidth="1"/>
    <col min="13841" max="13842" width="8.109375" style="1" customWidth="1"/>
    <col min="13843" max="13843" width="10.6640625" style="1" customWidth="1"/>
    <col min="13844" max="13844" width="15.88671875" style="1" customWidth="1"/>
    <col min="13845" max="13845" width="13" style="1" customWidth="1"/>
    <col min="13846" max="13846" width="14.6640625" style="1" customWidth="1"/>
    <col min="13847" max="14079" width="10.88671875" style="1"/>
    <col min="14080" max="14080" width="5.6640625" style="1" customWidth="1"/>
    <col min="14081" max="14082" width="8.109375" style="1" customWidth="1"/>
    <col min="14083" max="14083" width="9" style="1" customWidth="1"/>
    <col min="14084" max="14084" width="8.6640625" style="1" customWidth="1"/>
    <col min="14085" max="14085" width="18.33203125" style="1" customWidth="1"/>
    <col min="14086" max="14086" width="16.6640625" style="1" customWidth="1"/>
    <col min="14087" max="14087" width="19.6640625" style="1" customWidth="1"/>
    <col min="14088" max="14088" width="27.109375" style="1" customWidth="1"/>
    <col min="14089" max="14089" width="15.109375" style="1" customWidth="1"/>
    <col min="14090" max="14090" width="17.6640625" style="1" customWidth="1"/>
    <col min="14091" max="14091" width="13.6640625" style="1" customWidth="1"/>
    <col min="14092" max="14093" width="14.88671875" style="1" customWidth="1"/>
    <col min="14094" max="14094" width="16.33203125" style="1" customWidth="1"/>
    <col min="14095" max="14095" width="15.33203125" style="1" customWidth="1"/>
    <col min="14096" max="14096" width="14.6640625" style="1" customWidth="1"/>
    <col min="14097" max="14098" width="8.109375" style="1" customWidth="1"/>
    <col min="14099" max="14099" width="10.6640625" style="1" customWidth="1"/>
    <col min="14100" max="14100" width="15.88671875" style="1" customWidth="1"/>
    <col min="14101" max="14101" width="13" style="1" customWidth="1"/>
    <col min="14102" max="14102" width="14.6640625" style="1" customWidth="1"/>
    <col min="14103" max="14335" width="10.88671875" style="1"/>
    <col min="14336" max="14336" width="5.6640625" style="1" customWidth="1"/>
    <col min="14337" max="14338" width="8.109375" style="1" customWidth="1"/>
    <col min="14339" max="14339" width="9" style="1" customWidth="1"/>
    <col min="14340" max="14340" width="8.6640625" style="1" customWidth="1"/>
    <col min="14341" max="14341" width="18.33203125" style="1" customWidth="1"/>
    <col min="14342" max="14342" width="16.6640625" style="1" customWidth="1"/>
    <col min="14343" max="14343" width="19.6640625" style="1" customWidth="1"/>
    <col min="14344" max="14344" width="27.109375" style="1" customWidth="1"/>
    <col min="14345" max="14345" width="15.109375" style="1" customWidth="1"/>
    <col min="14346" max="14346" width="17.6640625" style="1" customWidth="1"/>
    <col min="14347" max="14347" width="13.6640625" style="1" customWidth="1"/>
    <col min="14348" max="14349" width="14.88671875" style="1" customWidth="1"/>
    <col min="14350" max="14350" width="16.33203125" style="1" customWidth="1"/>
    <col min="14351" max="14351" width="15.33203125" style="1" customWidth="1"/>
    <col min="14352" max="14352" width="14.6640625" style="1" customWidth="1"/>
    <col min="14353" max="14354" width="8.109375" style="1" customWidth="1"/>
    <col min="14355" max="14355" width="10.6640625" style="1" customWidth="1"/>
    <col min="14356" max="14356" width="15.88671875" style="1" customWidth="1"/>
    <col min="14357" max="14357" width="13" style="1" customWidth="1"/>
    <col min="14358" max="14358" width="14.6640625" style="1" customWidth="1"/>
    <col min="14359" max="14591" width="10.88671875" style="1"/>
    <col min="14592" max="14592" width="5.6640625" style="1" customWidth="1"/>
    <col min="14593" max="14594" width="8.109375" style="1" customWidth="1"/>
    <col min="14595" max="14595" width="9" style="1" customWidth="1"/>
    <col min="14596" max="14596" width="8.6640625" style="1" customWidth="1"/>
    <col min="14597" max="14597" width="18.33203125" style="1" customWidth="1"/>
    <col min="14598" max="14598" width="16.6640625" style="1" customWidth="1"/>
    <col min="14599" max="14599" width="19.6640625" style="1" customWidth="1"/>
    <col min="14600" max="14600" width="27.109375" style="1" customWidth="1"/>
    <col min="14601" max="14601" width="15.109375" style="1" customWidth="1"/>
    <col min="14602" max="14602" width="17.6640625" style="1" customWidth="1"/>
    <col min="14603" max="14603" width="13.6640625" style="1" customWidth="1"/>
    <col min="14604" max="14605" width="14.88671875" style="1" customWidth="1"/>
    <col min="14606" max="14606" width="16.33203125" style="1" customWidth="1"/>
    <col min="14607" max="14607" width="15.33203125" style="1" customWidth="1"/>
    <col min="14608" max="14608" width="14.6640625" style="1" customWidth="1"/>
    <col min="14609" max="14610" width="8.109375" style="1" customWidth="1"/>
    <col min="14611" max="14611" width="10.6640625" style="1" customWidth="1"/>
    <col min="14612" max="14612" width="15.88671875" style="1" customWidth="1"/>
    <col min="14613" max="14613" width="13" style="1" customWidth="1"/>
    <col min="14614" max="14614" width="14.6640625" style="1" customWidth="1"/>
    <col min="14615" max="14847" width="10.88671875" style="1"/>
    <col min="14848" max="14848" width="5.6640625" style="1" customWidth="1"/>
    <col min="14849" max="14850" width="8.109375" style="1" customWidth="1"/>
    <col min="14851" max="14851" width="9" style="1" customWidth="1"/>
    <col min="14852" max="14852" width="8.6640625" style="1" customWidth="1"/>
    <col min="14853" max="14853" width="18.33203125" style="1" customWidth="1"/>
    <col min="14854" max="14854" width="16.6640625" style="1" customWidth="1"/>
    <col min="14855" max="14855" width="19.6640625" style="1" customWidth="1"/>
    <col min="14856" max="14856" width="27.109375" style="1" customWidth="1"/>
    <col min="14857" max="14857" width="15.109375" style="1" customWidth="1"/>
    <col min="14858" max="14858" width="17.6640625" style="1" customWidth="1"/>
    <col min="14859" max="14859" width="13.6640625" style="1" customWidth="1"/>
    <col min="14860" max="14861" width="14.88671875" style="1" customWidth="1"/>
    <col min="14862" max="14862" width="16.33203125" style="1" customWidth="1"/>
    <col min="14863" max="14863" width="15.33203125" style="1" customWidth="1"/>
    <col min="14864" max="14864" width="14.6640625" style="1" customWidth="1"/>
    <col min="14865" max="14866" width="8.109375" style="1" customWidth="1"/>
    <col min="14867" max="14867" width="10.6640625" style="1" customWidth="1"/>
    <col min="14868" max="14868" width="15.88671875" style="1" customWidth="1"/>
    <col min="14869" max="14869" width="13" style="1" customWidth="1"/>
    <col min="14870" max="14870" width="14.6640625" style="1" customWidth="1"/>
    <col min="14871" max="15103" width="10.88671875" style="1"/>
    <col min="15104" max="15104" width="5.6640625" style="1" customWidth="1"/>
    <col min="15105" max="15106" width="8.109375" style="1" customWidth="1"/>
    <col min="15107" max="15107" width="9" style="1" customWidth="1"/>
    <col min="15108" max="15108" width="8.6640625" style="1" customWidth="1"/>
    <col min="15109" max="15109" width="18.33203125" style="1" customWidth="1"/>
    <col min="15110" max="15110" width="16.6640625" style="1" customWidth="1"/>
    <col min="15111" max="15111" width="19.6640625" style="1" customWidth="1"/>
    <col min="15112" max="15112" width="27.109375" style="1" customWidth="1"/>
    <col min="15113" max="15113" width="15.109375" style="1" customWidth="1"/>
    <col min="15114" max="15114" width="17.6640625" style="1" customWidth="1"/>
    <col min="15115" max="15115" width="13.6640625" style="1" customWidth="1"/>
    <col min="15116" max="15117" width="14.88671875" style="1" customWidth="1"/>
    <col min="15118" max="15118" width="16.33203125" style="1" customWidth="1"/>
    <col min="15119" max="15119" width="15.33203125" style="1" customWidth="1"/>
    <col min="15120" max="15120" width="14.6640625" style="1" customWidth="1"/>
    <col min="15121" max="15122" width="8.109375" style="1" customWidth="1"/>
    <col min="15123" max="15123" width="10.6640625" style="1" customWidth="1"/>
    <col min="15124" max="15124" width="15.88671875" style="1" customWidth="1"/>
    <col min="15125" max="15125" width="13" style="1" customWidth="1"/>
    <col min="15126" max="15126" width="14.6640625" style="1" customWidth="1"/>
    <col min="15127" max="15359" width="10.88671875" style="1"/>
    <col min="15360" max="15360" width="5.6640625" style="1" customWidth="1"/>
    <col min="15361" max="15362" width="8.109375" style="1" customWidth="1"/>
    <col min="15363" max="15363" width="9" style="1" customWidth="1"/>
    <col min="15364" max="15364" width="8.6640625" style="1" customWidth="1"/>
    <col min="15365" max="15365" width="18.33203125" style="1" customWidth="1"/>
    <col min="15366" max="15366" width="16.6640625" style="1" customWidth="1"/>
    <col min="15367" max="15367" width="19.6640625" style="1" customWidth="1"/>
    <col min="15368" max="15368" width="27.109375" style="1" customWidth="1"/>
    <col min="15369" max="15369" width="15.109375" style="1" customWidth="1"/>
    <col min="15370" max="15370" width="17.6640625" style="1" customWidth="1"/>
    <col min="15371" max="15371" width="13.6640625" style="1" customWidth="1"/>
    <col min="15372" max="15373" width="14.88671875" style="1" customWidth="1"/>
    <col min="15374" max="15374" width="16.33203125" style="1" customWidth="1"/>
    <col min="15375" max="15375" width="15.33203125" style="1" customWidth="1"/>
    <col min="15376" max="15376" width="14.6640625" style="1" customWidth="1"/>
    <col min="15377" max="15378" width="8.109375" style="1" customWidth="1"/>
    <col min="15379" max="15379" width="10.6640625" style="1" customWidth="1"/>
    <col min="15380" max="15380" width="15.88671875" style="1" customWidth="1"/>
    <col min="15381" max="15381" width="13" style="1" customWidth="1"/>
    <col min="15382" max="15382" width="14.6640625" style="1" customWidth="1"/>
    <col min="15383" max="15615" width="10.88671875" style="1"/>
    <col min="15616" max="15616" width="5.6640625" style="1" customWidth="1"/>
    <col min="15617" max="15618" width="8.109375" style="1" customWidth="1"/>
    <col min="15619" max="15619" width="9" style="1" customWidth="1"/>
    <col min="15620" max="15620" width="8.6640625" style="1" customWidth="1"/>
    <col min="15621" max="15621" width="18.33203125" style="1" customWidth="1"/>
    <col min="15622" max="15622" width="16.6640625" style="1" customWidth="1"/>
    <col min="15623" max="15623" width="19.6640625" style="1" customWidth="1"/>
    <col min="15624" max="15624" width="27.109375" style="1" customWidth="1"/>
    <col min="15625" max="15625" width="15.109375" style="1" customWidth="1"/>
    <col min="15626" max="15626" width="17.6640625" style="1" customWidth="1"/>
    <col min="15627" max="15627" width="13.6640625" style="1" customWidth="1"/>
    <col min="15628" max="15629" width="14.88671875" style="1" customWidth="1"/>
    <col min="15630" max="15630" width="16.33203125" style="1" customWidth="1"/>
    <col min="15631" max="15631" width="15.33203125" style="1" customWidth="1"/>
    <col min="15632" max="15632" width="14.6640625" style="1" customWidth="1"/>
    <col min="15633" max="15634" width="8.109375" style="1" customWidth="1"/>
    <col min="15635" max="15635" width="10.6640625" style="1" customWidth="1"/>
    <col min="15636" max="15636" width="15.88671875" style="1" customWidth="1"/>
    <col min="15637" max="15637" width="13" style="1" customWidth="1"/>
    <col min="15638" max="15638" width="14.6640625" style="1" customWidth="1"/>
    <col min="15639" max="15871" width="10.88671875" style="1"/>
    <col min="15872" max="15872" width="5.6640625" style="1" customWidth="1"/>
    <col min="15873" max="15874" width="8.109375" style="1" customWidth="1"/>
    <col min="15875" max="15875" width="9" style="1" customWidth="1"/>
    <col min="15876" max="15876" width="8.6640625" style="1" customWidth="1"/>
    <col min="15877" max="15877" width="18.33203125" style="1" customWidth="1"/>
    <col min="15878" max="15878" width="16.6640625" style="1" customWidth="1"/>
    <col min="15879" max="15879" width="19.6640625" style="1" customWidth="1"/>
    <col min="15880" max="15880" width="27.109375" style="1" customWidth="1"/>
    <col min="15881" max="15881" width="15.109375" style="1" customWidth="1"/>
    <col min="15882" max="15882" width="17.6640625" style="1" customWidth="1"/>
    <col min="15883" max="15883" width="13.6640625" style="1" customWidth="1"/>
    <col min="15884" max="15885" width="14.88671875" style="1" customWidth="1"/>
    <col min="15886" max="15886" width="16.33203125" style="1" customWidth="1"/>
    <col min="15887" max="15887" width="15.33203125" style="1" customWidth="1"/>
    <col min="15888" max="15888" width="14.6640625" style="1" customWidth="1"/>
    <col min="15889" max="15890" width="8.109375" style="1" customWidth="1"/>
    <col min="15891" max="15891" width="10.6640625" style="1" customWidth="1"/>
    <col min="15892" max="15892" width="15.88671875" style="1" customWidth="1"/>
    <col min="15893" max="15893" width="13" style="1" customWidth="1"/>
    <col min="15894" max="15894" width="14.6640625" style="1" customWidth="1"/>
    <col min="15895" max="16127" width="10.88671875" style="1"/>
    <col min="16128" max="16128" width="5.6640625" style="1" customWidth="1"/>
    <col min="16129" max="16130" width="8.109375" style="1" customWidth="1"/>
    <col min="16131" max="16131" width="9" style="1" customWidth="1"/>
    <col min="16132" max="16132" width="8.6640625" style="1" customWidth="1"/>
    <col min="16133" max="16133" width="18.33203125" style="1" customWidth="1"/>
    <col min="16134" max="16134" width="16.6640625" style="1" customWidth="1"/>
    <col min="16135" max="16135" width="19.6640625" style="1" customWidth="1"/>
    <col min="16136" max="16136" width="27.109375" style="1" customWidth="1"/>
    <col min="16137" max="16137" width="15.109375" style="1" customWidth="1"/>
    <col min="16138" max="16138" width="17.6640625" style="1" customWidth="1"/>
    <col min="16139" max="16139" width="13.6640625" style="1" customWidth="1"/>
    <col min="16140" max="16141" width="14.88671875" style="1" customWidth="1"/>
    <col min="16142" max="16142" width="16.33203125" style="1" customWidth="1"/>
    <col min="16143" max="16143" width="15.33203125" style="1" customWidth="1"/>
    <col min="16144" max="16144" width="14.6640625" style="1" customWidth="1"/>
    <col min="16145" max="16146" width="8.109375" style="1" customWidth="1"/>
    <col min="16147" max="16147" width="10.6640625" style="1" customWidth="1"/>
    <col min="16148" max="16148" width="15.88671875" style="1" customWidth="1"/>
    <col min="16149" max="16149" width="13" style="1" customWidth="1"/>
    <col min="16150" max="16150" width="14.6640625" style="1" customWidth="1"/>
    <col min="16151" max="16384" width="10.88671875" style="1"/>
  </cols>
  <sheetData>
    <row r="1" spans="1:22" ht="35.25" customHeight="1">
      <c r="A1" s="789" t="s">
        <v>3</v>
      </c>
      <c r="B1" s="790" t="s">
        <v>4</v>
      </c>
      <c r="C1" s="791" t="s">
        <v>5</v>
      </c>
      <c r="D1" s="791" t="s">
        <v>125</v>
      </c>
      <c r="E1" s="791" t="s">
        <v>9</v>
      </c>
      <c r="F1" s="791" t="s">
        <v>10</v>
      </c>
      <c r="G1" s="791" t="s">
        <v>11</v>
      </c>
      <c r="H1" s="791" t="s">
        <v>126</v>
      </c>
      <c r="I1" s="791" t="s">
        <v>158</v>
      </c>
      <c r="J1" s="792" t="s">
        <v>13</v>
      </c>
      <c r="K1" s="792" t="s">
        <v>14</v>
      </c>
      <c r="L1" s="792" t="s">
        <v>15</v>
      </c>
      <c r="M1" s="792" t="s">
        <v>16</v>
      </c>
      <c r="N1" s="792" t="s">
        <v>17</v>
      </c>
      <c r="O1" s="792" t="s">
        <v>159</v>
      </c>
      <c r="P1" s="792" t="s">
        <v>18</v>
      </c>
      <c r="Q1" s="790" t="s">
        <v>707</v>
      </c>
      <c r="R1" s="790" t="s">
        <v>708</v>
      </c>
      <c r="S1" s="791" t="s">
        <v>709</v>
      </c>
      <c r="T1" s="793" t="s">
        <v>19</v>
      </c>
    </row>
    <row r="2" spans="1:22" s="1002" customFormat="1" ht="15" customHeight="1">
      <c r="A2" s="786">
        <f t="shared" ref="A2:A8" si="0">+YEAR(C2)</f>
        <v>2023</v>
      </c>
      <c r="B2" s="8" t="str">
        <f>UPPER(TEXT(C2,"MMM"))</f>
        <v>JUN</v>
      </c>
      <c r="C2" s="324">
        <v>45107</v>
      </c>
      <c r="D2" s="326" t="s">
        <v>134</v>
      </c>
      <c r="E2" s="323" t="s">
        <v>22</v>
      </c>
      <c r="F2" s="999" t="s">
        <v>400</v>
      </c>
      <c r="G2" s="325" t="s">
        <v>34</v>
      </c>
      <c r="H2" s="323" t="s">
        <v>160</v>
      </c>
      <c r="I2" s="323">
        <v>3117</v>
      </c>
      <c r="J2" s="1000">
        <v>17634109</v>
      </c>
      <c r="K2" s="1000">
        <v>2815530</v>
      </c>
      <c r="L2" s="1000">
        <v>14818579</v>
      </c>
      <c r="M2" s="1000">
        <f t="shared" ref="M2:M16" si="1">ROUND(L2*0.004,0)</f>
        <v>59274</v>
      </c>
      <c r="N2" s="1000">
        <v>14759305</v>
      </c>
      <c r="O2" s="1000">
        <v>14759305</v>
      </c>
      <c r="P2" s="1000">
        <v>14759305</v>
      </c>
      <c r="Q2" s="326">
        <f t="shared" ref="Q2:Q7" si="2">+YEAR(S2)</f>
        <v>2023</v>
      </c>
      <c r="R2" s="326">
        <f>+MONTH(S2)</f>
        <v>7</v>
      </c>
      <c r="S2" s="327">
        <v>45135</v>
      </c>
      <c r="T2" s="1001">
        <f>N2-P2</f>
        <v>0</v>
      </c>
    </row>
    <row r="3" spans="1:22" ht="15" customHeight="1">
      <c r="A3" s="787">
        <f t="shared" si="0"/>
        <v>2023</v>
      </c>
      <c r="B3" s="11" t="str">
        <f>UPPER(TEXT(C3,"MMM"))</f>
        <v>JUL</v>
      </c>
      <c r="C3" s="12">
        <v>45138</v>
      </c>
      <c r="D3" s="84" t="s">
        <v>137</v>
      </c>
      <c r="E3" s="13" t="s">
        <v>22</v>
      </c>
      <c r="F3" s="1003" t="s">
        <v>400</v>
      </c>
      <c r="G3" s="14" t="s">
        <v>138</v>
      </c>
      <c r="H3" s="13" t="s">
        <v>161</v>
      </c>
      <c r="I3" s="13">
        <v>3905</v>
      </c>
      <c r="J3" s="29">
        <v>22042636</v>
      </c>
      <c r="K3" s="29">
        <v>3519412</v>
      </c>
      <c r="L3" s="29">
        <v>18523224</v>
      </c>
      <c r="M3" s="29">
        <f t="shared" si="1"/>
        <v>74093</v>
      </c>
      <c r="N3" s="29">
        <f t="shared" ref="N3:N9" si="3">L3-M3</f>
        <v>18449131</v>
      </c>
      <c r="O3" s="29">
        <v>9224564</v>
      </c>
      <c r="P3" s="29">
        <v>9224564</v>
      </c>
      <c r="Q3" s="84">
        <f t="shared" si="2"/>
        <v>2023</v>
      </c>
      <c r="R3" s="84">
        <f>+MONTH(S3)</f>
        <v>7</v>
      </c>
      <c r="S3" s="23">
        <v>45135</v>
      </c>
      <c r="T3" s="1004">
        <f>N3-P3</f>
        <v>9224567</v>
      </c>
    </row>
    <row r="4" spans="1:22" ht="15" customHeight="1">
      <c r="A4" s="787">
        <f t="shared" si="0"/>
        <v>2023</v>
      </c>
      <c r="B4" s="11" t="str">
        <f>UPPER(TEXT(C4,"MMM"))</f>
        <v>JUL</v>
      </c>
      <c r="C4" s="12">
        <v>45138</v>
      </c>
      <c r="D4" s="84" t="s">
        <v>137</v>
      </c>
      <c r="E4" s="13" t="s">
        <v>22</v>
      </c>
      <c r="F4" s="1003" t="s">
        <v>400</v>
      </c>
      <c r="G4" s="14" t="s">
        <v>138</v>
      </c>
      <c r="H4" s="13" t="s">
        <v>161</v>
      </c>
      <c r="I4" s="13"/>
      <c r="J4" s="29">
        <v>0</v>
      </c>
      <c r="K4" s="29">
        <v>0</v>
      </c>
      <c r="L4" s="29">
        <v>0</v>
      </c>
      <c r="M4" s="29">
        <f>ROUND(L4*0.004,0)</f>
        <v>0</v>
      </c>
      <c r="N4" s="29">
        <f>L4-M4</f>
        <v>0</v>
      </c>
      <c r="O4" s="29">
        <v>9224567</v>
      </c>
      <c r="P4" s="29">
        <v>9224567</v>
      </c>
      <c r="Q4" s="284">
        <f t="shared" si="2"/>
        <v>2023</v>
      </c>
      <c r="R4" s="284">
        <f>+MONTH(S4)</f>
        <v>8</v>
      </c>
      <c r="S4" s="23">
        <v>45142</v>
      </c>
      <c r="T4" s="1004">
        <f>N4-P4</f>
        <v>-9224567</v>
      </c>
    </row>
    <row r="5" spans="1:22" ht="15" customHeight="1">
      <c r="A5" s="787">
        <f t="shared" si="0"/>
        <v>2023</v>
      </c>
      <c r="B5" s="11" t="str">
        <f>UPPER(TEXT(C5,"MMM"))</f>
        <v>AGO</v>
      </c>
      <c r="C5" s="12">
        <v>45169</v>
      </c>
      <c r="D5" s="84" t="s">
        <v>139</v>
      </c>
      <c r="E5" s="13" t="s">
        <v>22</v>
      </c>
      <c r="F5" s="1003" t="s">
        <v>400</v>
      </c>
      <c r="G5" s="14" t="s">
        <v>140</v>
      </c>
      <c r="H5" s="13" t="s">
        <v>162</v>
      </c>
      <c r="I5" s="13">
        <v>3119</v>
      </c>
      <c r="J5" s="29">
        <v>17634109</v>
      </c>
      <c r="K5" s="29">
        <v>2815130</v>
      </c>
      <c r="L5" s="29">
        <v>14818579</v>
      </c>
      <c r="M5" s="29">
        <f t="shared" si="1"/>
        <v>59274</v>
      </c>
      <c r="N5" s="29">
        <f t="shared" si="3"/>
        <v>14759305</v>
      </c>
      <c r="O5" s="29">
        <v>9224564</v>
      </c>
      <c r="P5" s="29">
        <v>9224564</v>
      </c>
      <c r="Q5" s="284">
        <f t="shared" si="2"/>
        <v>2023</v>
      </c>
      <c r="R5" s="284">
        <f>+MONTH(S5)</f>
        <v>8</v>
      </c>
      <c r="S5" s="23">
        <v>45142</v>
      </c>
      <c r="T5" s="1004">
        <f>N5-P5</f>
        <v>5534741</v>
      </c>
    </row>
    <row r="6" spans="1:22" ht="15" customHeight="1">
      <c r="A6" s="787">
        <f>+YEAR(C6)</f>
        <v>2023</v>
      </c>
      <c r="B6" s="11" t="str">
        <f t="shared" ref="B6:B12" si="4">UPPER(TEXT(C6,"MMM"))</f>
        <v>AGO</v>
      </c>
      <c r="C6" s="12">
        <v>45169</v>
      </c>
      <c r="D6" s="84" t="s">
        <v>139</v>
      </c>
      <c r="E6" s="13" t="s">
        <v>22</v>
      </c>
      <c r="F6" s="1003" t="s">
        <v>400</v>
      </c>
      <c r="G6" s="14" t="s">
        <v>140</v>
      </c>
      <c r="H6" s="13" t="s">
        <v>162</v>
      </c>
      <c r="I6" s="13"/>
      <c r="J6" s="29"/>
      <c r="K6" s="29"/>
      <c r="L6" s="29"/>
      <c r="M6" s="29"/>
      <c r="N6" s="29"/>
      <c r="O6" s="29">
        <v>5534741</v>
      </c>
      <c r="P6" s="29">
        <v>5534741</v>
      </c>
      <c r="Q6" s="35">
        <f t="shared" si="2"/>
        <v>2023</v>
      </c>
      <c r="R6" s="36">
        <v>11</v>
      </c>
      <c r="S6" s="37">
        <v>45233</v>
      </c>
      <c r="T6" s="1004">
        <f t="shared" ref="T6:T11" si="5">N6-P6</f>
        <v>-5534741</v>
      </c>
    </row>
    <row r="7" spans="1:22" ht="15" customHeight="1">
      <c r="A7" s="787">
        <f t="shared" si="0"/>
        <v>2023</v>
      </c>
      <c r="B7" s="11" t="str">
        <f t="shared" si="4"/>
        <v>SEP</v>
      </c>
      <c r="C7" s="12">
        <v>45199</v>
      </c>
      <c r="D7" s="84" t="s">
        <v>141</v>
      </c>
      <c r="E7" s="13" t="s">
        <v>22</v>
      </c>
      <c r="F7" s="1003" t="s">
        <v>400</v>
      </c>
      <c r="G7" s="14" t="s">
        <v>163</v>
      </c>
      <c r="H7" s="13" t="s">
        <v>164</v>
      </c>
      <c r="I7" s="13">
        <v>3508</v>
      </c>
      <c r="J7" s="29">
        <v>19838372</v>
      </c>
      <c r="K7" s="29">
        <v>3167471</v>
      </c>
      <c r="L7" s="29">
        <v>16670901</v>
      </c>
      <c r="M7" s="29">
        <f t="shared" si="1"/>
        <v>66684</v>
      </c>
      <c r="N7" s="29">
        <f t="shared" si="3"/>
        <v>16604217</v>
      </c>
      <c r="O7" s="29">
        <v>16604217</v>
      </c>
      <c r="P7" s="29">
        <v>16604217</v>
      </c>
      <c r="Q7" s="35">
        <f t="shared" si="2"/>
        <v>2023</v>
      </c>
      <c r="R7" s="36">
        <v>11</v>
      </c>
      <c r="S7" s="37">
        <v>45233</v>
      </c>
      <c r="T7" s="1004">
        <f t="shared" si="5"/>
        <v>0</v>
      </c>
    </row>
    <row r="8" spans="1:22" ht="15" customHeight="1">
      <c r="A8" s="787">
        <f t="shared" si="0"/>
        <v>2023</v>
      </c>
      <c r="B8" s="11" t="str">
        <f t="shared" si="4"/>
        <v>OCT</v>
      </c>
      <c r="C8" s="12">
        <v>45230</v>
      </c>
      <c r="D8" s="84" t="s">
        <v>143</v>
      </c>
      <c r="E8" s="13" t="s">
        <v>22</v>
      </c>
      <c r="F8" s="1003" t="s">
        <v>400</v>
      </c>
      <c r="G8" s="14" t="s">
        <v>95</v>
      </c>
      <c r="H8" s="13" t="s">
        <v>165</v>
      </c>
      <c r="I8" s="78">
        <v>3124</v>
      </c>
      <c r="J8" s="1005">
        <v>17634108.799999997</v>
      </c>
      <c r="K8" s="1005">
        <v>2815529.9764705878</v>
      </c>
      <c r="L8" s="1005">
        <v>14818578.8235294</v>
      </c>
      <c r="M8" s="29">
        <f t="shared" si="1"/>
        <v>59274</v>
      </c>
      <c r="N8" s="1005">
        <f t="shared" si="3"/>
        <v>14759304.8235294</v>
      </c>
      <c r="O8" s="1005">
        <f>N8</f>
        <v>14759304.8235294</v>
      </c>
      <c r="P8" s="1005">
        <f>O8</f>
        <v>14759304.8235294</v>
      </c>
      <c r="Q8" s="35">
        <f>+YEAR(S8)</f>
        <v>2023</v>
      </c>
      <c r="R8" s="36">
        <v>11</v>
      </c>
      <c r="S8" s="37">
        <v>45260</v>
      </c>
      <c r="T8" s="1006">
        <f t="shared" si="5"/>
        <v>0</v>
      </c>
    </row>
    <row r="9" spans="1:22" ht="15" customHeight="1">
      <c r="A9" s="787">
        <v>2023</v>
      </c>
      <c r="B9" s="11" t="str">
        <f t="shared" si="4"/>
        <v>NOV</v>
      </c>
      <c r="C9" s="12">
        <v>45260</v>
      </c>
      <c r="D9" s="84" t="s">
        <v>144</v>
      </c>
      <c r="E9" s="13" t="s">
        <v>22</v>
      </c>
      <c r="F9" s="1003" t="s">
        <v>400</v>
      </c>
      <c r="G9" s="14" t="s">
        <v>96</v>
      </c>
      <c r="H9" s="13" t="s">
        <v>166</v>
      </c>
      <c r="I9" s="13">
        <v>3174</v>
      </c>
      <c r="J9" s="29">
        <v>18101102</v>
      </c>
      <c r="K9" s="29">
        <v>2890092</v>
      </c>
      <c r="L9" s="29">
        <v>15211010</v>
      </c>
      <c r="M9" s="29">
        <f t="shared" si="1"/>
        <v>60844</v>
      </c>
      <c r="N9" s="29">
        <f t="shared" si="3"/>
        <v>15150166</v>
      </c>
      <c r="O9" s="1005">
        <f t="shared" ref="O9:P11" si="6">N9</f>
        <v>15150166</v>
      </c>
      <c r="P9" s="1005">
        <f t="shared" si="6"/>
        <v>15150166</v>
      </c>
      <c r="Q9" s="284">
        <v>2024</v>
      </c>
      <c r="R9" s="284">
        <v>1</v>
      </c>
      <c r="S9" s="79">
        <v>45322</v>
      </c>
      <c r="T9" s="1004">
        <f t="shared" si="5"/>
        <v>0</v>
      </c>
    </row>
    <row r="10" spans="1:22" ht="15" customHeight="1">
      <c r="A10" s="788">
        <v>2023</v>
      </c>
      <c r="B10" s="11" t="str">
        <f t="shared" si="4"/>
        <v>DIC</v>
      </c>
      <c r="C10" s="305">
        <v>45291</v>
      </c>
      <c r="D10" s="1007" t="s">
        <v>149</v>
      </c>
      <c r="E10" s="78" t="s">
        <v>22</v>
      </c>
      <c r="F10" s="1008" t="s">
        <v>400</v>
      </c>
      <c r="G10" s="306" t="s">
        <v>148</v>
      </c>
      <c r="H10" s="78" t="s">
        <v>167</v>
      </c>
      <c r="I10" s="78">
        <v>3332</v>
      </c>
      <c r="J10" s="1005">
        <v>14720054</v>
      </c>
      <c r="K10" s="1005">
        <v>2350361</v>
      </c>
      <c r="L10" s="1005">
        <f>J10-K10</f>
        <v>12369693</v>
      </c>
      <c r="M10" s="29">
        <f>ROUND(L10*0.004,0)</f>
        <v>49479</v>
      </c>
      <c r="N10" s="1005">
        <f t="shared" ref="N10:N16" si="7">L10-M10</f>
        <v>12320214</v>
      </c>
      <c r="O10" s="1005">
        <f t="shared" si="6"/>
        <v>12320214</v>
      </c>
      <c r="P10" s="1005">
        <f t="shared" si="6"/>
        <v>12320214</v>
      </c>
      <c r="Q10" s="307">
        <v>2024</v>
      </c>
      <c r="R10" s="307">
        <v>1</v>
      </c>
      <c r="S10" s="308">
        <v>45322</v>
      </c>
      <c r="T10" s="1004">
        <f t="shared" si="5"/>
        <v>0</v>
      </c>
      <c r="V10" s="980"/>
    </row>
    <row r="11" spans="1:22" ht="15" customHeight="1">
      <c r="A11" s="787">
        <v>2024</v>
      </c>
      <c r="B11" s="11" t="str">
        <f t="shared" si="4"/>
        <v>ENE</v>
      </c>
      <c r="C11" s="12">
        <v>45322</v>
      </c>
      <c r="D11" s="84" t="s">
        <v>168</v>
      </c>
      <c r="E11" s="13" t="s">
        <v>22</v>
      </c>
      <c r="F11" s="1003" t="s">
        <v>400</v>
      </c>
      <c r="G11" s="14" t="s">
        <v>169</v>
      </c>
      <c r="H11" s="13" t="s">
        <v>170</v>
      </c>
      <c r="I11" s="844">
        <v>3415.66</v>
      </c>
      <c r="J11" s="29">
        <v>20088086</v>
      </c>
      <c r="K11" s="29">
        <v>3207341</v>
      </c>
      <c r="L11" s="29">
        <v>16880744</v>
      </c>
      <c r="M11" s="29">
        <f t="shared" si="1"/>
        <v>67523</v>
      </c>
      <c r="N11" s="29">
        <f t="shared" si="7"/>
        <v>16813221</v>
      </c>
      <c r="O11" s="29">
        <f t="shared" si="6"/>
        <v>16813221</v>
      </c>
      <c r="P11" s="29">
        <f t="shared" si="6"/>
        <v>16813221</v>
      </c>
      <c r="Q11" s="284">
        <v>2024</v>
      </c>
      <c r="R11" s="284">
        <v>2</v>
      </c>
      <c r="S11" s="79">
        <v>45348</v>
      </c>
      <c r="T11" s="1004">
        <f t="shared" si="5"/>
        <v>0</v>
      </c>
    </row>
    <row r="12" spans="1:22" ht="15" customHeight="1">
      <c r="A12" s="787">
        <v>2024</v>
      </c>
      <c r="B12" s="11" t="str">
        <f t="shared" si="4"/>
        <v>FEB</v>
      </c>
      <c r="C12" s="12">
        <v>45351</v>
      </c>
      <c r="D12" s="84" t="s">
        <v>173</v>
      </c>
      <c r="E12" s="13" t="s">
        <v>22</v>
      </c>
      <c r="F12" s="1003" t="s">
        <v>400</v>
      </c>
      <c r="G12" s="14" t="s">
        <v>174</v>
      </c>
      <c r="H12" s="13" t="s">
        <v>175</v>
      </c>
      <c r="I12" s="844">
        <v>5200.3100000000004</v>
      </c>
      <c r="J12" s="29">
        <v>17192742</v>
      </c>
      <c r="K12" s="29">
        <v>2745060</v>
      </c>
      <c r="L12" s="29">
        <v>14447682</v>
      </c>
      <c r="M12" s="29">
        <f t="shared" si="1"/>
        <v>57791</v>
      </c>
      <c r="N12" s="29">
        <f t="shared" si="7"/>
        <v>14389891</v>
      </c>
      <c r="O12" s="29">
        <v>14389891</v>
      </c>
      <c r="P12" s="29">
        <v>14389891</v>
      </c>
      <c r="Q12" s="284">
        <v>2024</v>
      </c>
      <c r="R12" s="284">
        <v>4</v>
      </c>
      <c r="S12" s="79">
        <v>45383</v>
      </c>
      <c r="T12" s="1004">
        <f t="shared" ref="T12:T23" si="8">N12-P12</f>
        <v>0</v>
      </c>
    </row>
    <row r="13" spans="1:22" ht="15" customHeight="1">
      <c r="A13" s="787">
        <v>2024</v>
      </c>
      <c r="B13" s="11" t="str">
        <f t="shared" ref="B13:B23" si="9">UPPER(TEXT(C13,"MMM"))</f>
        <v>MAR</v>
      </c>
      <c r="C13" s="12">
        <v>45382</v>
      </c>
      <c r="D13" s="84" t="s">
        <v>320</v>
      </c>
      <c r="E13" s="13" t="s">
        <v>22</v>
      </c>
      <c r="F13" s="1003" t="s">
        <v>400</v>
      </c>
      <c r="G13" s="14" t="s">
        <v>322</v>
      </c>
      <c r="H13" s="13" t="s">
        <v>319</v>
      </c>
      <c r="I13" s="844">
        <v>5074.38</v>
      </c>
      <c r="J13" s="29">
        <v>13925499.33</v>
      </c>
      <c r="K13" s="29">
        <v>2223399.0499999998</v>
      </c>
      <c r="L13" s="29">
        <v>11702100.279999999</v>
      </c>
      <c r="M13" s="29">
        <f t="shared" si="1"/>
        <v>46808</v>
      </c>
      <c r="N13" s="29">
        <f t="shared" si="7"/>
        <v>11655292.279999999</v>
      </c>
      <c r="O13" s="29">
        <v>11655292.279999999</v>
      </c>
      <c r="P13" s="29">
        <v>11655292.279999999</v>
      </c>
      <c r="Q13" s="284">
        <v>2024</v>
      </c>
      <c r="R13" s="284">
        <v>4</v>
      </c>
      <c r="S13" s="79">
        <v>45412</v>
      </c>
      <c r="T13" s="1004">
        <f t="shared" si="8"/>
        <v>0</v>
      </c>
    </row>
    <row r="14" spans="1:22" ht="15" customHeight="1">
      <c r="A14" s="787">
        <v>2024</v>
      </c>
      <c r="B14" s="11" t="str">
        <f t="shared" si="9"/>
        <v>ABR</v>
      </c>
      <c r="C14" s="12">
        <v>45412</v>
      </c>
      <c r="D14" s="84" t="s">
        <v>367</v>
      </c>
      <c r="E14" s="13" t="s">
        <v>22</v>
      </c>
      <c r="F14" s="1003" t="s">
        <v>400</v>
      </c>
      <c r="G14" s="14" t="s">
        <v>368</v>
      </c>
      <c r="H14" s="13" t="s">
        <v>369</v>
      </c>
      <c r="I14" s="844">
        <v>6888.5</v>
      </c>
      <c r="J14" s="29">
        <v>17689539.800000001</v>
      </c>
      <c r="K14" s="29">
        <v>2824830.3</v>
      </c>
      <c r="L14" s="29">
        <v>14865159.49</v>
      </c>
      <c r="M14" s="29">
        <f t="shared" si="1"/>
        <v>59461</v>
      </c>
      <c r="N14" s="29">
        <f t="shared" si="7"/>
        <v>14805698.49</v>
      </c>
      <c r="O14" s="29">
        <f>N14</f>
        <v>14805698.49</v>
      </c>
      <c r="P14" s="29">
        <f>O14</f>
        <v>14805698.49</v>
      </c>
      <c r="Q14" s="284">
        <v>2024</v>
      </c>
      <c r="R14" s="284">
        <v>5</v>
      </c>
      <c r="S14" s="79">
        <v>45440</v>
      </c>
      <c r="T14" s="1004">
        <f t="shared" si="8"/>
        <v>0</v>
      </c>
    </row>
    <row r="15" spans="1:22" ht="15" customHeight="1">
      <c r="A15" s="787">
        <v>2024</v>
      </c>
      <c r="B15" s="11" t="str">
        <f t="shared" si="9"/>
        <v>MAY</v>
      </c>
      <c r="C15" s="12">
        <v>45443</v>
      </c>
      <c r="D15" s="84" t="s">
        <v>416</v>
      </c>
      <c r="E15" s="13" t="s">
        <v>22</v>
      </c>
      <c r="F15" s="1003" t="s">
        <v>400</v>
      </c>
      <c r="G15" s="14" t="s">
        <v>444</v>
      </c>
      <c r="H15" s="13" t="s">
        <v>417</v>
      </c>
      <c r="I15" s="844">
        <v>5026.58</v>
      </c>
      <c r="J15" s="29">
        <v>15745509.140000001</v>
      </c>
      <c r="K15" s="29">
        <v>2513988.85</v>
      </c>
      <c r="L15" s="29">
        <v>13231520.279999999</v>
      </c>
      <c r="M15" s="29">
        <f t="shared" si="1"/>
        <v>52926</v>
      </c>
      <c r="N15" s="29">
        <f t="shared" si="7"/>
        <v>13178594.279999999</v>
      </c>
      <c r="O15" s="29">
        <v>13178594.279999999</v>
      </c>
      <c r="P15" s="29">
        <v>13178594.279999999</v>
      </c>
      <c r="Q15" s="284">
        <v>2024</v>
      </c>
      <c r="R15" s="284">
        <v>6</v>
      </c>
      <c r="S15" s="79">
        <v>45469</v>
      </c>
      <c r="T15" s="1004">
        <f t="shared" si="8"/>
        <v>0</v>
      </c>
    </row>
    <row r="16" spans="1:22" ht="15" customHeight="1">
      <c r="A16" s="787">
        <v>2024</v>
      </c>
      <c r="B16" s="11" t="str">
        <f t="shared" si="9"/>
        <v>JUN</v>
      </c>
      <c r="C16" s="12">
        <v>45473</v>
      </c>
      <c r="D16" s="84" t="s">
        <v>450</v>
      </c>
      <c r="E16" s="13" t="s">
        <v>22</v>
      </c>
      <c r="F16" s="1003" t="s">
        <v>400</v>
      </c>
      <c r="G16" s="14" t="s">
        <v>482</v>
      </c>
      <c r="H16" s="13" t="s">
        <v>451</v>
      </c>
      <c r="I16" s="32">
        <v>5474.64</v>
      </c>
      <c r="J16" s="29">
        <v>16502529.361813335</v>
      </c>
      <c r="K16" s="29">
        <v>2634857.6291970871</v>
      </c>
      <c r="L16" s="29">
        <v>13867671.732616248</v>
      </c>
      <c r="M16" s="29">
        <f t="shared" si="1"/>
        <v>55471</v>
      </c>
      <c r="N16" s="29">
        <f t="shared" si="7"/>
        <v>13812200.732616248</v>
      </c>
      <c r="O16" s="29">
        <v>13812200.73</v>
      </c>
      <c r="P16" s="29">
        <f>N16</f>
        <v>13812200.732616248</v>
      </c>
      <c r="Q16" s="284">
        <v>2024</v>
      </c>
      <c r="R16" s="284">
        <v>7</v>
      </c>
      <c r="S16" s="79">
        <v>45504</v>
      </c>
      <c r="T16" s="1004">
        <f t="shared" si="8"/>
        <v>0</v>
      </c>
    </row>
    <row r="17" spans="1:22" ht="15" customHeight="1">
      <c r="A17" s="787">
        <v>2024</v>
      </c>
      <c r="B17" s="11" t="str">
        <f t="shared" si="9"/>
        <v>JUL</v>
      </c>
      <c r="C17" s="12">
        <v>45504</v>
      </c>
      <c r="D17" s="84" t="s">
        <v>488</v>
      </c>
      <c r="E17" s="13" t="s">
        <v>22</v>
      </c>
      <c r="F17" s="1003" t="s">
        <v>400</v>
      </c>
      <c r="G17" s="14" t="s">
        <v>535</v>
      </c>
      <c r="H17" s="13" t="s">
        <v>489</v>
      </c>
      <c r="I17" s="32">
        <v>5660.16</v>
      </c>
      <c r="J17" s="29">
        <v>17043694.12128</v>
      </c>
      <c r="K17" s="29">
        <v>2721262.0865909243</v>
      </c>
      <c r="L17" s="29">
        <v>14322432.034689074</v>
      </c>
      <c r="M17" s="29">
        <f t="shared" ref="M17:M23" si="10">ROUND(L17*0.004,0)</f>
        <v>57290</v>
      </c>
      <c r="N17" s="29">
        <v>14322432.0346891</v>
      </c>
      <c r="O17" s="29">
        <v>14322432.034689074</v>
      </c>
      <c r="P17" s="29">
        <f>N17</f>
        <v>14322432.0346891</v>
      </c>
      <c r="Q17" s="284">
        <v>2024</v>
      </c>
      <c r="R17" s="284">
        <v>8</v>
      </c>
      <c r="S17" s="79">
        <v>45533</v>
      </c>
      <c r="T17" s="1004">
        <f t="shared" si="8"/>
        <v>0</v>
      </c>
    </row>
    <row r="18" spans="1:22" ht="15" customHeight="1">
      <c r="A18" s="787">
        <v>2024</v>
      </c>
      <c r="B18" s="11" t="str">
        <f t="shared" si="9"/>
        <v>AGO</v>
      </c>
      <c r="C18" s="12">
        <v>45535</v>
      </c>
      <c r="D18" s="84" t="s">
        <v>531</v>
      </c>
      <c r="E18" s="13" t="s">
        <v>22</v>
      </c>
      <c r="F18" s="1003" t="s">
        <v>400</v>
      </c>
      <c r="G18" s="14" t="s">
        <v>534</v>
      </c>
      <c r="H18" s="13" t="s">
        <v>533</v>
      </c>
      <c r="I18" s="32">
        <v>4295.28</v>
      </c>
      <c r="J18" s="29">
        <v>22022490.921280004</v>
      </c>
      <c r="K18" s="29">
        <v>3516196.0294480678</v>
      </c>
      <c r="L18" s="29">
        <v>18506294.891831901</v>
      </c>
      <c r="M18" s="29">
        <f t="shared" si="10"/>
        <v>74025</v>
      </c>
      <c r="N18" s="29">
        <f t="shared" ref="N18:N23" si="11">L18-M18</f>
        <v>18432269.891831901</v>
      </c>
      <c r="O18" s="29">
        <v>18432269.890000001</v>
      </c>
      <c r="P18" s="29">
        <v>18432269.891831901</v>
      </c>
      <c r="Q18" s="284">
        <v>2024</v>
      </c>
      <c r="R18" s="284">
        <v>9</v>
      </c>
      <c r="S18" s="79">
        <v>45565</v>
      </c>
      <c r="T18" s="1004">
        <f t="shared" si="8"/>
        <v>0</v>
      </c>
    </row>
    <row r="19" spans="1:22" ht="15" customHeight="1">
      <c r="A19" s="787">
        <v>2024</v>
      </c>
      <c r="B19" s="11" t="str">
        <f t="shared" si="9"/>
        <v>SEP</v>
      </c>
      <c r="C19" s="12">
        <v>45565</v>
      </c>
      <c r="D19" s="84" t="s">
        <v>558</v>
      </c>
      <c r="E19" s="13" t="s">
        <v>22</v>
      </c>
      <c r="F19" s="1003" t="s">
        <v>400</v>
      </c>
      <c r="G19" s="14" t="s">
        <v>561</v>
      </c>
      <c r="H19" s="13" t="s">
        <v>560</v>
      </c>
      <c r="I19" s="32">
        <v>5451.34</v>
      </c>
      <c r="J19" s="29">
        <v>21482031.709920004</v>
      </c>
      <c r="K19" s="29">
        <v>3429904.22259227</v>
      </c>
      <c r="L19" s="29">
        <v>18052127.487327736</v>
      </c>
      <c r="M19" s="29">
        <f t="shared" si="10"/>
        <v>72209</v>
      </c>
      <c r="N19" s="29">
        <f t="shared" si="11"/>
        <v>17979918.487327736</v>
      </c>
      <c r="O19" s="29">
        <v>17979918.487327736</v>
      </c>
      <c r="P19" s="29">
        <v>17979918.487327736</v>
      </c>
      <c r="Q19" s="284">
        <v>2024</v>
      </c>
      <c r="R19" s="284">
        <v>10</v>
      </c>
      <c r="S19" s="79">
        <v>45596</v>
      </c>
      <c r="T19" s="1004">
        <f t="shared" si="8"/>
        <v>0</v>
      </c>
      <c r="V19" s="980"/>
    </row>
    <row r="20" spans="1:22" ht="15" customHeight="1">
      <c r="A20" s="787">
        <v>2024</v>
      </c>
      <c r="B20" s="11" t="str">
        <f t="shared" si="9"/>
        <v>OCT</v>
      </c>
      <c r="C20" s="12">
        <v>45596</v>
      </c>
      <c r="D20" s="84" t="s">
        <v>598</v>
      </c>
      <c r="E20" s="13" t="s">
        <v>22</v>
      </c>
      <c r="F20" s="1003" t="s">
        <v>400</v>
      </c>
      <c r="G20" s="14" t="s">
        <v>600</v>
      </c>
      <c r="H20" s="13" t="s">
        <v>599</v>
      </c>
      <c r="I20" s="32">
        <v>5365.1590000000006</v>
      </c>
      <c r="J20" s="29">
        <v>19497276.875520002</v>
      </c>
      <c r="K20" s="29">
        <v>3113010.5935704205</v>
      </c>
      <c r="L20" s="29">
        <v>16384266.281949582</v>
      </c>
      <c r="M20" s="29">
        <f t="shared" si="10"/>
        <v>65537</v>
      </c>
      <c r="N20" s="29">
        <f t="shared" si="11"/>
        <v>16318729.281949582</v>
      </c>
      <c r="O20" s="29">
        <v>16318729.281949582</v>
      </c>
      <c r="P20" s="29">
        <v>16318729.281949582</v>
      </c>
      <c r="Q20" s="284">
        <v>2024</v>
      </c>
      <c r="R20" s="284">
        <v>11</v>
      </c>
      <c r="S20" s="79">
        <v>45623</v>
      </c>
      <c r="T20" s="1004">
        <f t="shared" si="8"/>
        <v>0</v>
      </c>
    </row>
    <row r="21" spans="1:22" ht="15" customHeight="1">
      <c r="A21" s="787">
        <v>2024</v>
      </c>
      <c r="B21" s="11" t="str">
        <f t="shared" si="9"/>
        <v>NOV</v>
      </c>
      <c r="C21" s="12">
        <v>45626</v>
      </c>
      <c r="D21" s="84" t="s">
        <v>636</v>
      </c>
      <c r="E21" s="13" t="s">
        <v>22</v>
      </c>
      <c r="F21" s="1003" t="s">
        <v>400</v>
      </c>
      <c r="G21" s="14" t="s">
        <v>639</v>
      </c>
      <c r="H21" s="13" t="s">
        <v>638</v>
      </c>
      <c r="I21" s="32">
        <v>2827.2599999999998</v>
      </c>
      <c r="J21" s="29">
        <v>22599152.119626667</v>
      </c>
      <c r="K21" s="29">
        <v>3608267.9854866108</v>
      </c>
      <c r="L21" s="29">
        <v>18990884.1341401</v>
      </c>
      <c r="M21" s="29">
        <f t="shared" si="10"/>
        <v>75964</v>
      </c>
      <c r="N21" s="29">
        <f>L21-M21</f>
        <v>18914920.1341401</v>
      </c>
      <c r="O21" s="29">
        <v>18914920.1341401</v>
      </c>
      <c r="P21" s="29">
        <v>18914920.1341401</v>
      </c>
      <c r="Q21" s="284">
        <v>2025</v>
      </c>
      <c r="R21" s="284">
        <v>2</v>
      </c>
      <c r="S21" s="79">
        <v>45714</v>
      </c>
      <c r="T21" s="1004">
        <f>N21-P21</f>
        <v>0</v>
      </c>
    </row>
    <row r="22" spans="1:22" ht="15" customHeight="1">
      <c r="A22" s="787">
        <v>2024</v>
      </c>
      <c r="B22" s="11" t="str">
        <f t="shared" si="9"/>
        <v>DIC</v>
      </c>
      <c r="C22" s="12">
        <v>45657</v>
      </c>
      <c r="D22" s="84" t="s">
        <v>659</v>
      </c>
      <c r="E22" s="13" t="s">
        <v>22</v>
      </c>
      <c r="F22" s="1003" t="s">
        <v>400</v>
      </c>
      <c r="G22" s="14" t="s">
        <v>671</v>
      </c>
      <c r="H22" s="13" t="s">
        <v>660</v>
      </c>
      <c r="I22" s="32">
        <v>3153.53</v>
      </c>
      <c r="J22" s="29">
        <v>18793425.777973332</v>
      </c>
      <c r="K22" s="29">
        <v>3000631.0065671699</v>
      </c>
      <c r="L22" s="29">
        <v>15792794.771406163</v>
      </c>
      <c r="M22" s="29">
        <f t="shared" si="10"/>
        <v>63171</v>
      </c>
      <c r="N22" s="29">
        <f t="shared" si="11"/>
        <v>15729623.771406163</v>
      </c>
      <c r="O22" s="29">
        <v>15729623.77</v>
      </c>
      <c r="P22" s="29">
        <f>Tabla2[[#This Row],[Valor a Consignar a la ANI]]</f>
        <v>15729623.771406163</v>
      </c>
      <c r="Q22" s="284">
        <v>2025</v>
      </c>
      <c r="R22" s="284">
        <v>4</v>
      </c>
      <c r="S22" s="79">
        <v>45770</v>
      </c>
      <c r="T22" s="1004">
        <f>N22-P22</f>
        <v>0</v>
      </c>
      <c r="V22" s="980"/>
    </row>
    <row r="23" spans="1:22" ht="15" customHeight="1">
      <c r="A23" s="788">
        <v>2025</v>
      </c>
      <c r="B23" s="304" t="str">
        <f t="shared" si="9"/>
        <v>ENE</v>
      </c>
      <c r="C23" s="305">
        <v>45688</v>
      </c>
      <c r="D23" s="1007" t="s">
        <v>682</v>
      </c>
      <c r="E23" s="78" t="s">
        <v>22</v>
      </c>
      <c r="F23" s="1008" t="s">
        <v>400</v>
      </c>
      <c r="G23" s="306" t="s">
        <v>693</v>
      </c>
      <c r="H23" s="78" t="s">
        <v>692</v>
      </c>
      <c r="I23" s="794">
        <v>2693.64</v>
      </c>
      <c r="J23" s="1005">
        <v>22914267.604000002</v>
      </c>
      <c r="K23" s="1005">
        <f>J23-J23/1.19</f>
        <v>3658580.5418151245</v>
      </c>
      <c r="L23" s="1005">
        <f t="shared" ref="L23:L27" si="12">J23-K23</f>
        <v>19255687.062184878</v>
      </c>
      <c r="M23" s="1005">
        <f t="shared" si="10"/>
        <v>77023</v>
      </c>
      <c r="N23" s="1005">
        <f t="shared" si="11"/>
        <v>19178664.062184878</v>
      </c>
      <c r="O23" s="1005">
        <f>Tabla2[[#This Row],[Valor a Consignar a la ANI]]</f>
        <v>19178664.062184878</v>
      </c>
      <c r="P23" s="1005">
        <f>Tabla2[[#This Row],[Valor consignado]]</f>
        <v>19178664.062184878</v>
      </c>
      <c r="Q23" s="284">
        <v>2025</v>
      </c>
      <c r="R23" s="284">
        <v>7</v>
      </c>
      <c r="S23" s="79">
        <v>45845</v>
      </c>
      <c r="T23" s="1006">
        <f t="shared" si="8"/>
        <v>0</v>
      </c>
    </row>
    <row r="24" spans="1:22" ht="15" customHeight="1">
      <c r="A24" s="788">
        <v>2025</v>
      </c>
      <c r="B24" s="304" t="str">
        <f t="shared" ref="B24" si="13">UPPER(TEXT(C24,"MMM"))</f>
        <v>FEB</v>
      </c>
      <c r="C24" s="305">
        <v>45716</v>
      </c>
      <c r="D24" s="1007" t="s">
        <v>726</v>
      </c>
      <c r="E24" s="78" t="s">
        <v>22</v>
      </c>
      <c r="F24" s="1008" t="s">
        <v>400</v>
      </c>
      <c r="G24" s="306" t="s">
        <v>729</v>
      </c>
      <c r="H24" s="78" t="s">
        <v>728</v>
      </c>
      <c r="I24" s="794">
        <v>3918.32</v>
      </c>
      <c r="J24" s="1005">
        <v>21676517.289999999</v>
      </c>
      <c r="K24" s="1005">
        <f>J24-J24/1.19</f>
        <v>3460956.5421008393</v>
      </c>
      <c r="L24" s="1005">
        <f t="shared" si="12"/>
        <v>18215560.74789916</v>
      </c>
      <c r="M24" s="1005">
        <f t="shared" ref="M24" si="14">ROUND(L24*0.004,0)</f>
        <v>72862</v>
      </c>
      <c r="N24" s="1005">
        <f t="shared" ref="N24" si="15">L24-M24</f>
        <v>18142698.74789916</v>
      </c>
      <c r="O24" s="1005">
        <f>Tabla2[[#This Row],[Valor a Consignar a la ANI]]</f>
        <v>18142698.74789916</v>
      </c>
      <c r="P24" s="1005">
        <f>Tabla2[[#This Row],[Valor consignado]]</f>
        <v>18142698.74789916</v>
      </c>
      <c r="Q24" s="284">
        <v>2025</v>
      </c>
      <c r="R24" s="307">
        <v>8</v>
      </c>
      <c r="S24" s="308">
        <v>45873</v>
      </c>
      <c r="T24" s="1006">
        <f t="shared" ref="T24" si="16">N24-P24</f>
        <v>0</v>
      </c>
    </row>
    <row r="25" spans="1:22" ht="15" customHeight="1">
      <c r="A25" s="787">
        <v>2025</v>
      </c>
      <c r="B25" s="11" t="str">
        <f t="shared" ref="B25:B30" si="17">UPPER(TEXT(C25,"MMM"))</f>
        <v>MAR</v>
      </c>
      <c r="C25" s="12">
        <v>45747</v>
      </c>
      <c r="D25" s="1007" t="s">
        <v>756</v>
      </c>
      <c r="E25" s="78" t="s">
        <v>22</v>
      </c>
      <c r="F25" s="1008" t="s">
        <v>400</v>
      </c>
      <c r="G25" s="306" t="s">
        <v>769</v>
      </c>
      <c r="H25" s="78" t="s">
        <v>757</v>
      </c>
      <c r="I25" s="32">
        <v>3878.57</v>
      </c>
      <c r="J25" s="29">
        <v>25340778.75</v>
      </c>
      <c r="K25" s="29">
        <v>4046006.69</v>
      </c>
      <c r="L25" s="1005">
        <f t="shared" si="12"/>
        <v>21294772.059999999</v>
      </c>
      <c r="M25" s="29">
        <f t="shared" ref="M25:M30" si="18">ROUND(L25*0.004,0)</f>
        <v>85179</v>
      </c>
      <c r="N25" s="29">
        <f t="shared" ref="N25:N30" si="19">L25-M25</f>
        <v>21209593.059999999</v>
      </c>
      <c r="O25" s="29">
        <v>21209593.059999999</v>
      </c>
      <c r="P25" s="29">
        <v>21209593.059999999</v>
      </c>
      <c r="Q25" s="284">
        <v>2025</v>
      </c>
      <c r="R25" s="284">
        <v>9</v>
      </c>
      <c r="S25" s="79">
        <v>45904</v>
      </c>
      <c r="T25" s="1004">
        <f t="shared" ref="T25:T30" si="20">N25-P25</f>
        <v>0</v>
      </c>
    </row>
    <row r="26" spans="1:22" ht="15" customHeight="1">
      <c r="A26" s="787">
        <v>2025</v>
      </c>
      <c r="B26" s="11" t="str">
        <f t="shared" si="17"/>
        <v>ABR</v>
      </c>
      <c r="C26" s="12">
        <v>45777</v>
      </c>
      <c r="D26" s="1007" t="s">
        <v>795</v>
      </c>
      <c r="E26" s="78" t="s">
        <v>22</v>
      </c>
      <c r="F26" s="1008" t="s">
        <v>400</v>
      </c>
      <c r="G26" s="306" t="s">
        <v>797</v>
      </c>
      <c r="H26" s="78" t="s">
        <v>798</v>
      </c>
      <c r="I26" s="32">
        <v>3101.91</v>
      </c>
      <c r="J26" s="29">
        <v>20272622.997333325</v>
      </c>
      <c r="K26" s="29">
        <v>3236805.352515405</v>
      </c>
      <c r="L26" s="1005">
        <f t="shared" si="12"/>
        <v>17035817.644817919</v>
      </c>
      <c r="M26" s="29">
        <f t="shared" si="18"/>
        <v>68143</v>
      </c>
      <c r="N26" s="29">
        <f t="shared" si="19"/>
        <v>16967674.644817919</v>
      </c>
      <c r="O26" s="29">
        <v>16767674.640000001</v>
      </c>
      <c r="P26" s="29">
        <v>16967674.644817919</v>
      </c>
      <c r="Q26" s="284">
        <v>2025</v>
      </c>
      <c r="R26" s="284">
        <v>10</v>
      </c>
      <c r="S26" s="79">
        <v>45932</v>
      </c>
      <c r="T26" s="1004">
        <f t="shared" si="20"/>
        <v>0</v>
      </c>
    </row>
    <row r="27" spans="1:22" ht="15" customHeight="1">
      <c r="A27" s="787">
        <v>2025</v>
      </c>
      <c r="B27" s="11" t="str">
        <f t="shared" si="17"/>
        <v>MAY</v>
      </c>
      <c r="C27" s="12">
        <v>45808</v>
      </c>
      <c r="D27" s="1007" t="s">
        <v>811</v>
      </c>
      <c r="E27" s="78" t="s">
        <v>22</v>
      </c>
      <c r="F27" s="1008" t="s">
        <v>400</v>
      </c>
      <c r="G27" s="306" t="s">
        <v>825</v>
      </c>
      <c r="H27" s="78" t="s">
        <v>812</v>
      </c>
      <c r="I27" s="32">
        <v>4128.1099999999997</v>
      </c>
      <c r="J27" s="29">
        <v>26462981.379999992</v>
      </c>
      <c r="K27" s="29">
        <v>4225181.901008402</v>
      </c>
      <c r="L27" s="1005">
        <f t="shared" si="12"/>
        <v>22237799.47899159</v>
      </c>
      <c r="M27" s="29">
        <f t="shared" si="18"/>
        <v>88951</v>
      </c>
      <c r="N27" s="29">
        <f t="shared" si="19"/>
        <v>22148848.47899159</v>
      </c>
      <c r="O27" s="29">
        <v>22148848.47899159</v>
      </c>
      <c r="P27" s="29">
        <v>22148848.47899159</v>
      </c>
      <c r="Q27" s="284">
        <v>2025</v>
      </c>
      <c r="R27" s="284">
        <v>10</v>
      </c>
      <c r="S27" s="79">
        <v>45938</v>
      </c>
      <c r="T27" s="1004">
        <f t="shared" si="20"/>
        <v>0</v>
      </c>
    </row>
    <row r="28" spans="1:22" ht="15" customHeight="1">
      <c r="A28" s="787">
        <v>2025</v>
      </c>
      <c r="B28" s="11" t="str">
        <f t="shared" si="17"/>
        <v>JUN</v>
      </c>
      <c r="C28" s="12">
        <v>45838</v>
      </c>
      <c r="D28" s="1007" t="s">
        <v>832</v>
      </c>
      <c r="E28" s="78" t="s">
        <v>22</v>
      </c>
      <c r="F28" s="1008" t="s">
        <v>400</v>
      </c>
      <c r="G28" s="306" t="s">
        <v>841</v>
      </c>
      <c r="H28" s="78" t="s">
        <v>833</v>
      </c>
      <c r="I28" s="32">
        <v>8022</v>
      </c>
      <c r="J28" s="29">
        <v>14642721.009333331</v>
      </c>
      <c r="K28" s="29">
        <v>2337913.4384649857</v>
      </c>
      <c r="L28" s="1005">
        <f>J28-K28</f>
        <v>12304807.570868345</v>
      </c>
      <c r="M28" s="29">
        <f t="shared" si="18"/>
        <v>49219</v>
      </c>
      <c r="N28" s="29">
        <f t="shared" si="19"/>
        <v>12255588.570868345</v>
      </c>
      <c r="O28" s="29">
        <v>12255588.570868345</v>
      </c>
      <c r="P28" s="29">
        <v>12255588.570868345</v>
      </c>
      <c r="Q28" s="284">
        <v>2025</v>
      </c>
      <c r="R28" s="284">
        <v>10</v>
      </c>
      <c r="S28" s="79">
        <v>45961</v>
      </c>
      <c r="T28" s="1004">
        <f t="shared" si="20"/>
        <v>0</v>
      </c>
    </row>
    <row r="29" spans="1:22" ht="15" customHeight="1">
      <c r="A29" s="787">
        <v>2025</v>
      </c>
      <c r="B29" s="11" t="str">
        <f t="shared" si="17"/>
        <v>JUL</v>
      </c>
      <c r="C29" s="12">
        <v>45869</v>
      </c>
      <c r="D29" s="1007" t="s">
        <v>869</v>
      </c>
      <c r="E29" s="78" t="s">
        <v>22</v>
      </c>
      <c r="F29" s="1008" t="s">
        <v>400</v>
      </c>
      <c r="G29" s="306" t="s">
        <v>872</v>
      </c>
      <c r="H29" s="78" t="s">
        <v>871</v>
      </c>
      <c r="I29" s="32">
        <v>8071.19</v>
      </c>
      <c r="J29" s="29">
        <v>14064108.51</v>
      </c>
      <c r="K29" s="29">
        <v>2245529.9300000002</v>
      </c>
      <c r="L29" s="1005">
        <f>J29-K29</f>
        <v>11818578.58</v>
      </c>
      <c r="M29" s="29">
        <f t="shared" si="18"/>
        <v>47274</v>
      </c>
      <c r="N29" s="29">
        <f t="shared" si="19"/>
        <v>11771304.58</v>
      </c>
      <c r="O29" s="29">
        <v>11771304.58</v>
      </c>
      <c r="P29" s="29">
        <v>11771304.58</v>
      </c>
      <c r="Q29" s="284">
        <v>2025</v>
      </c>
      <c r="R29" s="284">
        <v>10</v>
      </c>
      <c r="S29" s="79">
        <v>45961</v>
      </c>
      <c r="T29" s="1004">
        <f t="shared" si="20"/>
        <v>0</v>
      </c>
    </row>
    <row r="30" spans="1:22" ht="15" customHeight="1">
      <c r="A30" s="787">
        <v>2025</v>
      </c>
      <c r="B30" s="11" t="str">
        <f t="shared" si="17"/>
        <v>AGO</v>
      </c>
      <c r="C30" s="12">
        <v>45900</v>
      </c>
      <c r="D30" s="1007" t="s">
        <v>919</v>
      </c>
      <c r="E30" s="78" t="s">
        <v>22</v>
      </c>
      <c r="F30" s="1008" t="s">
        <v>400</v>
      </c>
      <c r="G30" s="306" t="s">
        <v>973</v>
      </c>
      <c r="H30" s="78" t="s">
        <v>920</v>
      </c>
      <c r="I30" s="32">
        <v>9566.4</v>
      </c>
      <c r="J30" s="29">
        <v>14222746.716</v>
      </c>
      <c r="K30" s="29">
        <v>2270858.7193613448</v>
      </c>
      <c r="L30" s="1005">
        <f>J30-K30</f>
        <v>11951887.996638656</v>
      </c>
      <c r="M30" s="29">
        <f t="shared" si="18"/>
        <v>47808</v>
      </c>
      <c r="N30" s="29">
        <f t="shared" si="19"/>
        <v>11904079.996638656</v>
      </c>
      <c r="O30" s="29"/>
      <c r="P30" s="29"/>
      <c r="Q30" s="284"/>
      <c r="R30" s="284"/>
      <c r="S30" s="79"/>
      <c r="T30" s="1004">
        <f t="shared" si="20"/>
        <v>11904079.996638656</v>
      </c>
    </row>
    <row r="31" spans="1:22" ht="15" customHeight="1">
      <c r="A31" s="787">
        <v>2025</v>
      </c>
      <c r="B31" s="11" t="str">
        <f>UPPER(TEXT(C31,"MMM"))</f>
        <v>SEP</v>
      </c>
      <c r="C31" s="12">
        <v>45930</v>
      </c>
      <c r="D31" s="1007" t="s">
        <v>945</v>
      </c>
      <c r="E31" s="78" t="s">
        <v>22</v>
      </c>
      <c r="F31" s="1008" t="s">
        <v>400</v>
      </c>
      <c r="G31" s="306" t="s">
        <v>974</v>
      </c>
      <c r="H31" s="78" t="s">
        <v>946</v>
      </c>
      <c r="I31" s="32">
        <v>4338.1499999999996</v>
      </c>
      <c r="J31" s="29">
        <v>17867712.564000003</v>
      </c>
      <c r="K31" s="29">
        <v>2852828.056436975</v>
      </c>
      <c r="L31" s="29">
        <v>15014884.507563027</v>
      </c>
      <c r="M31" s="29">
        <f>ROUND(L31*0.004,0)</f>
        <v>60060</v>
      </c>
      <c r="N31" s="29">
        <f>L31-M31</f>
        <v>14954824.507563027</v>
      </c>
      <c r="O31" s="29"/>
      <c r="P31" s="29"/>
      <c r="Q31" s="284"/>
      <c r="R31" s="284"/>
      <c r="S31" s="79"/>
      <c r="T31" s="1004">
        <f>N31-P31</f>
        <v>14954824.507563027</v>
      </c>
    </row>
    <row r="32" spans="1:22" ht="15" customHeight="1">
      <c r="A32" s="825"/>
      <c r="B32" s="826"/>
      <c r="C32" s="827"/>
      <c r="D32" s="1009"/>
      <c r="E32" s="828"/>
      <c r="F32" s="1010"/>
      <c r="G32" s="829"/>
      <c r="H32" s="828"/>
      <c r="I32" s="830"/>
      <c r="J32" s="1011"/>
      <c r="K32" s="1011"/>
      <c r="L32" s="1011"/>
      <c r="M32" s="1011"/>
      <c r="N32" s="1011">
        <f>SUBTOTAL(109,Tabla2[Valor a Consignar a la ANI])</f>
        <v>441687710.85645384</v>
      </c>
      <c r="O32" s="1011"/>
      <c r="P32" s="1011">
        <f>SUBTOTAL(109,Tabla2[Valor Pagado])</f>
        <v>414828806.35225213</v>
      </c>
      <c r="Q32" s="831"/>
      <c r="R32" s="831"/>
      <c r="S32" s="832"/>
      <c r="T32" s="1012">
        <f>SUM(T2:T31)</f>
        <v>26858904.50420168</v>
      </c>
    </row>
    <row r="33" spans="10:20" ht="15" customHeight="1" thickBot="1">
      <c r="J33" s="980"/>
      <c r="K33" s="980"/>
      <c r="P33" s="980"/>
      <c r="T33" s="980"/>
    </row>
    <row r="34" spans="10:20" ht="23.4" customHeight="1">
      <c r="J34" s="980"/>
      <c r="N34" s="735" t="s">
        <v>153</v>
      </c>
      <c r="O34" s="1013" t="s">
        <v>121</v>
      </c>
      <c r="P34" s="736" t="s">
        <v>155</v>
      </c>
      <c r="Q34" s="745" t="s">
        <v>399</v>
      </c>
      <c r="R34" s="745" t="s">
        <v>171</v>
      </c>
      <c r="S34" s="737" t="s">
        <v>156</v>
      </c>
    </row>
    <row r="35" spans="10:20" ht="126.6" customHeight="1">
      <c r="N35" s="738" t="s">
        <v>157</v>
      </c>
      <c r="O35" s="629">
        <f>N31</f>
        <v>14954824.507563027</v>
      </c>
      <c r="P35" s="629">
        <f>P25</f>
        <v>21209593.059999999</v>
      </c>
      <c r="Q35" s="629">
        <f>P25</f>
        <v>21209593.059999999</v>
      </c>
      <c r="R35" s="629">
        <f>+T26+T27+T28+T29+T30+T31</f>
        <v>26858904.50420168</v>
      </c>
      <c r="S35" s="739" t="s">
        <v>982</v>
      </c>
    </row>
    <row r="36" spans="10:20" ht="26.4" customHeight="1" thickBot="1">
      <c r="N36" s="1014" t="s">
        <v>119</v>
      </c>
      <c r="O36" s="1015">
        <f>SUM(O35)</f>
        <v>14954824.507563027</v>
      </c>
      <c r="P36" s="1015">
        <f>SUM(P35)</f>
        <v>21209593.059999999</v>
      </c>
      <c r="Q36" s="1015">
        <f>Q35</f>
        <v>21209593.059999999</v>
      </c>
      <c r="R36" s="1016">
        <f>R35</f>
        <v>26858904.50420168</v>
      </c>
      <c r="S36" s="1017"/>
    </row>
    <row r="39" spans="10:20" ht="28.8" customHeight="1"/>
    <row r="54" spans="10:13" ht="15" customHeight="1">
      <c r="J54" s="84"/>
    </row>
    <row r="55" spans="10:13" ht="15" customHeight="1">
      <c r="J55" s="1080"/>
      <c r="K55" s="1080"/>
      <c r="L55" s="1080"/>
    </row>
    <row r="56" spans="10:13" ht="15" customHeight="1">
      <c r="K56" s="653"/>
    </row>
    <row r="57" spans="10:13" ht="15" customHeight="1">
      <c r="K57" s="980"/>
    </row>
    <row r="58" spans="10:13" ht="15" customHeight="1">
      <c r="K58" s="653"/>
    </row>
    <row r="59" spans="10:13" ht="15" customHeight="1">
      <c r="K59" s="653"/>
    </row>
    <row r="60" spans="10:13" ht="15" customHeight="1">
      <c r="K60" s="980"/>
    </row>
    <row r="61" spans="10:13" ht="15" customHeight="1">
      <c r="L61" s="653"/>
      <c r="M61" s="1018"/>
    </row>
  </sheetData>
  <mergeCells count="1">
    <mergeCell ref="J55:L55"/>
  </mergeCells>
  <phoneticPr fontId="16" type="noConversion"/>
  <pageMargins left="0.7" right="0.7" top="0.75" bottom="0.75" header="0.3" footer="0.3"/>
  <pageSetup orientation="portrait"/>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F49BB-5D0D-4A26-8516-881F392743F8}">
  <sheetPr>
    <tabColor theme="8" tint="0.79998168889431442"/>
  </sheetPr>
  <dimension ref="A1:U47"/>
  <sheetViews>
    <sheetView topLeftCell="A3" zoomScale="71" workbookViewId="0">
      <selection activeCell="W25" sqref="W25"/>
    </sheetView>
  </sheetViews>
  <sheetFormatPr baseColWidth="10" defaultRowHeight="14.4"/>
  <cols>
    <col min="1" max="1" width="11.5546875" style="339"/>
    <col min="2" max="2" width="17.5546875" style="339" customWidth="1"/>
    <col min="3" max="7" width="11.5546875" style="339"/>
    <col min="8" max="8" width="11.88671875" style="339" customWidth="1"/>
    <col min="9" max="19" width="11.5546875" style="339"/>
    <col min="20" max="20" width="10.6640625" style="339" customWidth="1"/>
    <col min="21" max="21" width="7.88671875" style="339" customWidth="1"/>
    <col min="22" max="16384" width="11.5546875" style="339"/>
  </cols>
  <sheetData>
    <row r="1" spans="1:21" ht="8.4" customHeight="1"/>
    <row r="2" spans="1:21" ht="21">
      <c r="C2" s="1081" t="s">
        <v>304</v>
      </c>
      <c r="D2" s="1081"/>
      <c r="E2" s="1081"/>
      <c r="F2" s="1081"/>
      <c r="G2" s="1081"/>
      <c r="H2" s="1081"/>
      <c r="I2" s="1081"/>
      <c r="J2" s="1081"/>
      <c r="K2" s="1081"/>
      <c r="L2" s="1081"/>
      <c r="M2" s="1081"/>
      <c r="N2" s="1081"/>
      <c r="O2" s="1081"/>
      <c r="P2" s="1081"/>
      <c r="Q2" s="1081"/>
      <c r="R2" s="1081"/>
      <c r="S2" s="1081"/>
      <c r="T2" s="1081"/>
      <c r="U2" s="1081"/>
    </row>
    <row r="7" spans="1:21" ht="14.4" customHeight="1">
      <c r="A7" s="1082" t="s">
        <v>365</v>
      </c>
      <c r="B7" s="1082"/>
      <c r="C7" s="443"/>
    </row>
    <row r="8" spans="1:21">
      <c r="A8" s="1082"/>
      <c r="B8" s="1082"/>
      <c r="C8" s="443"/>
    </row>
    <row r="9" spans="1:21">
      <c r="A9" s="1082"/>
      <c r="B9" s="1082"/>
      <c r="C9" s="443"/>
    </row>
    <row r="10" spans="1:21">
      <c r="A10" s="1082"/>
      <c r="B10" s="1082"/>
      <c r="C10" s="443"/>
    </row>
    <row r="11" spans="1:21">
      <c r="A11" s="1082"/>
      <c r="B11" s="1082"/>
      <c r="C11" s="443"/>
    </row>
    <row r="42" spans="8:9">
      <c r="H42" s="1083"/>
      <c r="I42" s="1084"/>
    </row>
    <row r="43" spans="8:9">
      <c r="I43" s="842"/>
    </row>
    <row r="44" spans="8:9">
      <c r="I44" s="843"/>
    </row>
    <row r="45" spans="8:9">
      <c r="I45" s="843"/>
    </row>
    <row r="46" spans="8:9">
      <c r="I46" s="843"/>
    </row>
    <row r="47" spans="8:9">
      <c r="I47" s="843"/>
    </row>
  </sheetData>
  <mergeCells count="3">
    <mergeCell ref="C2:U2"/>
    <mergeCell ref="A7:B11"/>
    <mergeCell ref="H42:I42"/>
  </mergeCells>
  <phoneticPr fontId="5" type="noConversion"/>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A28E2-76F9-4768-AFB0-C432BFCCD135}">
  <dimension ref="A1:V324"/>
  <sheetViews>
    <sheetView topLeftCell="K302" workbookViewId="0">
      <selection activeCell="E306" sqref="E306:T324"/>
    </sheetView>
  </sheetViews>
  <sheetFormatPr baseColWidth="10" defaultRowHeight="14.4"/>
  <cols>
    <col min="4" max="4" width="41" customWidth="1"/>
    <col min="6" max="6" width="12.21875" customWidth="1"/>
    <col min="8" max="8" width="18.109375" customWidth="1"/>
    <col min="9" max="9" width="19.88671875" customWidth="1"/>
    <col min="10" max="10" width="17.5546875" customWidth="1"/>
    <col min="11" max="11" width="19.5546875" customWidth="1"/>
    <col min="12" max="12" width="20.6640625" customWidth="1"/>
    <col min="13" max="13" width="23.77734375" customWidth="1"/>
    <col min="14" max="14" width="12.44140625" customWidth="1"/>
    <col min="16" max="16" width="18.6640625" customWidth="1"/>
    <col min="17" max="17" width="17.44140625" customWidth="1"/>
    <col min="18" max="18" width="25.77734375" customWidth="1"/>
    <col min="19" max="19" width="26.21875" customWidth="1"/>
    <col min="20" max="20" width="14.5546875" customWidth="1"/>
  </cols>
  <sheetData>
    <row r="1" spans="1:22">
      <c r="A1" s="365" t="s">
        <v>177</v>
      </c>
      <c r="B1" s="367" t="s">
        <v>4</v>
      </c>
      <c r="C1" s="367" t="s">
        <v>684</v>
      </c>
      <c r="D1" s="366" t="s">
        <v>178</v>
      </c>
      <c r="E1" s="368" t="s">
        <v>179</v>
      </c>
      <c r="F1" s="368" t="s">
        <v>180</v>
      </c>
      <c r="G1" s="368" t="s">
        <v>181</v>
      </c>
      <c r="H1" s="368" t="s">
        <v>182</v>
      </c>
      <c r="I1" s="368" t="s">
        <v>183</v>
      </c>
      <c r="J1" s="368" t="s">
        <v>184</v>
      </c>
      <c r="K1" s="368" t="s">
        <v>185</v>
      </c>
      <c r="L1" s="368" t="s">
        <v>186</v>
      </c>
      <c r="M1" s="368" t="s">
        <v>187</v>
      </c>
      <c r="N1" s="368" t="s">
        <v>188</v>
      </c>
      <c r="O1" s="368" t="s">
        <v>189</v>
      </c>
      <c r="P1" s="368" t="s">
        <v>190</v>
      </c>
      <c r="Q1" s="368" t="s">
        <v>191</v>
      </c>
      <c r="R1" s="368" t="s">
        <v>192</v>
      </c>
      <c r="S1" s="368" t="s">
        <v>193</v>
      </c>
      <c r="T1" s="368" t="s">
        <v>194</v>
      </c>
      <c r="U1" s="369" t="s">
        <v>213</v>
      </c>
      <c r="V1" s="368" t="s">
        <v>622</v>
      </c>
    </row>
    <row r="2" spans="1:22" ht="78" customHeight="1">
      <c r="A2" s="362">
        <v>1</v>
      </c>
      <c r="B2" s="384" t="str">
        <f>UPPER((TEXT(Tabla3[[#This Row],[Fecha llegada]],"MMM")))</f>
        <v>ENE</v>
      </c>
      <c r="C2" s="384">
        <f>YEAR(Tabla3[[#This Row],[Fecha llegada]])</f>
        <v>2024</v>
      </c>
      <c r="D2" s="348" t="s">
        <v>211</v>
      </c>
      <c r="E2" s="342">
        <v>45297</v>
      </c>
      <c r="F2" s="342">
        <v>45298</v>
      </c>
      <c r="G2" s="341">
        <v>2</v>
      </c>
      <c r="H2" s="341">
        <v>2</v>
      </c>
      <c r="I2" s="343">
        <v>1303630.6898823529</v>
      </c>
      <c r="J2" s="341">
        <v>14</v>
      </c>
      <c r="K2" s="343">
        <v>720587.17741176474</v>
      </c>
      <c r="L2" s="343">
        <v>2024217.8672941178</v>
      </c>
      <c r="M2" s="341">
        <v>388</v>
      </c>
      <c r="N2" s="341">
        <v>257</v>
      </c>
      <c r="O2" s="341">
        <f>M2*N2</f>
        <v>99716</v>
      </c>
      <c r="P2" s="343">
        <v>871757.15839999996</v>
      </c>
      <c r="Q2" s="344" t="s">
        <v>195</v>
      </c>
      <c r="R2" s="341">
        <v>614</v>
      </c>
      <c r="S2" s="341">
        <v>491.2</v>
      </c>
      <c r="T2" s="343">
        <v>4015324.2240000004</v>
      </c>
      <c r="U2" s="363" t="s">
        <v>168</v>
      </c>
    </row>
    <row r="3" spans="1:22" ht="78" customHeight="1">
      <c r="A3" s="362">
        <v>2</v>
      </c>
      <c r="B3" s="384" t="str">
        <f>UPPER((TEXT(Tabla3[[#This Row],[Fecha llegada]],"MMM")))</f>
        <v>ENE</v>
      </c>
      <c r="C3" s="384">
        <f>YEAR(Tabla3[[#This Row],[Fecha llegada]])</f>
        <v>2024</v>
      </c>
      <c r="D3" s="348" t="s">
        <v>204</v>
      </c>
      <c r="E3" s="342">
        <v>45301</v>
      </c>
      <c r="F3" s="342">
        <v>45302</v>
      </c>
      <c r="G3" s="341">
        <v>2</v>
      </c>
      <c r="H3" s="341">
        <v>2</v>
      </c>
      <c r="I3" s="343">
        <v>1303630.6898823529</v>
      </c>
      <c r="J3" s="341">
        <v>14</v>
      </c>
      <c r="K3" s="343">
        <v>720587.17741176474</v>
      </c>
      <c r="L3" s="343">
        <v>2024217.8672941178</v>
      </c>
      <c r="M3" s="341">
        <v>390.78</v>
      </c>
      <c r="N3" s="341">
        <v>257</v>
      </c>
      <c r="O3" s="341">
        <f t="shared" ref="O3:O8" si="0">M3*N3</f>
        <v>100430.45999999999</v>
      </c>
      <c r="P3" s="343">
        <v>878003.25350399991</v>
      </c>
      <c r="Q3" s="344" t="s">
        <v>196</v>
      </c>
      <c r="R3" s="341">
        <v>614</v>
      </c>
      <c r="S3" s="341">
        <v>491.20000000000005</v>
      </c>
      <c r="T3" s="343">
        <v>4015324.2240000004</v>
      </c>
      <c r="U3" s="363" t="s">
        <v>168</v>
      </c>
    </row>
    <row r="4" spans="1:22" ht="78" customHeight="1">
      <c r="A4" s="362">
        <v>3</v>
      </c>
      <c r="B4" s="384" t="str">
        <f>UPPER((TEXT(Tabla3[[#This Row],[Fecha llegada]],"MMM")))</f>
        <v>ENE</v>
      </c>
      <c r="C4" s="384">
        <f>YEAR(Tabla3[[#This Row],[Fecha llegada]])</f>
        <v>2024</v>
      </c>
      <c r="D4" s="348" t="s">
        <v>205</v>
      </c>
      <c r="E4" s="342">
        <v>45303</v>
      </c>
      <c r="F4" s="342">
        <v>45304</v>
      </c>
      <c r="G4" s="341">
        <v>2</v>
      </c>
      <c r="H4" s="341">
        <v>2</v>
      </c>
      <c r="I4" s="343">
        <v>1303630.6898823529</v>
      </c>
      <c r="J4" s="341">
        <v>14</v>
      </c>
      <c r="K4" s="343">
        <v>720587.17741176474</v>
      </c>
      <c r="L4" s="343">
        <v>2024217.8672941178</v>
      </c>
      <c r="M4" s="341">
        <v>389.55</v>
      </c>
      <c r="N4" s="341">
        <v>257</v>
      </c>
      <c r="O4" s="341">
        <f t="shared" si="0"/>
        <v>100114.35</v>
      </c>
      <c r="P4" s="343">
        <v>875239.69344000006</v>
      </c>
      <c r="Q4" s="344" t="s">
        <v>197</v>
      </c>
      <c r="R4" s="341">
        <v>614</v>
      </c>
      <c r="S4" s="341">
        <v>491.20000000000005</v>
      </c>
      <c r="T4" s="343">
        <v>4015324.2240000004</v>
      </c>
      <c r="U4" s="363" t="s">
        <v>168</v>
      </c>
    </row>
    <row r="5" spans="1:22" ht="78" customHeight="1">
      <c r="A5" s="362">
        <v>4</v>
      </c>
      <c r="B5" s="384" t="str">
        <f>UPPER((TEXT(Tabla3[[#This Row],[Fecha llegada]],"MMM")))</f>
        <v>ENE</v>
      </c>
      <c r="C5" s="384">
        <f>YEAR(Tabla3[[#This Row],[Fecha llegada]])</f>
        <v>2024</v>
      </c>
      <c r="D5" s="348" t="s">
        <v>206</v>
      </c>
      <c r="E5" s="342">
        <v>45306</v>
      </c>
      <c r="F5" s="342">
        <v>45307</v>
      </c>
      <c r="G5" s="341">
        <v>2</v>
      </c>
      <c r="H5" s="341">
        <v>2</v>
      </c>
      <c r="I5" s="343">
        <v>1303630.6898823529</v>
      </c>
      <c r="J5" s="341">
        <v>14</v>
      </c>
      <c r="K5" s="343">
        <v>720587.17741176474</v>
      </c>
      <c r="L5" s="343">
        <v>2024217.8672941178</v>
      </c>
      <c r="M5" s="341">
        <v>389.55</v>
      </c>
      <c r="N5" s="341">
        <v>257</v>
      </c>
      <c r="O5" s="341">
        <f t="shared" si="0"/>
        <v>100114.35</v>
      </c>
      <c r="P5" s="343">
        <v>875239.69344000006</v>
      </c>
      <c r="Q5" s="344" t="s">
        <v>198</v>
      </c>
      <c r="R5" s="341">
        <v>614</v>
      </c>
      <c r="S5" s="341">
        <v>491.20000000000005</v>
      </c>
      <c r="T5" s="343">
        <v>4015324.2240000004</v>
      </c>
      <c r="U5" s="363" t="s">
        <v>168</v>
      </c>
    </row>
    <row r="6" spans="1:22" ht="78" customHeight="1">
      <c r="A6" s="362">
        <v>5</v>
      </c>
      <c r="B6" s="384" t="str">
        <f>UPPER((TEXT(Tabla3[[#This Row],[Fecha llegada]],"MMM")))</f>
        <v>ENE</v>
      </c>
      <c r="C6" s="384">
        <f>YEAR(Tabla3[[#This Row],[Fecha llegada]])</f>
        <v>2024</v>
      </c>
      <c r="D6" s="348" t="s">
        <v>207</v>
      </c>
      <c r="E6" s="342">
        <v>45308</v>
      </c>
      <c r="F6" s="342">
        <v>45309</v>
      </c>
      <c r="G6" s="341">
        <v>2</v>
      </c>
      <c r="H6" s="341">
        <v>2</v>
      </c>
      <c r="I6" s="343">
        <v>1303630.6898823529</v>
      </c>
      <c r="J6" s="341">
        <v>14</v>
      </c>
      <c r="K6" s="343">
        <v>720587.17741176474</v>
      </c>
      <c r="L6" s="343">
        <v>2024217.8672941178</v>
      </c>
      <c r="M6" s="341">
        <v>387.1</v>
      </c>
      <c r="N6" s="341">
        <v>257</v>
      </c>
      <c r="O6" s="341">
        <f t="shared" si="0"/>
        <v>99484.700000000012</v>
      </c>
      <c r="P6" s="343">
        <v>869735.04128000012</v>
      </c>
      <c r="Q6" s="344" t="s">
        <v>199</v>
      </c>
      <c r="R6" s="341">
        <v>614</v>
      </c>
      <c r="S6" s="341">
        <v>491.20000000000005</v>
      </c>
      <c r="T6" s="343">
        <v>4015324.2240000004</v>
      </c>
      <c r="U6" s="363" t="s">
        <v>168</v>
      </c>
    </row>
    <row r="7" spans="1:22" ht="78" customHeight="1">
      <c r="A7" s="362">
        <v>6</v>
      </c>
      <c r="B7" s="384" t="str">
        <f>UPPER((TEXT(Tabla3[[#This Row],[Fecha llegada]],"MMM")))</f>
        <v>ENE</v>
      </c>
      <c r="C7" s="384">
        <f>YEAR(Tabla3[[#This Row],[Fecha llegada]])</f>
        <v>2024</v>
      </c>
      <c r="D7" s="348" t="s">
        <v>212</v>
      </c>
      <c r="E7" s="342">
        <v>45314</v>
      </c>
      <c r="F7" s="342">
        <v>45315</v>
      </c>
      <c r="G7" s="341">
        <v>1</v>
      </c>
      <c r="H7" s="341">
        <v>1</v>
      </c>
      <c r="I7" s="343">
        <v>438442.96143417369</v>
      </c>
      <c r="J7" s="341">
        <v>8</v>
      </c>
      <c r="K7" s="343">
        <v>248558.43137254904</v>
      </c>
      <c r="L7" s="343">
        <v>687001.39280672278</v>
      </c>
      <c r="M7" s="341">
        <v>300.8</v>
      </c>
      <c r="N7" s="341">
        <v>18.75</v>
      </c>
      <c r="O7" s="341">
        <f t="shared" si="0"/>
        <v>5640</v>
      </c>
      <c r="P7" s="343">
        <v>49307.135999999999</v>
      </c>
      <c r="Q7" s="344" t="s">
        <v>200</v>
      </c>
      <c r="R7" s="341">
        <v>37.5</v>
      </c>
      <c r="S7" s="341">
        <v>30</v>
      </c>
      <c r="T7" s="343">
        <v>245235.6</v>
      </c>
      <c r="U7" s="363" t="s">
        <v>168</v>
      </c>
    </row>
    <row r="8" spans="1:22" ht="78" customHeight="1">
      <c r="A8" s="362">
        <v>7</v>
      </c>
      <c r="B8" s="384" t="str">
        <f>UPPER((TEXT(Tabla3[[#This Row],[Fecha llegada]],"MMM")))</f>
        <v>ENE</v>
      </c>
      <c r="C8" s="384">
        <f>YEAR(Tabla3[[#This Row],[Fecha llegada]])</f>
        <v>2024</v>
      </c>
      <c r="D8" s="348" t="s">
        <v>208</v>
      </c>
      <c r="E8" s="342">
        <v>45315</v>
      </c>
      <c r="F8" s="342">
        <v>45316</v>
      </c>
      <c r="G8" s="341">
        <v>2</v>
      </c>
      <c r="H8" s="341">
        <v>2</v>
      </c>
      <c r="I8" s="343">
        <v>1303630.6898823529</v>
      </c>
      <c r="J8" s="341">
        <v>14</v>
      </c>
      <c r="K8" s="343">
        <v>720587.17741176474</v>
      </c>
      <c r="L8" s="343">
        <v>2024217.8672941178</v>
      </c>
      <c r="M8" s="341">
        <v>389.55</v>
      </c>
      <c r="N8" s="341">
        <v>257</v>
      </c>
      <c r="O8" s="341">
        <f t="shared" si="0"/>
        <v>100114.35</v>
      </c>
      <c r="P8" s="343">
        <v>875239.69344000006</v>
      </c>
      <c r="Q8" s="344" t="s">
        <v>201</v>
      </c>
      <c r="R8" s="341">
        <v>614</v>
      </c>
      <c r="S8" s="341">
        <v>491.20000000000005</v>
      </c>
      <c r="T8" s="343">
        <v>4015324.2240000004</v>
      </c>
      <c r="U8" s="363" t="s">
        <v>168</v>
      </c>
    </row>
    <row r="9" spans="1:22" ht="78" customHeight="1">
      <c r="A9" s="362">
        <v>8</v>
      </c>
      <c r="B9" s="384" t="str">
        <f>UPPER((TEXT(Tabla3[[#This Row],[Fecha llegada]],"MMM")))</f>
        <v>ENE</v>
      </c>
      <c r="C9" s="384">
        <f>YEAR(Tabla3[[#This Row],[Fecha llegada]])</f>
        <v>2024</v>
      </c>
      <c r="D9" s="348" t="s">
        <v>209</v>
      </c>
      <c r="E9" s="342">
        <v>45317</v>
      </c>
      <c r="F9" s="342">
        <v>45318</v>
      </c>
      <c r="G9" s="341">
        <v>2</v>
      </c>
      <c r="H9" s="341">
        <v>2</v>
      </c>
      <c r="I9" s="343">
        <v>1303630.6898823529</v>
      </c>
      <c r="J9" s="341">
        <v>14</v>
      </c>
      <c r="K9" s="343">
        <v>720587.17741176474</v>
      </c>
      <c r="L9" s="343">
        <v>2024217.8672941178</v>
      </c>
      <c r="M9" s="341">
        <v>388.33</v>
      </c>
      <c r="N9" s="341">
        <v>257</v>
      </c>
      <c r="O9" s="341">
        <f>M9*N9</f>
        <v>99800.81</v>
      </c>
      <c r="P9" s="343">
        <v>872498.60134399997</v>
      </c>
      <c r="Q9" s="344" t="s">
        <v>202</v>
      </c>
      <c r="R9" s="341">
        <v>614</v>
      </c>
      <c r="S9" s="341">
        <v>491.20000000000005</v>
      </c>
      <c r="T9" s="343">
        <v>4015324.2240000004</v>
      </c>
      <c r="U9" s="363" t="s">
        <v>168</v>
      </c>
    </row>
    <row r="10" spans="1:22" ht="78" customHeight="1">
      <c r="A10" s="362">
        <v>9</v>
      </c>
      <c r="B10" s="384" t="str">
        <f>UPPER((TEXT(Tabla3[[#This Row],[Fecha llegada]],"MMM")))</f>
        <v>ENE</v>
      </c>
      <c r="C10" s="384">
        <f>YEAR(Tabla3[[#This Row],[Fecha llegada]])</f>
        <v>2024</v>
      </c>
      <c r="D10" s="348" t="s">
        <v>210</v>
      </c>
      <c r="E10" s="342">
        <v>45320</v>
      </c>
      <c r="F10" s="342">
        <v>45321</v>
      </c>
      <c r="G10" s="341">
        <v>2</v>
      </c>
      <c r="H10" s="341">
        <v>2</v>
      </c>
      <c r="I10" s="343">
        <v>1303630.6898823529</v>
      </c>
      <c r="J10" s="341">
        <v>14</v>
      </c>
      <c r="K10" s="343">
        <v>720587.17741176474</v>
      </c>
      <c r="L10" s="343">
        <v>2024217.8672941178</v>
      </c>
      <c r="M10" s="341">
        <v>392</v>
      </c>
      <c r="N10" s="341">
        <v>257</v>
      </c>
      <c r="O10" s="341">
        <f>M10*N10</f>
        <v>100744</v>
      </c>
      <c r="P10" s="343">
        <v>880744.3456</v>
      </c>
      <c r="Q10" s="344" t="s">
        <v>203</v>
      </c>
      <c r="R10" s="341">
        <v>614</v>
      </c>
      <c r="S10" s="341">
        <v>491.20000000000005</v>
      </c>
      <c r="T10" s="343">
        <v>4015324.2240000004</v>
      </c>
      <c r="U10" s="363" t="s">
        <v>168</v>
      </c>
    </row>
    <row r="11" spans="1:22" ht="78" customHeight="1">
      <c r="A11" s="362">
        <v>10</v>
      </c>
      <c r="B11" s="384" t="str">
        <f>UPPER((TEXT(Tabla3[[#This Row],[Fecha llegada]],"MMM")))</f>
        <v>FEB</v>
      </c>
      <c r="C11" s="384">
        <f>YEAR(Tabla3[[#This Row],[Fecha llegada]])</f>
        <v>2024</v>
      </c>
      <c r="D11" s="348" t="s">
        <v>229</v>
      </c>
      <c r="E11" s="342">
        <v>45323</v>
      </c>
      <c r="F11" s="342">
        <v>45324</v>
      </c>
      <c r="G11" s="341">
        <v>2</v>
      </c>
      <c r="H11" s="341">
        <v>2</v>
      </c>
      <c r="I11" s="343">
        <v>853498.1050084033</v>
      </c>
      <c r="J11" s="341">
        <v>14</v>
      </c>
      <c r="K11" s="343">
        <v>571220.70211764704</v>
      </c>
      <c r="L11" s="343">
        <v>1424718.8071260503</v>
      </c>
      <c r="M11" s="341">
        <v>390.78</v>
      </c>
      <c r="N11" s="341">
        <v>257</v>
      </c>
      <c r="O11" s="341">
        <f>M11*N11</f>
        <v>100430.45999999999</v>
      </c>
      <c r="P11" s="343">
        <v>878003.25350399991</v>
      </c>
      <c r="Q11" s="344" t="s">
        <v>214</v>
      </c>
      <c r="R11" s="341">
        <v>614</v>
      </c>
      <c r="S11" s="341">
        <v>491.20000000000005</v>
      </c>
      <c r="T11" s="343">
        <v>4015324.2240000004</v>
      </c>
      <c r="U11" s="364" t="s">
        <v>173</v>
      </c>
    </row>
    <row r="12" spans="1:22" ht="78" customHeight="1">
      <c r="A12" s="362">
        <v>11</v>
      </c>
      <c r="B12" s="384" t="str">
        <f>UPPER((TEXT(Tabla3[[#This Row],[Fecha llegada]],"MMM")))</f>
        <v>FEB</v>
      </c>
      <c r="C12" s="384">
        <f>YEAR(Tabla3[[#This Row],[Fecha llegada]])</f>
        <v>2024</v>
      </c>
      <c r="D12" s="348" t="s">
        <v>230</v>
      </c>
      <c r="E12" s="342">
        <v>45333</v>
      </c>
      <c r="F12" s="342">
        <v>45334</v>
      </c>
      <c r="G12" s="341">
        <v>1</v>
      </c>
      <c r="H12" s="341">
        <v>0</v>
      </c>
      <c r="I12" s="343"/>
      <c r="J12" s="341">
        <v>7</v>
      </c>
      <c r="K12" s="343">
        <v>316591.01678431378</v>
      </c>
      <c r="L12" s="343">
        <v>316591.01678431378</v>
      </c>
      <c r="M12" s="341">
        <v>246.78</v>
      </c>
      <c r="N12" s="341">
        <v>212.6</v>
      </c>
      <c r="O12" s="341">
        <f t="shared" ref="O12:O24" si="1">M12*N12</f>
        <v>52465.428</v>
      </c>
      <c r="P12" s="343">
        <v>458673.75774719997</v>
      </c>
      <c r="Q12" s="344" t="s">
        <v>215</v>
      </c>
      <c r="R12" s="341">
        <v>212.6</v>
      </c>
      <c r="S12" s="341">
        <v>170.08</v>
      </c>
      <c r="T12" s="343">
        <v>1390322.3616000002</v>
      </c>
      <c r="U12" s="364" t="s">
        <v>173</v>
      </c>
    </row>
    <row r="13" spans="1:22" ht="78" customHeight="1">
      <c r="A13" s="362">
        <v>12</v>
      </c>
      <c r="B13" s="384" t="str">
        <f>UPPER((TEXT(Tabla3[[#This Row],[Fecha llegada]],"MMM")))</f>
        <v>FEB</v>
      </c>
      <c r="C13" s="384">
        <f>YEAR(Tabla3[[#This Row],[Fecha llegada]])</f>
        <v>2024</v>
      </c>
      <c r="D13" s="348" t="s">
        <v>231</v>
      </c>
      <c r="E13" s="342">
        <v>45334</v>
      </c>
      <c r="F13" s="342">
        <v>45335</v>
      </c>
      <c r="G13" s="341">
        <v>2</v>
      </c>
      <c r="H13" s="341">
        <v>2</v>
      </c>
      <c r="I13" s="343">
        <v>853498.1050084033</v>
      </c>
      <c r="J13" s="341">
        <v>14</v>
      </c>
      <c r="K13" s="343">
        <v>571220.70211764704</v>
      </c>
      <c r="L13" s="343">
        <v>1424718.8071260503</v>
      </c>
      <c r="M13" s="341">
        <v>389.55</v>
      </c>
      <c r="N13" s="341">
        <v>257</v>
      </c>
      <c r="O13" s="341">
        <f t="shared" si="1"/>
        <v>100114.35</v>
      </c>
      <c r="P13" s="343">
        <v>875239.69344000006</v>
      </c>
      <c r="Q13" s="344" t="s">
        <v>216</v>
      </c>
      <c r="R13" s="341">
        <v>357</v>
      </c>
      <c r="S13" s="341">
        <v>285.60000000000002</v>
      </c>
      <c r="T13" s="343">
        <v>2334642.9120000005</v>
      </c>
      <c r="U13" s="364" t="s">
        <v>173</v>
      </c>
    </row>
    <row r="14" spans="1:22" ht="78" customHeight="1">
      <c r="A14" s="362">
        <v>13</v>
      </c>
      <c r="B14" s="384" t="str">
        <f>UPPER((TEXT(Tabla3[[#This Row],[Fecha llegada]],"MMM")))</f>
        <v>FEB</v>
      </c>
      <c r="C14" s="384">
        <f>YEAR(Tabla3[[#This Row],[Fecha llegada]])</f>
        <v>2024</v>
      </c>
      <c r="D14" s="348" t="s">
        <v>232</v>
      </c>
      <c r="E14" s="342">
        <v>45336</v>
      </c>
      <c r="F14" s="342">
        <v>45337</v>
      </c>
      <c r="G14" s="341">
        <v>2</v>
      </c>
      <c r="H14" s="341">
        <v>2</v>
      </c>
      <c r="I14" s="343">
        <v>853498.1050084033</v>
      </c>
      <c r="J14" s="341">
        <v>14</v>
      </c>
      <c r="K14" s="343">
        <v>571220.70211764704</v>
      </c>
      <c r="L14" s="343">
        <v>1424718.8071260503</v>
      </c>
      <c r="M14" s="341">
        <v>388.33</v>
      </c>
      <c r="N14" s="341">
        <v>257</v>
      </c>
      <c r="O14" s="341">
        <f t="shared" si="1"/>
        <v>99800.81</v>
      </c>
      <c r="P14" s="343">
        <v>872498.60134399997</v>
      </c>
      <c r="Q14" s="344" t="s">
        <v>217</v>
      </c>
      <c r="R14" s="341">
        <v>614</v>
      </c>
      <c r="S14" s="341">
        <v>491.20000000000005</v>
      </c>
      <c r="T14" s="343">
        <v>4015324.2240000004</v>
      </c>
      <c r="U14" s="364" t="s">
        <v>173</v>
      </c>
    </row>
    <row r="15" spans="1:22" ht="78" customHeight="1">
      <c r="A15" s="362">
        <v>14</v>
      </c>
      <c r="B15" s="384" t="str">
        <f>UPPER((TEXT(Tabla3[[#This Row],[Fecha llegada]],"MMM")))</f>
        <v>FEB</v>
      </c>
      <c r="C15" s="384">
        <f>YEAR(Tabla3[[#This Row],[Fecha llegada]])</f>
        <v>2024</v>
      </c>
      <c r="D15" s="348" t="s">
        <v>233</v>
      </c>
      <c r="E15" s="342">
        <v>45337</v>
      </c>
      <c r="F15" s="342">
        <v>45338</v>
      </c>
      <c r="G15" s="341">
        <v>1</v>
      </c>
      <c r="H15" s="341">
        <v>0</v>
      </c>
      <c r="I15" s="343">
        <v>0</v>
      </c>
      <c r="J15" s="341">
        <v>7</v>
      </c>
      <c r="K15" s="343">
        <v>316591.01678431378</v>
      </c>
      <c r="L15" s="343">
        <v>316591.01678431378</v>
      </c>
      <c r="M15" s="341">
        <v>257.66000000000003</v>
      </c>
      <c r="N15" s="341">
        <v>212.6</v>
      </c>
      <c r="O15" s="341">
        <f t="shared" si="1"/>
        <v>54778.516000000003</v>
      </c>
      <c r="P15" s="343">
        <v>478895.6982784</v>
      </c>
      <c r="Q15" s="344" t="s">
        <v>218</v>
      </c>
      <c r="R15" s="341">
        <v>212.6</v>
      </c>
      <c r="S15" s="341">
        <v>170.08</v>
      </c>
      <c r="T15" s="343">
        <v>1390322.3616000002</v>
      </c>
      <c r="U15" s="364" t="s">
        <v>173</v>
      </c>
    </row>
    <row r="16" spans="1:22" ht="78" customHeight="1">
      <c r="A16" s="362">
        <v>15</v>
      </c>
      <c r="B16" s="384" t="str">
        <f>UPPER((TEXT(Tabla3[[#This Row],[Fecha llegada]],"MMM")))</f>
        <v>FEB</v>
      </c>
      <c r="C16" s="384">
        <f>YEAR(Tabla3[[#This Row],[Fecha llegada]])</f>
        <v>2024</v>
      </c>
      <c r="D16" s="348" t="s">
        <v>234</v>
      </c>
      <c r="E16" s="342">
        <v>45338</v>
      </c>
      <c r="F16" s="342">
        <v>45339</v>
      </c>
      <c r="G16" s="341">
        <v>2</v>
      </c>
      <c r="H16" s="341">
        <v>2</v>
      </c>
      <c r="I16" s="343">
        <v>853498.1050084033</v>
      </c>
      <c r="J16" s="341">
        <v>14</v>
      </c>
      <c r="K16" s="343">
        <v>571220.70211764704</v>
      </c>
      <c r="L16" s="343">
        <v>1424718.8071260503</v>
      </c>
      <c r="M16" s="341">
        <v>389.55</v>
      </c>
      <c r="N16" s="341">
        <v>257</v>
      </c>
      <c r="O16" s="341">
        <f t="shared" si="1"/>
        <v>100114.35</v>
      </c>
      <c r="P16" s="343">
        <v>875239.69344000006</v>
      </c>
      <c r="Q16" s="344" t="s">
        <v>219</v>
      </c>
      <c r="R16" s="341">
        <v>357</v>
      </c>
      <c r="S16" s="341">
        <v>285.60000000000002</v>
      </c>
      <c r="T16" s="343">
        <v>2334642.9120000005</v>
      </c>
      <c r="U16" s="364" t="s">
        <v>173</v>
      </c>
    </row>
    <row r="17" spans="1:21" ht="78" customHeight="1">
      <c r="A17" s="362">
        <v>16</v>
      </c>
      <c r="B17" s="384" t="str">
        <f>UPPER((TEXT(Tabla3[[#This Row],[Fecha llegada]],"MMM")))</f>
        <v>FEB</v>
      </c>
      <c r="C17" s="384">
        <f>YEAR(Tabla3[[#This Row],[Fecha llegada]])</f>
        <v>2024</v>
      </c>
      <c r="D17" s="348" t="s">
        <v>235</v>
      </c>
      <c r="E17" s="342">
        <v>45340</v>
      </c>
      <c r="F17" s="342">
        <v>45341</v>
      </c>
      <c r="G17" s="341">
        <v>1</v>
      </c>
      <c r="H17" s="341">
        <v>0</v>
      </c>
      <c r="I17" s="343">
        <v>0</v>
      </c>
      <c r="J17" s="341">
        <v>9</v>
      </c>
      <c r="K17" s="343">
        <v>407045.59300840338</v>
      </c>
      <c r="L17" s="343">
        <v>407045.59300840338</v>
      </c>
      <c r="M17" s="341">
        <v>355.11</v>
      </c>
      <c r="N17" s="341">
        <v>212.6</v>
      </c>
      <c r="O17" s="341">
        <f t="shared" si="1"/>
        <v>75496.385999999999</v>
      </c>
      <c r="P17" s="343">
        <v>660019.60496639996</v>
      </c>
      <c r="Q17" s="344" t="s">
        <v>220</v>
      </c>
      <c r="R17" s="341">
        <v>212.6</v>
      </c>
      <c r="S17" s="341">
        <v>170.08</v>
      </c>
      <c r="T17" s="343">
        <v>1390322.3616000002</v>
      </c>
      <c r="U17" s="364" t="s">
        <v>173</v>
      </c>
    </row>
    <row r="18" spans="1:21" ht="78" customHeight="1">
      <c r="A18" s="362">
        <v>17</v>
      </c>
      <c r="B18" s="384" t="str">
        <f>UPPER((TEXT(Tabla3[[#This Row],[Fecha llegada]],"MMM")))</f>
        <v>FEB</v>
      </c>
      <c r="C18" s="384">
        <f>YEAR(Tabla3[[#This Row],[Fecha llegada]])</f>
        <v>2024</v>
      </c>
      <c r="D18" s="348" t="s">
        <v>236</v>
      </c>
      <c r="E18" s="342">
        <v>45341</v>
      </c>
      <c r="F18" s="342">
        <v>45342</v>
      </c>
      <c r="G18" s="341">
        <v>2</v>
      </c>
      <c r="H18" s="341">
        <v>2</v>
      </c>
      <c r="I18" s="343">
        <v>853498.1050084033</v>
      </c>
      <c r="J18" s="341">
        <v>14</v>
      </c>
      <c r="K18" s="343">
        <v>571220.70211764704</v>
      </c>
      <c r="L18" s="343">
        <v>1424718.8071260503</v>
      </c>
      <c r="M18" s="341">
        <v>389.55</v>
      </c>
      <c r="N18" s="341">
        <v>257</v>
      </c>
      <c r="O18" s="341">
        <f t="shared" si="1"/>
        <v>100114.35</v>
      </c>
      <c r="P18" s="343">
        <v>875239.69344000006</v>
      </c>
      <c r="Q18" s="344" t="s">
        <v>221</v>
      </c>
      <c r="R18" s="341">
        <v>357</v>
      </c>
      <c r="S18" s="341">
        <v>285.60000000000002</v>
      </c>
      <c r="T18" s="343">
        <v>2334642.9120000005</v>
      </c>
      <c r="U18" s="364" t="s">
        <v>173</v>
      </c>
    </row>
    <row r="19" spans="1:21" ht="78" customHeight="1">
      <c r="A19" s="362">
        <v>18</v>
      </c>
      <c r="B19" s="384" t="str">
        <f>UPPER((TEXT(Tabla3[[#This Row],[Fecha llegada]],"MMM")))</f>
        <v>FEB</v>
      </c>
      <c r="C19" s="384">
        <f>YEAR(Tabla3[[#This Row],[Fecha llegada]])</f>
        <v>2024</v>
      </c>
      <c r="D19" s="348" t="s">
        <v>237</v>
      </c>
      <c r="E19" s="342">
        <v>45342</v>
      </c>
      <c r="F19" s="342">
        <v>45343</v>
      </c>
      <c r="G19" s="341">
        <v>1</v>
      </c>
      <c r="H19" s="341">
        <v>0</v>
      </c>
      <c r="I19" s="343">
        <v>0</v>
      </c>
      <c r="J19" s="341">
        <v>8</v>
      </c>
      <c r="K19" s="343">
        <v>361818.30489635858</v>
      </c>
      <c r="L19" s="343">
        <v>361818.30489635858</v>
      </c>
      <c r="M19" s="341">
        <v>288.3</v>
      </c>
      <c r="N19" s="341">
        <v>212.6</v>
      </c>
      <c r="O19" s="341">
        <f t="shared" si="1"/>
        <v>61292.58</v>
      </c>
      <c r="P19" s="343">
        <v>535844.25139200001</v>
      </c>
      <c r="Q19" s="344" t="s">
        <v>222</v>
      </c>
      <c r="R19" s="341">
        <v>212.6</v>
      </c>
      <c r="S19" s="341">
        <v>170.08</v>
      </c>
      <c r="T19" s="343">
        <v>1390322.3616000002</v>
      </c>
      <c r="U19" s="364" t="s">
        <v>173</v>
      </c>
    </row>
    <row r="20" spans="1:21" ht="78" customHeight="1">
      <c r="A20" s="362">
        <v>19</v>
      </c>
      <c r="B20" s="384" t="str">
        <f>UPPER((TEXT(Tabla3[[#This Row],[Fecha llegada]],"MMM")))</f>
        <v>FEB</v>
      </c>
      <c r="C20" s="384">
        <f>YEAR(Tabla3[[#This Row],[Fecha llegada]])</f>
        <v>2024</v>
      </c>
      <c r="D20" s="348" t="s">
        <v>238</v>
      </c>
      <c r="E20" s="342">
        <v>45343</v>
      </c>
      <c r="F20" s="342">
        <v>45344</v>
      </c>
      <c r="G20" s="341">
        <v>2</v>
      </c>
      <c r="H20" s="341">
        <v>2</v>
      </c>
      <c r="I20" s="343">
        <v>853498.1050084033</v>
      </c>
      <c r="J20" s="341">
        <v>14</v>
      </c>
      <c r="K20" s="343">
        <v>571220.70211764704</v>
      </c>
      <c r="L20" s="343">
        <v>1424718.8071260503</v>
      </c>
      <c r="M20" s="341">
        <v>390.78</v>
      </c>
      <c r="N20" s="341">
        <v>257</v>
      </c>
      <c r="O20" s="341">
        <f t="shared" si="1"/>
        <v>100430.45999999999</v>
      </c>
      <c r="P20" s="343">
        <v>878003.25350399991</v>
      </c>
      <c r="Q20" s="344" t="s">
        <v>223</v>
      </c>
      <c r="R20" s="341">
        <v>357</v>
      </c>
      <c r="S20" s="341">
        <v>285.60000000000002</v>
      </c>
      <c r="T20" s="343">
        <v>2334642.9120000005</v>
      </c>
      <c r="U20" s="364" t="s">
        <v>173</v>
      </c>
    </row>
    <row r="21" spans="1:21" ht="78" customHeight="1">
      <c r="A21" s="362">
        <v>20</v>
      </c>
      <c r="B21" s="384" t="str">
        <f>UPPER((TEXT(Tabla3[[#This Row],[Fecha llegada]],"MMM")))</f>
        <v>FEB</v>
      </c>
      <c r="C21" s="384">
        <f>YEAR(Tabla3[[#This Row],[Fecha llegada]])</f>
        <v>2024</v>
      </c>
      <c r="D21" s="348" t="s">
        <v>239</v>
      </c>
      <c r="E21" s="342">
        <v>45344</v>
      </c>
      <c r="F21" s="342">
        <v>45345</v>
      </c>
      <c r="G21" s="341">
        <v>1</v>
      </c>
      <c r="H21" s="341">
        <v>0</v>
      </c>
      <c r="I21" s="343">
        <v>0</v>
      </c>
      <c r="J21" s="341">
        <v>8</v>
      </c>
      <c r="K21" s="343">
        <v>361818.30489635858</v>
      </c>
      <c r="L21" s="343">
        <v>361818.30489635858</v>
      </c>
      <c r="M21" s="341">
        <v>277.83999999999997</v>
      </c>
      <c r="N21" s="341">
        <v>212.6</v>
      </c>
      <c r="O21" s="341">
        <f t="shared" si="1"/>
        <v>59068.783999999992</v>
      </c>
      <c r="P21" s="343">
        <v>516402.93724159995</v>
      </c>
      <c r="Q21" s="344" t="s">
        <v>224</v>
      </c>
      <c r="R21" s="341">
        <v>212.6</v>
      </c>
      <c r="S21" s="341">
        <v>170.08</v>
      </c>
      <c r="T21" s="343">
        <v>1390322.3616000002</v>
      </c>
      <c r="U21" s="364" t="s">
        <v>173</v>
      </c>
    </row>
    <row r="22" spans="1:21" ht="78" customHeight="1">
      <c r="A22" s="362">
        <v>21</v>
      </c>
      <c r="B22" s="384" t="str">
        <f>UPPER((TEXT(Tabla3[[#This Row],[Fecha llegada]],"MMM")))</f>
        <v>FEB</v>
      </c>
      <c r="C22" s="384">
        <f>YEAR(Tabla3[[#This Row],[Fecha llegada]])</f>
        <v>2024</v>
      </c>
      <c r="D22" s="348" t="s">
        <v>240</v>
      </c>
      <c r="E22" s="342">
        <v>45345</v>
      </c>
      <c r="F22" s="342">
        <v>45346</v>
      </c>
      <c r="G22" s="341">
        <v>2</v>
      </c>
      <c r="H22" s="341">
        <v>2</v>
      </c>
      <c r="I22" s="343">
        <v>853498.1050084033</v>
      </c>
      <c r="J22" s="341">
        <v>14</v>
      </c>
      <c r="K22" s="343">
        <v>571220.70211764704</v>
      </c>
      <c r="L22" s="343">
        <v>1424718.8071260503</v>
      </c>
      <c r="M22" s="341">
        <v>388.55</v>
      </c>
      <c r="N22" s="341">
        <v>257</v>
      </c>
      <c r="O22" s="341">
        <f t="shared" si="1"/>
        <v>99857.35</v>
      </c>
      <c r="P22" s="343">
        <v>872992.89664000005</v>
      </c>
      <c r="Q22" s="344" t="s">
        <v>225</v>
      </c>
      <c r="R22" s="341">
        <v>357</v>
      </c>
      <c r="S22" s="341">
        <v>285.60000000000002</v>
      </c>
      <c r="T22" s="343">
        <v>2334642.9120000005</v>
      </c>
      <c r="U22" s="364" t="s">
        <v>173</v>
      </c>
    </row>
    <row r="23" spans="1:21" ht="78" customHeight="1">
      <c r="A23" s="362">
        <v>22</v>
      </c>
      <c r="B23" s="384" t="str">
        <f>UPPER((TEXT(Tabla3[[#This Row],[Fecha llegada]],"MMM")))</f>
        <v>FEB</v>
      </c>
      <c r="C23" s="384">
        <f>YEAR(Tabla3[[#This Row],[Fecha llegada]])</f>
        <v>2024</v>
      </c>
      <c r="D23" s="348" t="s">
        <v>241</v>
      </c>
      <c r="E23" s="342">
        <v>45347</v>
      </c>
      <c r="F23" s="342">
        <v>45348</v>
      </c>
      <c r="G23" s="341">
        <v>1</v>
      </c>
      <c r="H23" s="341">
        <v>0</v>
      </c>
      <c r="I23" s="343">
        <v>0</v>
      </c>
      <c r="J23" s="341">
        <v>8</v>
      </c>
      <c r="K23" s="343">
        <v>361818.30489635858</v>
      </c>
      <c r="L23" s="343">
        <v>361818.30489635858</v>
      </c>
      <c r="M23" s="341">
        <v>331.99</v>
      </c>
      <c r="N23" s="341">
        <v>212.6</v>
      </c>
      <c r="O23" s="341">
        <f t="shared" si="1"/>
        <v>70581.073999999993</v>
      </c>
      <c r="P23" s="343">
        <v>617047.98133759992</v>
      </c>
      <c r="Q23" s="344" t="s">
        <v>226</v>
      </c>
      <c r="R23" s="341">
        <v>212.6</v>
      </c>
      <c r="S23" s="341">
        <v>170.08</v>
      </c>
      <c r="T23" s="343">
        <v>1390322.3616000002</v>
      </c>
      <c r="U23" s="364" t="s">
        <v>173</v>
      </c>
    </row>
    <row r="24" spans="1:21" ht="78" customHeight="1">
      <c r="A24" s="362">
        <v>23</v>
      </c>
      <c r="B24" s="384" t="str">
        <f>UPPER((TEXT(Tabla3[[#This Row],[Fecha llegada]],"MMM")))</f>
        <v>FEB</v>
      </c>
      <c r="C24" s="384">
        <f>YEAR(Tabla3[[#This Row],[Fecha llegada]])</f>
        <v>2024</v>
      </c>
      <c r="D24" s="348" t="s">
        <v>242</v>
      </c>
      <c r="E24" s="342">
        <v>45348</v>
      </c>
      <c r="F24" s="342">
        <v>45349</v>
      </c>
      <c r="G24" s="341">
        <v>2</v>
      </c>
      <c r="H24" s="341">
        <v>2</v>
      </c>
      <c r="I24" s="343">
        <v>853498.1050084033</v>
      </c>
      <c r="J24" s="341">
        <v>14</v>
      </c>
      <c r="K24" s="343">
        <v>571220.70211764704</v>
      </c>
      <c r="L24" s="343">
        <v>1424718.8071260503</v>
      </c>
      <c r="M24" s="341">
        <v>389.55</v>
      </c>
      <c r="N24" s="341">
        <v>257</v>
      </c>
      <c r="O24" s="341">
        <f t="shared" si="1"/>
        <v>100114.35</v>
      </c>
      <c r="P24" s="343">
        <v>875239.69344000006</v>
      </c>
      <c r="Q24" s="344" t="s">
        <v>227</v>
      </c>
      <c r="R24" s="341">
        <v>357</v>
      </c>
      <c r="S24" s="341">
        <v>285.60000000000002</v>
      </c>
      <c r="T24" s="343">
        <v>2334642.9120000005</v>
      </c>
      <c r="U24" s="364" t="s">
        <v>173</v>
      </c>
    </row>
    <row r="25" spans="1:21" ht="78" customHeight="1">
      <c r="A25" s="370">
        <v>24</v>
      </c>
      <c r="B25" s="385" t="str">
        <f>UPPER((TEXT(Tabla3[[#This Row],[Fecha llegada]],"MMM")))</f>
        <v>FEB</v>
      </c>
      <c r="C25" s="385">
        <f>YEAR(Tabla3[[#This Row],[Fecha llegada]])</f>
        <v>2024</v>
      </c>
      <c r="D25" s="371" t="s">
        <v>243</v>
      </c>
      <c r="E25" s="372">
        <v>45350</v>
      </c>
      <c r="F25" s="372">
        <v>45351</v>
      </c>
      <c r="G25" s="373">
        <v>1</v>
      </c>
      <c r="H25" s="373">
        <v>2</v>
      </c>
      <c r="I25" s="374">
        <v>426749.05250420165</v>
      </c>
      <c r="J25" s="373">
        <v>11</v>
      </c>
      <c r="K25" s="374">
        <v>497500.16923249303</v>
      </c>
      <c r="L25" s="374">
        <v>924249.22173669469</v>
      </c>
      <c r="M25" s="373">
        <v>325.99</v>
      </c>
      <c r="N25" s="373">
        <v>212.6</v>
      </c>
      <c r="O25" s="373">
        <f>M25*N25</f>
        <v>69305.474000000002</v>
      </c>
      <c r="P25" s="374">
        <v>605896.17589760001</v>
      </c>
      <c r="Q25" s="375" t="s">
        <v>228</v>
      </c>
      <c r="R25" s="373">
        <v>212.6</v>
      </c>
      <c r="S25" s="373">
        <v>170.08</v>
      </c>
      <c r="T25" s="374">
        <v>1390322.3616000002</v>
      </c>
      <c r="U25" s="376" t="s">
        <v>173</v>
      </c>
    </row>
    <row r="26" spans="1:21" ht="78" customHeight="1">
      <c r="A26" s="362">
        <v>25</v>
      </c>
      <c r="B26" s="384" t="str">
        <f>UPPER((TEXT(Tabla3[[#This Row],[Fecha llegada]],"MMM")))</f>
        <v>MAR</v>
      </c>
      <c r="C26" s="385">
        <f>YEAR(Tabla3[[#This Row],[Fecha llegada]])</f>
        <v>2024</v>
      </c>
      <c r="D26" s="371" t="s">
        <v>341</v>
      </c>
      <c r="E26" s="372">
        <v>45352</v>
      </c>
      <c r="F26" s="372">
        <v>45353</v>
      </c>
      <c r="G26" s="373">
        <v>1</v>
      </c>
      <c r="H26" s="373">
        <v>2</v>
      </c>
      <c r="I26" s="374">
        <v>426749.05250420165</v>
      </c>
      <c r="J26" s="373">
        <v>14</v>
      </c>
      <c r="K26" s="374">
        <v>285610.35105882352</v>
      </c>
      <c r="L26" s="374">
        <v>712359.40356302517</v>
      </c>
      <c r="M26" s="373">
        <v>388.33</v>
      </c>
      <c r="N26" s="373">
        <v>257</v>
      </c>
      <c r="O26" s="373">
        <v>99800.81</v>
      </c>
      <c r="P26" s="374">
        <v>872498.60134399997</v>
      </c>
      <c r="Q26" s="375" t="s">
        <v>326</v>
      </c>
      <c r="R26" s="373">
        <v>614</v>
      </c>
      <c r="S26" s="373">
        <v>491.20000000000005</v>
      </c>
      <c r="T26" s="374">
        <v>4081302.2080000006</v>
      </c>
      <c r="U26" s="376" t="s">
        <v>320</v>
      </c>
    </row>
    <row r="27" spans="1:21" ht="85.2" customHeight="1">
      <c r="A27" s="370">
        <v>26</v>
      </c>
      <c r="B27" s="384" t="str">
        <f>UPPER((TEXT(Tabla3[[#This Row],[Fecha llegada]],"MMM")))</f>
        <v>MAR</v>
      </c>
      <c r="C27" s="385">
        <f>YEAR(Tabla3[[#This Row],[Fecha llegada]])</f>
        <v>2024</v>
      </c>
      <c r="D27" s="371" t="s">
        <v>342</v>
      </c>
      <c r="E27" s="372">
        <v>45354</v>
      </c>
      <c r="F27" s="372">
        <v>45355</v>
      </c>
      <c r="G27" s="373">
        <v>1</v>
      </c>
      <c r="H27" s="373">
        <v>2</v>
      </c>
      <c r="I27" s="374">
        <v>426749.05250420165</v>
      </c>
      <c r="J27" s="373">
        <v>11</v>
      </c>
      <c r="K27" s="374">
        <v>497500.16923249303</v>
      </c>
      <c r="L27" s="374">
        <v>924249.22173669469</v>
      </c>
      <c r="M27" s="373">
        <v>334.39</v>
      </c>
      <c r="N27" s="373">
        <v>212.6</v>
      </c>
      <c r="O27" s="373">
        <v>71091.313999999998</v>
      </c>
      <c r="P27" s="374">
        <v>621508.70351359993</v>
      </c>
      <c r="Q27" s="375" t="s">
        <v>327</v>
      </c>
      <c r="R27" s="373">
        <v>212.6</v>
      </c>
      <c r="S27" s="373">
        <v>170.08</v>
      </c>
      <c r="T27" s="374">
        <v>1413167.5072000001</v>
      </c>
      <c r="U27" s="376" t="s">
        <v>320</v>
      </c>
    </row>
    <row r="28" spans="1:21" ht="85.2" customHeight="1">
      <c r="A28" s="362">
        <v>27</v>
      </c>
      <c r="B28" s="384" t="str">
        <f>UPPER((TEXT(Tabla3[[#This Row],[Fecha llegada]],"MMM")))</f>
        <v>MAR</v>
      </c>
      <c r="C28" s="385">
        <f>YEAR(Tabla3[[#This Row],[Fecha llegada]])</f>
        <v>2024</v>
      </c>
      <c r="D28" s="371" t="s">
        <v>343</v>
      </c>
      <c r="E28" s="372">
        <v>45355</v>
      </c>
      <c r="F28" s="372">
        <v>45356</v>
      </c>
      <c r="G28" s="373">
        <v>1</v>
      </c>
      <c r="H28" s="373">
        <v>2</v>
      </c>
      <c r="I28" s="374">
        <v>426749.05250420165</v>
      </c>
      <c r="J28" s="373">
        <v>14</v>
      </c>
      <c r="K28" s="374">
        <v>285610.35105882352</v>
      </c>
      <c r="L28" s="374">
        <v>712359.40356302517</v>
      </c>
      <c r="M28" s="373">
        <v>388.33</v>
      </c>
      <c r="N28" s="373">
        <v>257</v>
      </c>
      <c r="O28" s="373">
        <v>99800.81</v>
      </c>
      <c r="P28" s="374">
        <v>872498.60134399997</v>
      </c>
      <c r="Q28" s="375" t="s">
        <v>328</v>
      </c>
      <c r="R28" s="373">
        <v>357</v>
      </c>
      <c r="S28" s="373">
        <v>285.60000000000002</v>
      </c>
      <c r="T28" s="374">
        <v>2373004.7040000004</v>
      </c>
      <c r="U28" s="376" t="s">
        <v>320</v>
      </c>
    </row>
    <row r="29" spans="1:21" ht="85.2" customHeight="1">
      <c r="A29" s="370">
        <v>28</v>
      </c>
      <c r="B29" s="384" t="str">
        <f>UPPER((TEXT(Tabla3[[#This Row],[Fecha llegada]],"MMM")))</f>
        <v>MAR</v>
      </c>
      <c r="C29" s="385">
        <f>YEAR(Tabla3[[#This Row],[Fecha llegada]])</f>
        <v>2024</v>
      </c>
      <c r="D29" s="371" t="s">
        <v>344</v>
      </c>
      <c r="E29" s="372">
        <v>45356</v>
      </c>
      <c r="F29" s="372">
        <v>45357</v>
      </c>
      <c r="G29" s="373">
        <v>1</v>
      </c>
      <c r="H29" s="373">
        <v>2</v>
      </c>
      <c r="I29" s="374">
        <v>426749.05250420165</v>
      </c>
      <c r="J29" s="373">
        <v>11</v>
      </c>
      <c r="K29" s="374">
        <v>497500.16923249303</v>
      </c>
      <c r="L29" s="374">
        <v>924249.22173669469</v>
      </c>
      <c r="M29" s="373">
        <v>381.53</v>
      </c>
      <c r="N29" s="373">
        <v>212.6</v>
      </c>
      <c r="O29" s="373">
        <v>81113.277999999991</v>
      </c>
      <c r="P29" s="374">
        <v>709124.72158719995</v>
      </c>
      <c r="Q29" s="375" t="s">
        <v>329</v>
      </c>
      <c r="R29" s="373">
        <v>212.6</v>
      </c>
      <c r="S29" s="373">
        <v>170.08</v>
      </c>
      <c r="T29" s="374">
        <v>1413167.5072000001</v>
      </c>
      <c r="U29" s="376" t="s">
        <v>320</v>
      </c>
    </row>
    <row r="30" spans="1:21" ht="85.2" customHeight="1">
      <c r="A30" s="362">
        <v>29</v>
      </c>
      <c r="B30" s="384" t="str">
        <f>UPPER((TEXT(Tabla3[[#This Row],[Fecha llegada]],"MMM")))</f>
        <v>MAR</v>
      </c>
      <c r="C30" s="385">
        <f>YEAR(Tabla3[[#This Row],[Fecha llegada]])</f>
        <v>2024</v>
      </c>
      <c r="D30" s="371" t="s">
        <v>345</v>
      </c>
      <c r="E30" s="372">
        <v>45357</v>
      </c>
      <c r="F30" s="372">
        <v>45358</v>
      </c>
      <c r="G30" s="373">
        <v>1</v>
      </c>
      <c r="H30" s="373">
        <v>2</v>
      </c>
      <c r="I30" s="374">
        <v>426749.05250420165</v>
      </c>
      <c r="J30" s="373">
        <v>14</v>
      </c>
      <c r="K30" s="374">
        <v>285610.35105882352</v>
      </c>
      <c r="L30" s="374">
        <v>712359.40356302517</v>
      </c>
      <c r="M30" s="373">
        <v>388.33</v>
      </c>
      <c r="N30" s="373">
        <v>257</v>
      </c>
      <c r="O30" s="373">
        <v>99800.81</v>
      </c>
      <c r="P30" s="374">
        <v>872498.60134399997</v>
      </c>
      <c r="Q30" s="375" t="s">
        <v>330</v>
      </c>
      <c r="R30" s="373">
        <v>357</v>
      </c>
      <c r="S30" s="373">
        <v>285.60000000000002</v>
      </c>
      <c r="T30" s="374">
        <v>2373004.7040000004</v>
      </c>
      <c r="U30" s="376" t="s">
        <v>320</v>
      </c>
    </row>
    <row r="31" spans="1:21" ht="85.2" customHeight="1">
      <c r="A31" s="370">
        <v>30</v>
      </c>
      <c r="B31" s="384" t="str">
        <f>UPPER((TEXT(Tabla3[[#This Row],[Fecha llegada]],"MMM")))</f>
        <v>MAR</v>
      </c>
      <c r="C31" s="385">
        <f>YEAR(Tabla3[[#This Row],[Fecha llegada]])</f>
        <v>2024</v>
      </c>
      <c r="D31" s="371" t="s">
        <v>346</v>
      </c>
      <c r="E31" s="372">
        <v>45358</v>
      </c>
      <c r="F31" s="372">
        <v>45359</v>
      </c>
      <c r="G31" s="373">
        <v>1</v>
      </c>
      <c r="H31" s="373">
        <v>2</v>
      </c>
      <c r="I31" s="374">
        <v>426749.05250420165</v>
      </c>
      <c r="J31" s="373">
        <v>4</v>
      </c>
      <c r="K31" s="374">
        <v>180909.15244817929</v>
      </c>
      <c r="L31" s="374">
        <v>607658.20495238097</v>
      </c>
      <c r="M31" s="373">
        <v>116.17</v>
      </c>
      <c r="N31" s="373">
        <v>212.6</v>
      </c>
      <c r="O31" s="373">
        <v>24697.741999999998</v>
      </c>
      <c r="P31" s="374">
        <v>215917.53966079999</v>
      </c>
      <c r="Q31" s="375" t="s">
        <v>331</v>
      </c>
      <c r="R31" s="373">
        <v>212.6</v>
      </c>
      <c r="S31" s="373">
        <v>170.08</v>
      </c>
      <c r="T31" s="374">
        <v>1413167.5072000001</v>
      </c>
      <c r="U31" s="376" t="s">
        <v>320</v>
      </c>
    </row>
    <row r="32" spans="1:21" ht="85.2" customHeight="1">
      <c r="A32" s="362">
        <v>31</v>
      </c>
      <c r="B32" s="384" t="str">
        <f>UPPER((TEXT(Tabla3[[#This Row],[Fecha llegada]],"MMM")))</f>
        <v>MAR</v>
      </c>
      <c r="C32" s="385">
        <f>YEAR(Tabla3[[#This Row],[Fecha llegada]])</f>
        <v>2024</v>
      </c>
      <c r="D32" s="371" t="s">
        <v>347</v>
      </c>
      <c r="E32" s="372">
        <v>45359</v>
      </c>
      <c r="F32" s="372">
        <v>45360</v>
      </c>
      <c r="G32" s="373">
        <v>1</v>
      </c>
      <c r="H32" s="373">
        <v>2</v>
      </c>
      <c r="I32" s="374">
        <v>426749.05250420165</v>
      </c>
      <c r="J32" s="373">
        <v>14</v>
      </c>
      <c r="K32" s="374">
        <v>633182.03356862755</v>
      </c>
      <c r="L32" s="374">
        <v>1059931.0860728291</v>
      </c>
      <c r="M32" s="373">
        <v>392</v>
      </c>
      <c r="N32" s="373">
        <v>257</v>
      </c>
      <c r="O32" s="373">
        <v>100744</v>
      </c>
      <c r="P32" s="374">
        <v>880744.3456</v>
      </c>
      <c r="Q32" s="375" t="s">
        <v>332</v>
      </c>
      <c r="R32" s="373">
        <v>357</v>
      </c>
      <c r="S32" s="373">
        <v>285.60000000000002</v>
      </c>
      <c r="T32" s="374">
        <v>2373004.7040000004</v>
      </c>
      <c r="U32" s="376" t="s">
        <v>320</v>
      </c>
    </row>
    <row r="33" spans="1:21" ht="85.2" customHeight="1">
      <c r="A33" s="370">
        <v>32</v>
      </c>
      <c r="B33" s="384" t="str">
        <f>UPPER((TEXT(Tabla3[[#This Row],[Fecha llegada]],"MMM")))</f>
        <v>MAR</v>
      </c>
      <c r="C33" s="385">
        <f>YEAR(Tabla3[[#This Row],[Fecha llegada]])</f>
        <v>2024</v>
      </c>
      <c r="D33" s="371" t="s">
        <v>348</v>
      </c>
      <c r="E33" s="372">
        <v>45360</v>
      </c>
      <c r="F33" s="372">
        <v>45361</v>
      </c>
      <c r="G33" s="373">
        <v>1</v>
      </c>
      <c r="H33" s="373">
        <v>1</v>
      </c>
      <c r="I33" s="374">
        <v>213374.52625210083</v>
      </c>
      <c r="J33" s="373">
        <v>7</v>
      </c>
      <c r="K33" s="374">
        <v>142805.17552941176</v>
      </c>
      <c r="L33" s="374">
        <v>356179.70178151259</v>
      </c>
      <c r="M33" s="373">
        <v>196</v>
      </c>
      <c r="N33" s="373">
        <v>257</v>
      </c>
      <c r="O33" s="373">
        <v>50372</v>
      </c>
      <c r="P33" s="374">
        <v>440372.1728</v>
      </c>
      <c r="Q33" s="375" t="s">
        <v>333</v>
      </c>
      <c r="R33" s="373">
        <v>357</v>
      </c>
      <c r="S33" s="373">
        <v>285.60000000000002</v>
      </c>
      <c r="T33" s="374">
        <v>2373004.7040000004</v>
      </c>
      <c r="U33" s="376" t="s">
        <v>320</v>
      </c>
    </row>
    <row r="34" spans="1:21" ht="85.2" customHeight="1">
      <c r="A34" s="362">
        <v>33</v>
      </c>
      <c r="B34" s="384" t="str">
        <f>UPPER((TEXT(Tabla3[[#This Row],[Fecha llegada]],"MMM")))</f>
        <v>MAR</v>
      </c>
      <c r="C34" s="385">
        <f>YEAR(Tabla3[[#This Row],[Fecha llegada]])</f>
        <v>2024</v>
      </c>
      <c r="D34" s="371" t="s">
        <v>349</v>
      </c>
      <c r="E34" s="372">
        <v>45361</v>
      </c>
      <c r="F34" s="372">
        <v>45362</v>
      </c>
      <c r="G34" s="373">
        <v>1</v>
      </c>
      <c r="H34" s="373">
        <v>2</v>
      </c>
      <c r="I34" s="374">
        <v>426749.05250420165</v>
      </c>
      <c r="J34" s="373">
        <v>8</v>
      </c>
      <c r="K34" s="374">
        <v>361818.30489635858</v>
      </c>
      <c r="L34" s="374">
        <v>788567.35740056029</v>
      </c>
      <c r="M34" s="373">
        <v>262.23</v>
      </c>
      <c r="N34" s="373">
        <v>212.6</v>
      </c>
      <c r="O34" s="373">
        <v>55750.098000000005</v>
      </c>
      <c r="P34" s="374">
        <v>487389.65675520006</v>
      </c>
      <c r="Q34" s="375" t="s">
        <v>334</v>
      </c>
      <c r="R34" s="373">
        <v>212.6</v>
      </c>
      <c r="S34" s="373">
        <v>170.08</v>
      </c>
      <c r="T34" s="374">
        <v>1413167.5072000001</v>
      </c>
      <c r="U34" s="376" t="s">
        <v>320</v>
      </c>
    </row>
    <row r="35" spans="1:21" ht="85.2" customHeight="1">
      <c r="A35" s="370">
        <v>34</v>
      </c>
      <c r="B35" s="384" t="str">
        <f>UPPER((TEXT(Tabla3[[#This Row],[Fecha llegada]],"MMM")))</f>
        <v>MAR</v>
      </c>
      <c r="C35" s="385">
        <f>YEAR(Tabla3[[#This Row],[Fecha llegada]])</f>
        <v>2024</v>
      </c>
      <c r="D35" s="371" t="s">
        <v>350</v>
      </c>
      <c r="E35" s="372">
        <v>45362</v>
      </c>
      <c r="F35" s="372">
        <v>45363</v>
      </c>
      <c r="G35" s="373">
        <v>1</v>
      </c>
      <c r="H35" s="373">
        <v>2</v>
      </c>
      <c r="I35" s="374">
        <v>426749.05250420165</v>
      </c>
      <c r="J35" s="373">
        <v>14</v>
      </c>
      <c r="K35" s="374">
        <v>285610.35105882352</v>
      </c>
      <c r="L35" s="374">
        <v>712359.40356302517</v>
      </c>
      <c r="M35" s="373">
        <v>389.55</v>
      </c>
      <c r="N35" s="373">
        <v>257</v>
      </c>
      <c r="O35" s="373">
        <v>100114.35</v>
      </c>
      <c r="P35" s="374">
        <v>875239.69344000006</v>
      </c>
      <c r="Q35" s="375" t="s">
        <v>335</v>
      </c>
      <c r="R35" s="373">
        <v>357</v>
      </c>
      <c r="S35" s="373">
        <v>285.60000000000002</v>
      </c>
      <c r="T35" s="374">
        <v>2373004.7040000004</v>
      </c>
      <c r="U35" s="376" t="s">
        <v>320</v>
      </c>
    </row>
    <row r="36" spans="1:21" ht="85.2" customHeight="1">
      <c r="A36" s="362">
        <v>35</v>
      </c>
      <c r="B36" s="384" t="str">
        <f>UPPER((TEXT(Tabla3[[#This Row],[Fecha llegada]],"MMM")))</f>
        <v>MAR</v>
      </c>
      <c r="C36" s="385">
        <f>YEAR(Tabla3[[#This Row],[Fecha llegada]])</f>
        <v>2024</v>
      </c>
      <c r="D36" s="371" t="s">
        <v>351</v>
      </c>
      <c r="E36" s="372">
        <v>45363</v>
      </c>
      <c r="F36" s="372">
        <v>45364</v>
      </c>
      <c r="G36" s="373">
        <v>1</v>
      </c>
      <c r="H36" s="373">
        <v>2</v>
      </c>
      <c r="I36" s="374">
        <v>426749.05250420165</v>
      </c>
      <c r="J36" s="373">
        <v>8</v>
      </c>
      <c r="K36" s="374">
        <v>361818.30489635858</v>
      </c>
      <c r="L36" s="374">
        <v>788567.35740056029</v>
      </c>
      <c r="M36" s="373">
        <v>278.54000000000002</v>
      </c>
      <c r="N36" s="373">
        <v>212.6</v>
      </c>
      <c r="O36" s="373">
        <v>59217.603999999999</v>
      </c>
      <c r="P36" s="374">
        <v>517703.9812096</v>
      </c>
      <c r="Q36" s="375" t="s">
        <v>336</v>
      </c>
      <c r="R36" s="373">
        <v>212.6</v>
      </c>
      <c r="S36" s="373">
        <v>170.08</v>
      </c>
      <c r="T36" s="374">
        <v>1413167.5072000001</v>
      </c>
      <c r="U36" s="376" t="s">
        <v>320</v>
      </c>
    </row>
    <row r="37" spans="1:21" ht="85.2" customHeight="1">
      <c r="A37" s="370">
        <v>36</v>
      </c>
      <c r="B37" s="384" t="str">
        <f>UPPER((TEXT(Tabla3[[#This Row],[Fecha llegada]],"MMM")))</f>
        <v>MAR</v>
      </c>
      <c r="C37" s="385">
        <f>YEAR(Tabla3[[#This Row],[Fecha llegada]])</f>
        <v>2024</v>
      </c>
      <c r="D37" s="371" t="s">
        <v>352</v>
      </c>
      <c r="E37" s="372">
        <v>45364</v>
      </c>
      <c r="F37" s="372">
        <v>45365</v>
      </c>
      <c r="G37" s="373">
        <v>1</v>
      </c>
      <c r="H37" s="373">
        <v>2</v>
      </c>
      <c r="I37" s="374">
        <v>426749.05250420165</v>
      </c>
      <c r="J37" s="373">
        <v>14</v>
      </c>
      <c r="K37" s="374">
        <v>285610.35105882352</v>
      </c>
      <c r="L37" s="374">
        <v>712359.40356302517</v>
      </c>
      <c r="M37" s="373">
        <v>388.33</v>
      </c>
      <c r="N37" s="373">
        <v>257</v>
      </c>
      <c r="O37" s="373">
        <v>99800.81</v>
      </c>
      <c r="P37" s="374">
        <v>872498.60134399997</v>
      </c>
      <c r="Q37" s="375" t="s">
        <v>366</v>
      </c>
      <c r="R37" s="373">
        <v>357</v>
      </c>
      <c r="S37" s="373">
        <v>285.60000000000002</v>
      </c>
      <c r="T37" s="374">
        <v>2373004.7040000004</v>
      </c>
      <c r="U37" s="376" t="s">
        <v>320</v>
      </c>
    </row>
    <row r="38" spans="1:21" ht="85.2" customHeight="1">
      <c r="A38" s="362">
        <v>37</v>
      </c>
      <c r="B38" s="384" t="str">
        <f>UPPER((TEXT(Tabla3[[#This Row],[Fecha llegada]],"MMM")))</f>
        <v>MAR</v>
      </c>
      <c r="C38" s="385">
        <f>YEAR(Tabla3[[#This Row],[Fecha llegada]])</f>
        <v>2024</v>
      </c>
      <c r="D38" s="371" t="s">
        <v>353</v>
      </c>
      <c r="E38" s="372">
        <v>45365</v>
      </c>
      <c r="F38" s="372">
        <v>45366</v>
      </c>
      <c r="G38" s="373">
        <v>1</v>
      </c>
      <c r="H38" s="373">
        <v>2</v>
      </c>
      <c r="I38" s="374">
        <v>426749.05250420165</v>
      </c>
      <c r="J38" s="373">
        <v>9</v>
      </c>
      <c r="K38" s="374">
        <v>407045.59300840338</v>
      </c>
      <c r="L38" s="374">
        <v>833794.64551260509</v>
      </c>
      <c r="M38" s="373">
        <v>299.95</v>
      </c>
      <c r="N38" s="373">
        <v>212.6</v>
      </c>
      <c r="O38" s="373">
        <v>63769.369999999995</v>
      </c>
      <c r="P38" s="374">
        <v>557497.34028799995</v>
      </c>
      <c r="Q38" s="375" t="s">
        <v>337</v>
      </c>
      <c r="R38" s="373">
        <v>212.6</v>
      </c>
      <c r="S38" s="373">
        <v>170.08</v>
      </c>
      <c r="T38" s="374">
        <v>1413167.5072000001</v>
      </c>
      <c r="U38" s="376" t="s">
        <v>320</v>
      </c>
    </row>
    <row r="39" spans="1:21" ht="85.2" customHeight="1">
      <c r="A39" s="370">
        <v>38</v>
      </c>
      <c r="B39" s="384" t="str">
        <f>UPPER((TEXT(Tabla3[[#This Row],[Fecha llegada]],"MMM")))</f>
        <v>MAR</v>
      </c>
      <c r="C39" s="385">
        <f>YEAR(Tabla3[[#This Row],[Fecha llegada]])</f>
        <v>2024</v>
      </c>
      <c r="D39" s="371" t="s">
        <v>354</v>
      </c>
      <c r="E39" s="372">
        <v>45366</v>
      </c>
      <c r="F39" s="372">
        <v>45367</v>
      </c>
      <c r="G39" s="373">
        <v>1</v>
      </c>
      <c r="H39" s="373">
        <v>2</v>
      </c>
      <c r="I39" s="374">
        <v>426749.05250420165</v>
      </c>
      <c r="J39" s="373">
        <v>14</v>
      </c>
      <c r="K39" s="374">
        <v>285610.35105882352</v>
      </c>
      <c r="L39" s="374">
        <v>712359.40356302517</v>
      </c>
      <c r="M39" s="373">
        <v>388.33</v>
      </c>
      <c r="N39" s="373">
        <v>257</v>
      </c>
      <c r="O39" s="373">
        <v>99800.81</v>
      </c>
      <c r="P39" s="374">
        <v>872498.60134399997</v>
      </c>
      <c r="Q39" s="375" t="s">
        <v>338</v>
      </c>
      <c r="R39" s="373">
        <v>357</v>
      </c>
      <c r="S39" s="373">
        <v>285.60000000000002</v>
      </c>
      <c r="T39" s="374">
        <v>2373004.7040000004</v>
      </c>
      <c r="U39" s="376" t="s">
        <v>320</v>
      </c>
    </row>
    <row r="40" spans="1:21" ht="85.2" customHeight="1">
      <c r="A40" s="362">
        <v>39</v>
      </c>
      <c r="B40" s="384" t="str">
        <f>UPPER((TEXT(Tabla3[[#This Row],[Fecha llegada]],"MMM")))</f>
        <v>MAR</v>
      </c>
      <c r="C40" s="385">
        <f>YEAR(Tabla3[[#This Row],[Fecha llegada]])</f>
        <v>2024</v>
      </c>
      <c r="D40" s="371" t="s">
        <v>355</v>
      </c>
      <c r="E40" s="372">
        <v>45366</v>
      </c>
      <c r="F40" s="372">
        <v>45367</v>
      </c>
      <c r="G40" s="373">
        <v>1</v>
      </c>
      <c r="H40" s="373">
        <v>1</v>
      </c>
      <c r="I40" s="374">
        <v>213374.52625210083</v>
      </c>
      <c r="J40" s="373">
        <v>7</v>
      </c>
      <c r="K40" s="374">
        <v>142805.17552941176</v>
      </c>
      <c r="L40" s="374">
        <v>356179.70178151259</v>
      </c>
      <c r="M40" s="373">
        <v>196</v>
      </c>
      <c r="N40" s="373">
        <v>257</v>
      </c>
      <c r="O40" s="373">
        <v>50372</v>
      </c>
      <c r="P40" s="374">
        <v>440372.1728</v>
      </c>
      <c r="Q40" s="375" t="s">
        <v>339</v>
      </c>
      <c r="R40" s="373">
        <v>257</v>
      </c>
      <c r="S40" s="373">
        <v>205.60000000000002</v>
      </c>
      <c r="T40" s="374">
        <v>1708297.5040000002</v>
      </c>
      <c r="U40" s="376" t="s">
        <v>320</v>
      </c>
    </row>
    <row r="41" spans="1:21" ht="85.2" customHeight="1">
      <c r="A41" s="370">
        <v>40</v>
      </c>
      <c r="B41" s="385" t="str">
        <f>UPPER((TEXT(Tabla3[[#This Row],[Fecha llegada]],"MMM")))</f>
        <v>MAR</v>
      </c>
      <c r="C41" s="385">
        <f>YEAR(Tabla3[[#This Row],[Fecha llegada]])</f>
        <v>2024</v>
      </c>
      <c r="D41" s="371" t="s">
        <v>356</v>
      </c>
      <c r="E41" s="372">
        <v>45381</v>
      </c>
      <c r="F41" s="372">
        <v>45382</v>
      </c>
      <c r="G41" s="373">
        <v>1</v>
      </c>
      <c r="H41" s="373">
        <v>2</v>
      </c>
      <c r="I41" s="374">
        <v>426749.052504202</v>
      </c>
      <c r="J41" s="373">
        <v>8</v>
      </c>
      <c r="K41" s="374">
        <v>361818.30489635858</v>
      </c>
      <c r="L41" s="374">
        <v>788567.35740056029</v>
      </c>
      <c r="M41" s="373">
        <v>286.37</v>
      </c>
      <c r="N41" s="373">
        <v>212.6</v>
      </c>
      <c r="O41" s="373">
        <v>60882.262000000002</v>
      </c>
      <c r="P41" s="374">
        <v>532257.08730879996</v>
      </c>
      <c r="Q41" s="375" t="s">
        <v>340</v>
      </c>
      <c r="R41" s="373">
        <v>212.6</v>
      </c>
      <c r="S41" s="373">
        <v>170.08</v>
      </c>
      <c r="T41" s="374">
        <v>1413167.5072000001</v>
      </c>
      <c r="U41" s="376" t="s">
        <v>320</v>
      </c>
    </row>
    <row r="42" spans="1:21" ht="60">
      <c r="A42" s="362">
        <v>41</v>
      </c>
      <c r="B42" s="385" t="str">
        <f>UPPER((TEXT(Tabla3[[#This Row],[Fecha llegada]],"MMM")))</f>
        <v>ABR</v>
      </c>
      <c r="C42" s="385">
        <f>YEAR(Tabla3[[#This Row],[Fecha llegada]])</f>
        <v>2024</v>
      </c>
      <c r="D42" s="371" t="s">
        <v>382</v>
      </c>
      <c r="E42" s="372">
        <v>45382</v>
      </c>
      <c r="F42" s="372">
        <v>45383</v>
      </c>
      <c r="G42" s="373">
        <v>1</v>
      </c>
      <c r="H42" s="373">
        <v>2</v>
      </c>
      <c r="I42" s="374">
        <v>426749.05250420165</v>
      </c>
      <c r="J42" s="373">
        <v>14</v>
      </c>
      <c r="K42" s="374">
        <v>285610.35105882352</v>
      </c>
      <c r="L42" s="374">
        <v>712359.40356302517</v>
      </c>
      <c r="M42" s="373">
        <v>380.98</v>
      </c>
      <c r="N42" s="373">
        <v>257</v>
      </c>
      <c r="O42" s="373">
        <v>97911.86</v>
      </c>
      <c r="P42" s="374">
        <v>855984.64486400003</v>
      </c>
      <c r="Q42" s="375"/>
      <c r="R42" s="373">
        <v>357</v>
      </c>
      <c r="S42" s="373">
        <v>285.60000000000002</v>
      </c>
      <c r="T42" s="374">
        <v>2373004.7040000004</v>
      </c>
      <c r="U42" s="473" t="s">
        <v>367</v>
      </c>
    </row>
    <row r="43" spans="1:21" ht="48">
      <c r="A43" s="370">
        <v>42</v>
      </c>
      <c r="B43" s="385" t="str">
        <f>UPPER((TEXT(Tabla3[[#This Row],[Fecha llegada]],"MMM")))</f>
        <v>ABR</v>
      </c>
      <c r="C43" s="385">
        <f>YEAR(Tabla3[[#This Row],[Fecha llegada]])</f>
        <v>2024</v>
      </c>
      <c r="D43" s="371" t="s">
        <v>383</v>
      </c>
      <c r="E43" s="372">
        <v>45389</v>
      </c>
      <c r="F43" s="372">
        <v>45390</v>
      </c>
      <c r="G43" s="373">
        <v>1</v>
      </c>
      <c r="H43" s="373">
        <v>2</v>
      </c>
      <c r="I43" s="374">
        <v>426749.05250420165</v>
      </c>
      <c r="J43" s="373">
        <v>14</v>
      </c>
      <c r="K43" s="374">
        <v>633182.03356862755</v>
      </c>
      <c r="L43" s="374">
        <v>1059931.0860728291</v>
      </c>
      <c r="M43" s="373">
        <v>473.72</v>
      </c>
      <c r="N43" s="373">
        <v>212.6</v>
      </c>
      <c r="O43" s="373">
        <v>100712.872</v>
      </c>
      <c r="P43" s="374">
        <v>880472.21217279998</v>
      </c>
      <c r="Q43" s="375" t="s">
        <v>373</v>
      </c>
      <c r="R43" s="373">
        <v>212.6</v>
      </c>
      <c r="S43" s="373">
        <v>170.08</v>
      </c>
      <c r="T43" s="374">
        <v>1413167.5072000001</v>
      </c>
      <c r="U43" s="473" t="s">
        <v>367</v>
      </c>
    </row>
    <row r="44" spans="1:21" ht="72">
      <c r="A44" s="362">
        <v>43</v>
      </c>
      <c r="B44" s="385" t="str">
        <f>UPPER((TEXT(Tabla3[[#This Row],[Fecha llegada]],"MMM")))</f>
        <v>ABR</v>
      </c>
      <c r="C44" s="385">
        <f>YEAR(Tabla3[[#This Row],[Fecha llegada]])</f>
        <v>2024</v>
      </c>
      <c r="D44" s="371" t="s">
        <v>384</v>
      </c>
      <c r="E44" s="372">
        <v>45391</v>
      </c>
      <c r="F44" s="372">
        <v>45392</v>
      </c>
      <c r="G44" s="373">
        <v>1</v>
      </c>
      <c r="H44" s="373">
        <v>2</v>
      </c>
      <c r="I44" s="374">
        <v>426749.05250420165</v>
      </c>
      <c r="J44" s="373">
        <v>14</v>
      </c>
      <c r="K44" s="374">
        <v>285610.35105882352</v>
      </c>
      <c r="L44" s="374">
        <v>712359.40356302517</v>
      </c>
      <c r="M44" s="373">
        <v>387.1</v>
      </c>
      <c r="N44" s="373">
        <v>257</v>
      </c>
      <c r="O44" s="373">
        <v>99484.700000000012</v>
      </c>
      <c r="P44" s="374">
        <v>869735.04128000012</v>
      </c>
      <c r="Q44" s="375"/>
      <c r="R44" s="373">
        <v>357</v>
      </c>
      <c r="S44" s="373">
        <v>285.60000000000002</v>
      </c>
      <c r="T44" s="374">
        <v>2373004.7040000004</v>
      </c>
      <c r="U44" s="473" t="s">
        <v>367</v>
      </c>
    </row>
    <row r="45" spans="1:21" ht="60">
      <c r="A45" s="370">
        <v>44</v>
      </c>
      <c r="B45" s="385" t="str">
        <f>UPPER((TEXT(Tabla3[[#This Row],[Fecha llegada]],"MMM")))</f>
        <v>ABR</v>
      </c>
      <c r="C45" s="385">
        <f>YEAR(Tabla3[[#This Row],[Fecha llegada]])</f>
        <v>2024</v>
      </c>
      <c r="D45" s="371" t="s">
        <v>385</v>
      </c>
      <c r="E45" s="372">
        <v>45392</v>
      </c>
      <c r="F45" s="372">
        <v>45393</v>
      </c>
      <c r="G45" s="373">
        <v>1</v>
      </c>
      <c r="H45" s="373">
        <v>2</v>
      </c>
      <c r="I45" s="374">
        <v>426749.05250420165</v>
      </c>
      <c r="J45" s="373">
        <v>11</v>
      </c>
      <c r="K45" s="374">
        <v>497500.16923249303</v>
      </c>
      <c r="L45" s="374">
        <v>924249.22173669469</v>
      </c>
      <c r="M45" s="373">
        <v>360.13</v>
      </c>
      <c r="N45" s="373">
        <v>212.6</v>
      </c>
      <c r="O45" s="373">
        <v>76563.637999999992</v>
      </c>
      <c r="P45" s="374">
        <v>669349.94885119994</v>
      </c>
      <c r="Q45" s="375" t="s">
        <v>374</v>
      </c>
      <c r="R45" s="373">
        <v>212.6</v>
      </c>
      <c r="S45" s="373">
        <v>170.08</v>
      </c>
      <c r="T45" s="374">
        <v>1413167.5072000001</v>
      </c>
      <c r="U45" s="473" t="s">
        <v>367</v>
      </c>
    </row>
    <row r="46" spans="1:21" ht="72">
      <c r="A46" s="362">
        <v>45</v>
      </c>
      <c r="B46" s="385" t="str">
        <f>UPPER((TEXT(Tabla3[[#This Row],[Fecha llegada]],"MMM")))</f>
        <v>ABR</v>
      </c>
      <c r="C46" s="385">
        <f>YEAR(Tabla3[[#This Row],[Fecha llegada]])</f>
        <v>2024</v>
      </c>
      <c r="D46" s="371" t="s">
        <v>386</v>
      </c>
      <c r="E46" s="372">
        <v>45393</v>
      </c>
      <c r="F46" s="372">
        <v>45394</v>
      </c>
      <c r="G46" s="373">
        <v>1</v>
      </c>
      <c r="H46" s="373">
        <v>2</v>
      </c>
      <c r="I46" s="374">
        <v>426749.05250420165</v>
      </c>
      <c r="J46" s="373">
        <v>14</v>
      </c>
      <c r="K46" s="374">
        <v>285610.35105882352</v>
      </c>
      <c r="L46" s="374">
        <v>712359.40356302517</v>
      </c>
      <c r="M46" s="373">
        <v>392</v>
      </c>
      <c r="N46" s="373">
        <v>257</v>
      </c>
      <c r="O46" s="373">
        <v>100744</v>
      </c>
      <c r="P46" s="374">
        <v>880744.3456</v>
      </c>
      <c r="Q46" s="375"/>
      <c r="R46" s="373">
        <v>357</v>
      </c>
      <c r="S46" s="373">
        <v>285.60000000000002</v>
      </c>
      <c r="T46" s="374">
        <v>2373004.7040000004</v>
      </c>
      <c r="U46" s="473" t="s">
        <v>367</v>
      </c>
    </row>
    <row r="47" spans="1:21" ht="60">
      <c r="A47" s="370">
        <v>46</v>
      </c>
      <c r="B47" s="385" t="str">
        <f>UPPER((TEXT(Tabla3[[#This Row],[Fecha llegada]],"MMM")))</f>
        <v>ABR</v>
      </c>
      <c r="C47" s="385">
        <f>YEAR(Tabla3[[#This Row],[Fecha llegada]])</f>
        <v>2024</v>
      </c>
      <c r="D47" s="371" t="s">
        <v>387</v>
      </c>
      <c r="E47" s="372">
        <v>45394</v>
      </c>
      <c r="F47" s="372">
        <v>45395</v>
      </c>
      <c r="G47" s="373">
        <v>1</v>
      </c>
      <c r="H47" s="373">
        <v>2</v>
      </c>
      <c r="I47" s="374">
        <v>426749.05250420165</v>
      </c>
      <c r="J47" s="373">
        <v>11</v>
      </c>
      <c r="K47" s="374">
        <v>497500.16923249303</v>
      </c>
      <c r="L47" s="374">
        <v>924249.22173669469</v>
      </c>
      <c r="M47" s="373">
        <v>370.94</v>
      </c>
      <c r="N47" s="373">
        <v>212.6</v>
      </c>
      <c r="O47" s="373">
        <v>78861.843999999997</v>
      </c>
      <c r="P47" s="374">
        <v>689441.78498559992</v>
      </c>
      <c r="Q47" s="375" t="s">
        <v>375</v>
      </c>
      <c r="R47" s="373">
        <v>212.6</v>
      </c>
      <c r="S47" s="373">
        <v>170.08</v>
      </c>
      <c r="T47" s="374">
        <v>1413167.5072000001</v>
      </c>
      <c r="U47" s="473" t="s">
        <v>367</v>
      </c>
    </row>
    <row r="48" spans="1:21" ht="72">
      <c r="A48" s="362">
        <v>47</v>
      </c>
      <c r="B48" s="385" t="str">
        <f>UPPER((TEXT(Tabla3[[#This Row],[Fecha llegada]],"MMM")))</f>
        <v>ABR</v>
      </c>
      <c r="C48" s="385">
        <f>YEAR(Tabla3[[#This Row],[Fecha llegada]])</f>
        <v>2024</v>
      </c>
      <c r="D48" s="371" t="s">
        <v>388</v>
      </c>
      <c r="E48" s="372">
        <v>45395</v>
      </c>
      <c r="F48" s="372">
        <v>45396</v>
      </c>
      <c r="G48" s="373">
        <v>1</v>
      </c>
      <c r="H48" s="373">
        <v>2</v>
      </c>
      <c r="I48" s="374">
        <v>426749.05250420165</v>
      </c>
      <c r="J48" s="373">
        <v>14</v>
      </c>
      <c r="K48" s="374">
        <v>285610.35105882352</v>
      </c>
      <c r="L48" s="374">
        <v>712359.40356302517</v>
      </c>
      <c r="M48" s="373">
        <v>389.55</v>
      </c>
      <c r="N48" s="373">
        <v>257</v>
      </c>
      <c r="O48" s="373">
        <v>100114.35</v>
      </c>
      <c r="P48" s="374">
        <v>875239.69344000006</v>
      </c>
      <c r="Q48" s="375"/>
      <c r="R48" s="373">
        <v>357</v>
      </c>
      <c r="S48" s="373">
        <v>285.60000000000002</v>
      </c>
      <c r="T48" s="374">
        <v>2373004.7040000004</v>
      </c>
      <c r="U48" s="473" t="s">
        <v>367</v>
      </c>
    </row>
    <row r="49" spans="1:21" ht="60">
      <c r="A49" s="370">
        <v>48</v>
      </c>
      <c r="B49" s="385" t="str">
        <f>UPPER((TEXT(Tabla3[[#This Row],[Fecha llegada]],"MMM")))</f>
        <v>ABR</v>
      </c>
      <c r="C49" s="385">
        <f>YEAR(Tabla3[[#This Row],[Fecha llegada]])</f>
        <v>2024</v>
      </c>
      <c r="D49" s="371" t="s">
        <v>389</v>
      </c>
      <c r="E49" s="372">
        <v>45397</v>
      </c>
      <c r="F49" s="372">
        <v>45398</v>
      </c>
      <c r="G49" s="373">
        <v>1</v>
      </c>
      <c r="H49" s="373">
        <v>2</v>
      </c>
      <c r="I49" s="374">
        <v>426749.05250420165</v>
      </c>
      <c r="J49" s="373">
        <v>11</v>
      </c>
      <c r="K49" s="374">
        <v>497500.16923249303</v>
      </c>
      <c r="L49" s="374">
        <v>924249.22173669469</v>
      </c>
      <c r="M49" s="373">
        <v>383.19</v>
      </c>
      <c r="N49" s="373">
        <v>212.6</v>
      </c>
      <c r="O49" s="373">
        <v>81466.194000000003</v>
      </c>
      <c r="P49" s="374">
        <v>712210.05442559998</v>
      </c>
      <c r="Q49" s="375" t="s">
        <v>376</v>
      </c>
      <c r="R49" s="373">
        <v>312.60000000000002</v>
      </c>
      <c r="S49" s="373">
        <v>250.08000000000004</v>
      </c>
      <c r="T49" s="374">
        <v>2077874.7072000003</v>
      </c>
      <c r="U49" s="473" t="s">
        <v>367</v>
      </c>
    </row>
    <row r="50" spans="1:21" ht="72">
      <c r="A50" s="362">
        <v>49</v>
      </c>
      <c r="B50" s="385" t="str">
        <f>UPPER((TEXT(Tabla3[[#This Row],[Fecha llegada]],"MMM")))</f>
        <v>ABR</v>
      </c>
      <c r="C50" s="385">
        <f>YEAR(Tabla3[[#This Row],[Fecha llegada]])</f>
        <v>2024</v>
      </c>
      <c r="D50" s="371" t="s">
        <v>390</v>
      </c>
      <c r="E50" s="372">
        <v>45398</v>
      </c>
      <c r="F50" s="372">
        <v>45399</v>
      </c>
      <c r="G50" s="373">
        <v>1</v>
      </c>
      <c r="H50" s="373">
        <v>2</v>
      </c>
      <c r="I50" s="374">
        <v>426749.05250420165</v>
      </c>
      <c r="J50" s="373">
        <v>14</v>
      </c>
      <c r="K50" s="374">
        <v>285610.35105882352</v>
      </c>
      <c r="L50" s="374">
        <v>712359.40356302517</v>
      </c>
      <c r="M50" s="373">
        <v>392</v>
      </c>
      <c r="N50" s="373">
        <v>257</v>
      </c>
      <c r="O50" s="373">
        <v>100744</v>
      </c>
      <c r="P50" s="374">
        <v>880744.3456</v>
      </c>
      <c r="Q50" s="375"/>
      <c r="R50" s="373">
        <v>257</v>
      </c>
      <c r="S50" s="373">
        <v>205.60000000000002</v>
      </c>
      <c r="T50" s="374">
        <v>1708297.5040000002</v>
      </c>
      <c r="U50" s="473" t="s">
        <v>367</v>
      </c>
    </row>
    <row r="51" spans="1:21" ht="60">
      <c r="A51" s="370">
        <v>50</v>
      </c>
      <c r="B51" s="385" t="str">
        <f>UPPER((TEXT(Tabla3[[#This Row],[Fecha llegada]],"MMM")))</f>
        <v>ABR</v>
      </c>
      <c r="C51" s="385">
        <f>YEAR(Tabla3[[#This Row],[Fecha llegada]])</f>
        <v>2024</v>
      </c>
      <c r="D51" s="371" t="s">
        <v>391</v>
      </c>
      <c r="E51" s="372">
        <v>45399</v>
      </c>
      <c r="F51" s="372">
        <v>45400</v>
      </c>
      <c r="G51" s="373">
        <v>1</v>
      </c>
      <c r="H51" s="373">
        <v>2</v>
      </c>
      <c r="I51" s="374">
        <v>426749.05250420165</v>
      </c>
      <c r="J51" s="373">
        <v>11</v>
      </c>
      <c r="K51" s="374">
        <v>497500.16923249303</v>
      </c>
      <c r="L51" s="374">
        <v>924249.22173669469</v>
      </c>
      <c r="M51" s="373">
        <v>378.98</v>
      </c>
      <c r="N51" s="373">
        <v>212.6</v>
      </c>
      <c r="O51" s="373">
        <v>80571.148000000001</v>
      </c>
      <c r="P51" s="374">
        <v>704385.20427520003</v>
      </c>
      <c r="Q51" s="375" t="s">
        <v>377</v>
      </c>
      <c r="R51" s="373">
        <v>312.60000000000002</v>
      </c>
      <c r="S51" s="373">
        <v>250.08000000000004</v>
      </c>
      <c r="T51" s="374">
        <v>2077874.7072000003</v>
      </c>
      <c r="U51" s="473" t="s">
        <v>367</v>
      </c>
    </row>
    <row r="52" spans="1:21" ht="72">
      <c r="A52" s="362">
        <v>51</v>
      </c>
      <c r="B52" s="385" t="str">
        <f>UPPER((TEXT(Tabla3[[#This Row],[Fecha llegada]],"MMM")))</f>
        <v>ABR</v>
      </c>
      <c r="C52" s="385">
        <f>YEAR(Tabla3[[#This Row],[Fecha llegada]])</f>
        <v>2024</v>
      </c>
      <c r="D52" s="371" t="s">
        <v>392</v>
      </c>
      <c r="E52" s="372">
        <v>45400</v>
      </c>
      <c r="F52" s="372">
        <v>45401</v>
      </c>
      <c r="G52" s="373">
        <v>1</v>
      </c>
      <c r="H52" s="373">
        <v>2</v>
      </c>
      <c r="I52" s="374">
        <v>426749.05250420165</v>
      </c>
      <c r="J52" s="373">
        <v>14</v>
      </c>
      <c r="K52" s="374">
        <v>285610.35105882352</v>
      </c>
      <c r="L52" s="374">
        <v>712359.40356302517</v>
      </c>
      <c r="M52" s="373">
        <v>388.33</v>
      </c>
      <c r="N52" s="373">
        <v>257</v>
      </c>
      <c r="O52" s="373">
        <v>99800.81</v>
      </c>
      <c r="P52" s="374">
        <v>872498.60134399997</v>
      </c>
      <c r="Q52" s="375"/>
      <c r="R52" s="373">
        <v>257</v>
      </c>
      <c r="S52" s="373">
        <v>205.60000000000002</v>
      </c>
      <c r="T52" s="374">
        <v>1708297.5040000002</v>
      </c>
      <c r="U52" s="473" t="s">
        <v>367</v>
      </c>
    </row>
    <row r="53" spans="1:21" ht="60">
      <c r="A53" s="370">
        <v>52</v>
      </c>
      <c r="B53" s="385" t="str">
        <f>UPPER((TEXT(Tabla3[[#This Row],[Fecha llegada]],"MMM")))</f>
        <v>ABR</v>
      </c>
      <c r="C53" s="385">
        <f>YEAR(Tabla3[[#This Row],[Fecha llegada]])</f>
        <v>2024</v>
      </c>
      <c r="D53" s="371" t="s">
        <v>393</v>
      </c>
      <c r="E53" s="372">
        <v>45401</v>
      </c>
      <c r="F53" s="372">
        <v>45402</v>
      </c>
      <c r="G53" s="373">
        <v>1</v>
      </c>
      <c r="H53" s="373">
        <v>2</v>
      </c>
      <c r="I53" s="374">
        <v>426749.05250420165</v>
      </c>
      <c r="J53" s="373">
        <v>11</v>
      </c>
      <c r="K53" s="374">
        <v>497500.16923249303</v>
      </c>
      <c r="L53" s="374">
        <v>924249.22173669469</v>
      </c>
      <c r="M53" s="373">
        <v>360.13</v>
      </c>
      <c r="N53" s="373">
        <v>212.6</v>
      </c>
      <c r="O53" s="373">
        <v>76563.637999999992</v>
      </c>
      <c r="P53" s="374">
        <v>669349.94885119994</v>
      </c>
      <c r="Q53" s="375" t="s">
        <v>378</v>
      </c>
      <c r="R53" s="373">
        <v>312.60000000000002</v>
      </c>
      <c r="S53" s="373">
        <v>250.08000000000004</v>
      </c>
      <c r="T53" s="374">
        <v>2077874.7072000003</v>
      </c>
      <c r="U53" s="473" t="s">
        <v>367</v>
      </c>
    </row>
    <row r="54" spans="1:21" ht="72">
      <c r="A54" s="362">
        <v>53</v>
      </c>
      <c r="B54" s="385" t="str">
        <f>UPPER((TEXT(Tabla3[[#This Row],[Fecha llegada]],"MMM")))</f>
        <v>ABR</v>
      </c>
      <c r="C54" s="385">
        <f>YEAR(Tabla3[[#This Row],[Fecha llegada]])</f>
        <v>2024</v>
      </c>
      <c r="D54" s="371" t="s">
        <v>394</v>
      </c>
      <c r="E54" s="372">
        <v>45402</v>
      </c>
      <c r="F54" s="372">
        <v>45403</v>
      </c>
      <c r="G54" s="373">
        <v>1</v>
      </c>
      <c r="H54" s="373">
        <v>2</v>
      </c>
      <c r="I54" s="374">
        <v>426749.05250420165</v>
      </c>
      <c r="J54" s="373">
        <v>14</v>
      </c>
      <c r="K54" s="374">
        <v>285610.35105882352</v>
      </c>
      <c r="L54" s="374">
        <v>712359.40356302517</v>
      </c>
      <c r="M54" s="373">
        <v>392</v>
      </c>
      <c r="N54" s="373">
        <v>257</v>
      </c>
      <c r="O54" s="373">
        <v>100744</v>
      </c>
      <c r="P54" s="374">
        <v>880744.3456</v>
      </c>
      <c r="Q54" s="375"/>
      <c r="R54" s="373">
        <v>257</v>
      </c>
      <c r="S54" s="373">
        <v>205.60000000000002</v>
      </c>
      <c r="T54" s="374">
        <v>1708297.5040000002</v>
      </c>
      <c r="U54" s="473" t="s">
        <v>367</v>
      </c>
    </row>
    <row r="55" spans="1:21" ht="60">
      <c r="A55" s="370">
        <v>54</v>
      </c>
      <c r="B55" s="385" t="str">
        <f>UPPER((TEXT(Tabla3[[#This Row],[Fecha llegada]],"MMM")))</f>
        <v>ABR</v>
      </c>
      <c r="C55" s="385">
        <f>YEAR(Tabla3[[#This Row],[Fecha llegada]])</f>
        <v>2024</v>
      </c>
      <c r="D55" s="371" t="s">
        <v>395</v>
      </c>
      <c r="E55" s="372">
        <v>45404</v>
      </c>
      <c r="F55" s="372">
        <v>45405</v>
      </c>
      <c r="G55" s="373">
        <v>1</v>
      </c>
      <c r="H55" s="373">
        <v>2</v>
      </c>
      <c r="I55" s="374">
        <v>426749.05250420165</v>
      </c>
      <c r="J55" s="373">
        <v>11</v>
      </c>
      <c r="K55" s="374">
        <v>497500.16923249303</v>
      </c>
      <c r="L55" s="374">
        <v>924249.22173669469</v>
      </c>
      <c r="M55" s="373">
        <v>343.04</v>
      </c>
      <c r="N55" s="373">
        <v>212.6</v>
      </c>
      <c r="O55" s="373">
        <v>72930.304000000004</v>
      </c>
      <c r="P55" s="374">
        <v>637585.88968959998</v>
      </c>
      <c r="Q55" s="375" t="s">
        <v>379</v>
      </c>
      <c r="R55" s="373">
        <v>312.60000000000002</v>
      </c>
      <c r="S55" s="373">
        <v>250.08000000000004</v>
      </c>
      <c r="T55" s="374">
        <v>2077874.7072000003</v>
      </c>
      <c r="U55" s="473" t="s">
        <v>367</v>
      </c>
    </row>
    <row r="56" spans="1:21" ht="72">
      <c r="A56" s="362">
        <v>55</v>
      </c>
      <c r="B56" s="385" t="str">
        <f>UPPER((TEXT(Tabla3[[#This Row],[Fecha llegada]],"MMM")))</f>
        <v>ABR</v>
      </c>
      <c r="C56" s="385">
        <f>YEAR(Tabla3[[#This Row],[Fecha llegada]])</f>
        <v>2024</v>
      </c>
      <c r="D56" s="371" t="s">
        <v>396</v>
      </c>
      <c r="E56" s="372">
        <v>45406</v>
      </c>
      <c r="F56" s="372">
        <v>45407</v>
      </c>
      <c r="G56" s="373">
        <v>1</v>
      </c>
      <c r="H56" s="373">
        <v>2</v>
      </c>
      <c r="I56" s="374">
        <v>426749.05250420165</v>
      </c>
      <c r="J56" s="373">
        <v>14</v>
      </c>
      <c r="K56" s="374">
        <v>285610.35105882352</v>
      </c>
      <c r="L56" s="374">
        <v>712359.40356302517</v>
      </c>
      <c r="M56" s="373">
        <v>389.55</v>
      </c>
      <c r="N56" s="373">
        <v>257</v>
      </c>
      <c r="O56" s="373">
        <v>100114.35</v>
      </c>
      <c r="P56" s="374">
        <v>875239.69344000006</v>
      </c>
      <c r="Q56" s="375"/>
      <c r="R56" s="373">
        <v>257</v>
      </c>
      <c r="S56" s="373">
        <v>205.60000000000002</v>
      </c>
      <c r="T56" s="374">
        <v>1708297.5040000002</v>
      </c>
      <c r="U56" s="473" t="s">
        <v>367</v>
      </c>
    </row>
    <row r="57" spans="1:21" ht="60">
      <c r="A57" s="370">
        <v>56</v>
      </c>
      <c r="B57" s="385" t="str">
        <f>UPPER((TEXT(Tabla3[[#This Row],[Fecha llegada]],"MMM")))</f>
        <v>ABR</v>
      </c>
      <c r="C57" s="385">
        <f>YEAR(Tabla3[[#This Row],[Fecha llegada]])</f>
        <v>2024</v>
      </c>
      <c r="D57" s="371" t="s">
        <v>397</v>
      </c>
      <c r="E57" s="372">
        <v>45407</v>
      </c>
      <c r="F57" s="372">
        <v>45408</v>
      </c>
      <c r="G57" s="373">
        <v>1</v>
      </c>
      <c r="H57" s="373">
        <v>2</v>
      </c>
      <c r="I57" s="374">
        <v>426749.05250420165</v>
      </c>
      <c r="J57" s="373">
        <v>11</v>
      </c>
      <c r="K57" s="374">
        <v>497500.16923249303</v>
      </c>
      <c r="L57" s="374">
        <v>924249.22173669469</v>
      </c>
      <c r="M57" s="373">
        <v>376.65</v>
      </c>
      <c r="N57" s="373">
        <v>212.6</v>
      </c>
      <c r="O57" s="373">
        <v>80075.789999999994</v>
      </c>
      <c r="P57" s="374">
        <v>700054.58649599995</v>
      </c>
      <c r="Q57" s="375" t="s">
        <v>380</v>
      </c>
      <c r="R57" s="373">
        <v>212.6</v>
      </c>
      <c r="S57" s="373">
        <v>170.08</v>
      </c>
      <c r="T57" s="374">
        <v>1413167.5072000001</v>
      </c>
      <c r="U57" s="473" t="s">
        <v>367</v>
      </c>
    </row>
    <row r="58" spans="1:21" ht="72">
      <c r="A58" s="362">
        <v>57</v>
      </c>
      <c r="B58" s="385" t="str">
        <f>UPPER((TEXT(Tabla3[[#This Row],[Fecha llegada]],"MMM")))</f>
        <v>ABR</v>
      </c>
      <c r="C58" s="385">
        <f>YEAR(Tabla3[[#This Row],[Fecha llegada]])</f>
        <v>2024</v>
      </c>
      <c r="D58" s="371" t="s">
        <v>396</v>
      </c>
      <c r="E58" s="372">
        <v>45408</v>
      </c>
      <c r="F58" s="372">
        <v>45409</v>
      </c>
      <c r="G58" s="373">
        <v>1</v>
      </c>
      <c r="H58" s="373">
        <v>2</v>
      </c>
      <c r="I58" s="374">
        <v>426749.05250420165</v>
      </c>
      <c r="J58" s="373">
        <v>14</v>
      </c>
      <c r="K58" s="374">
        <v>285610.35105882352</v>
      </c>
      <c r="L58" s="374">
        <v>712359.40356302517</v>
      </c>
      <c r="M58" s="373">
        <v>389.55</v>
      </c>
      <c r="N58" s="373">
        <v>257</v>
      </c>
      <c r="O58" s="373">
        <v>100114.35</v>
      </c>
      <c r="P58" s="374">
        <v>875239.69344000006</v>
      </c>
      <c r="Q58" s="375"/>
      <c r="R58" s="373">
        <v>257</v>
      </c>
      <c r="S58" s="373">
        <v>205.60000000000002</v>
      </c>
      <c r="T58" s="374">
        <v>1708297.5040000002</v>
      </c>
      <c r="U58" s="473" t="s">
        <v>367</v>
      </c>
    </row>
    <row r="59" spans="1:21" ht="60">
      <c r="A59" s="370">
        <v>58</v>
      </c>
      <c r="B59" s="385" t="str">
        <f>UPPER((TEXT(Tabla3[[#This Row],[Fecha llegada]],"MMM")))</f>
        <v>ABR</v>
      </c>
      <c r="C59" s="385">
        <f>YEAR(Tabla3[[#This Row],[Fecha llegada]])</f>
        <v>2024</v>
      </c>
      <c r="D59" s="371" t="s">
        <v>398</v>
      </c>
      <c r="E59" s="372">
        <v>45411</v>
      </c>
      <c r="F59" s="372">
        <v>45412</v>
      </c>
      <c r="G59" s="373">
        <v>1</v>
      </c>
      <c r="H59" s="373">
        <v>2</v>
      </c>
      <c r="I59" s="374">
        <v>426749.05250420165</v>
      </c>
      <c r="J59" s="373">
        <v>11</v>
      </c>
      <c r="K59" s="374">
        <v>497500.16923249303</v>
      </c>
      <c r="L59" s="374">
        <v>924249.22173669469</v>
      </c>
      <c r="M59" s="373">
        <v>340.66</v>
      </c>
      <c r="N59" s="373">
        <v>212.6</v>
      </c>
      <c r="O59" s="373">
        <v>72424.316000000006</v>
      </c>
      <c r="P59" s="374">
        <v>633162.34019840008</v>
      </c>
      <c r="Q59" s="375" t="s">
        <v>381</v>
      </c>
      <c r="R59" s="373">
        <v>212.6</v>
      </c>
      <c r="S59" s="373">
        <v>170.08</v>
      </c>
      <c r="T59" s="374">
        <v>1413167.5072000001</v>
      </c>
      <c r="U59" s="473" t="s">
        <v>367</v>
      </c>
    </row>
    <row r="60" spans="1:21" ht="60">
      <c r="A60" s="362">
        <v>59</v>
      </c>
      <c r="B60" s="384" t="str">
        <f>UPPER((TEXT(Tabla3[[#This Row],[Fecha llegada]],"MMM")))</f>
        <v>MAY</v>
      </c>
      <c r="C60" s="384">
        <f>YEAR(Tabla3[[#This Row],[Fecha llegada]])</f>
        <v>2024</v>
      </c>
      <c r="D60" s="348" t="s">
        <v>426</v>
      </c>
      <c r="E60" s="342">
        <v>45412</v>
      </c>
      <c r="F60" s="342">
        <v>45413</v>
      </c>
      <c r="G60" s="341">
        <v>1</v>
      </c>
      <c r="H60" s="341">
        <v>2</v>
      </c>
      <c r="I60" s="343">
        <v>426749.05250420165</v>
      </c>
      <c r="J60" s="341">
        <v>14</v>
      </c>
      <c r="K60" s="343">
        <v>285610.35105882352</v>
      </c>
      <c r="L60" s="343">
        <v>712359.40356302517</v>
      </c>
      <c r="M60" s="341">
        <v>388.33</v>
      </c>
      <c r="N60" s="341">
        <v>257</v>
      </c>
      <c r="O60" s="341">
        <v>99800.81</v>
      </c>
      <c r="P60" s="343">
        <v>872498.60134399997</v>
      </c>
      <c r="Q60" s="344" t="s">
        <v>418</v>
      </c>
      <c r="R60" s="341">
        <v>357</v>
      </c>
      <c r="S60" s="341">
        <v>285.60000000000002</v>
      </c>
      <c r="T60" s="343">
        <v>2373004.7040000004</v>
      </c>
      <c r="U60" s="364" t="s">
        <v>416</v>
      </c>
    </row>
    <row r="61" spans="1:21" ht="48">
      <c r="A61" s="370">
        <v>60</v>
      </c>
      <c r="B61" s="384" t="str">
        <f>UPPER((TEXT(Tabla3[[#This Row],[Fecha llegada]],"MMM")))</f>
        <v>MAY</v>
      </c>
      <c r="C61" s="384">
        <f>YEAR(Tabla3[[#This Row],[Fecha llegada]])</f>
        <v>2024</v>
      </c>
      <c r="D61" s="348" t="s">
        <v>427</v>
      </c>
      <c r="E61" s="342">
        <v>45414</v>
      </c>
      <c r="F61" s="342">
        <v>45415</v>
      </c>
      <c r="G61" s="341">
        <v>1</v>
      </c>
      <c r="H61" s="341">
        <v>2</v>
      </c>
      <c r="I61" s="343">
        <v>426749.05250420165</v>
      </c>
      <c r="J61" s="341">
        <v>9</v>
      </c>
      <c r="K61" s="343">
        <v>407045.59300840338</v>
      </c>
      <c r="L61" s="343">
        <v>833794.64551260509</v>
      </c>
      <c r="M61" s="341">
        <v>348.55</v>
      </c>
      <c r="N61" s="341">
        <v>212.6</v>
      </c>
      <c r="O61" s="341">
        <v>74101.73</v>
      </c>
      <c r="P61" s="343">
        <v>647826.96435199992</v>
      </c>
      <c r="Q61" s="344" t="s">
        <v>419</v>
      </c>
      <c r="R61" s="341">
        <v>212.6</v>
      </c>
      <c r="S61" s="341">
        <v>170.08</v>
      </c>
      <c r="T61" s="343">
        <v>1413167.5072000001</v>
      </c>
      <c r="U61" s="364" t="s">
        <v>416</v>
      </c>
    </row>
    <row r="62" spans="1:21" ht="72">
      <c r="A62" s="362">
        <v>61</v>
      </c>
      <c r="B62" s="384" t="str">
        <f>UPPER((TEXT(Tabla3[[#This Row],[Fecha llegada]],"MMM")))</f>
        <v>MAY</v>
      </c>
      <c r="C62" s="384">
        <f>YEAR(Tabla3[[#This Row],[Fecha llegada]])</f>
        <v>2024</v>
      </c>
      <c r="D62" s="348" t="s">
        <v>428</v>
      </c>
      <c r="E62" s="342">
        <v>45415</v>
      </c>
      <c r="F62" s="342">
        <v>45416</v>
      </c>
      <c r="G62" s="341">
        <v>1</v>
      </c>
      <c r="H62" s="341">
        <v>2</v>
      </c>
      <c r="I62" s="343">
        <v>426749.05250420165</v>
      </c>
      <c r="J62" s="341">
        <v>14</v>
      </c>
      <c r="K62" s="343">
        <v>285610.35105882352</v>
      </c>
      <c r="L62" s="343">
        <v>712359.40356302517</v>
      </c>
      <c r="M62" s="341">
        <v>387.1</v>
      </c>
      <c r="N62" s="341">
        <v>257</v>
      </c>
      <c r="O62" s="341">
        <v>99484.700000000012</v>
      </c>
      <c r="P62" s="343">
        <v>869735.04128000012</v>
      </c>
      <c r="Q62" s="344" t="s">
        <v>418</v>
      </c>
      <c r="R62" s="341">
        <v>357</v>
      </c>
      <c r="S62" s="341">
        <v>285.60000000000002</v>
      </c>
      <c r="T62" s="343">
        <v>2373004.7040000004</v>
      </c>
      <c r="U62" s="364" t="s">
        <v>416</v>
      </c>
    </row>
    <row r="63" spans="1:21" ht="48">
      <c r="A63" s="370">
        <v>62</v>
      </c>
      <c r="B63" s="384" t="str">
        <f>UPPER((TEXT(Tabla3[[#This Row],[Fecha llegada]],"MMM")))</f>
        <v>MAY</v>
      </c>
      <c r="C63" s="384">
        <f>YEAR(Tabla3[[#This Row],[Fecha llegada]])</f>
        <v>2024</v>
      </c>
      <c r="D63" s="348" t="s">
        <v>429</v>
      </c>
      <c r="E63" s="342">
        <v>45423</v>
      </c>
      <c r="F63" s="342">
        <v>45424</v>
      </c>
      <c r="G63" s="341">
        <v>1</v>
      </c>
      <c r="H63" s="341">
        <v>2</v>
      </c>
      <c r="I63" s="343">
        <v>426749.05250420165</v>
      </c>
      <c r="J63" s="341">
        <v>10</v>
      </c>
      <c r="K63" s="343">
        <v>452272.88112044823</v>
      </c>
      <c r="L63" s="343">
        <v>879021.93362464989</v>
      </c>
      <c r="M63" s="341">
        <v>342.66</v>
      </c>
      <c r="N63" s="341">
        <v>212.6</v>
      </c>
      <c r="O63" s="341">
        <v>72849.516000000003</v>
      </c>
      <c r="P63" s="343">
        <v>636879.60867840005</v>
      </c>
      <c r="Q63" s="344" t="s">
        <v>420</v>
      </c>
      <c r="R63" s="341">
        <v>212.6</v>
      </c>
      <c r="S63" s="341">
        <v>170.08</v>
      </c>
      <c r="T63" s="343">
        <v>1413167.5072000001</v>
      </c>
      <c r="U63" s="364" t="s">
        <v>416</v>
      </c>
    </row>
    <row r="64" spans="1:21" ht="72">
      <c r="A64" s="362">
        <v>63</v>
      </c>
      <c r="B64" s="384" t="str">
        <f>UPPER((TEXT(Tabla3[[#This Row],[Fecha llegada]],"MMM")))</f>
        <v>MAY</v>
      </c>
      <c r="C64" s="384">
        <f>YEAR(Tabla3[[#This Row],[Fecha llegada]])</f>
        <v>2024</v>
      </c>
      <c r="D64" s="348" t="s">
        <v>430</v>
      </c>
      <c r="E64" s="342">
        <v>45425</v>
      </c>
      <c r="F64" s="342">
        <v>45426</v>
      </c>
      <c r="G64" s="341">
        <v>1</v>
      </c>
      <c r="H64" s="341">
        <v>2</v>
      </c>
      <c r="I64" s="343">
        <v>426749.05250420165</v>
      </c>
      <c r="J64" s="341">
        <v>14</v>
      </c>
      <c r="K64" s="343">
        <v>285610.35105882352</v>
      </c>
      <c r="L64" s="343">
        <v>712359.40356302517</v>
      </c>
      <c r="M64" s="341">
        <v>388.33</v>
      </c>
      <c r="N64" s="341">
        <v>257</v>
      </c>
      <c r="O64" s="341">
        <v>99800.81</v>
      </c>
      <c r="P64" s="343">
        <v>872498.60134399997</v>
      </c>
      <c r="Q64" s="344" t="s">
        <v>418</v>
      </c>
      <c r="R64" s="341">
        <v>357</v>
      </c>
      <c r="S64" s="341">
        <v>285.60000000000002</v>
      </c>
      <c r="T64" s="343">
        <v>2373004.7040000004</v>
      </c>
      <c r="U64" s="364" t="s">
        <v>416</v>
      </c>
    </row>
    <row r="65" spans="1:21" ht="48">
      <c r="A65" s="370">
        <v>64</v>
      </c>
      <c r="B65" s="384" t="str">
        <f>UPPER((TEXT(Tabla3[[#This Row],[Fecha llegada]],"MMM")))</f>
        <v>MAY</v>
      </c>
      <c r="C65" s="384">
        <f>YEAR(Tabla3[[#This Row],[Fecha llegada]])</f>
        <v>2024</v>
      </c>
      <c r="D65" s="348" t="s">
        <v>431</v>
      </c>
      <c r="E65" s="342">
        <v>45426</v>
      </c>
      <c r="F65" s="342">
        <v>45427</v>
      </c>
      <c r="G65" s="341">
        <v>1</v>
      </c>
      <c r="H65" s="341">
        <v>2</v>
      </c>
      <c r="I65" s="343">
        <v>426749.05250420165</v>
      </c>
      <c r="J65" s="341">
        <v>8</v>
      </c>
      <c r="K65" s="343">
        <v>361818.30489635858</v>
      </c>
      <c r="L65" s="343">
        <v>788567.35740056029</v>
      </c>
      <c r="M65" s="341">
        <v>243.21</v>
      </c>
      <c r="N65" s="341">
        <v>212.6</v>
      </c>
      <c r="O65" s="341">
        <v>51706.446000000004</v>
      </c>
      <c r="P65" s="343">
        <v>452038.43351040001</v>
      </c>
      <c r="Q65" s="344" t="s">
        <v>421</v>
      </c>
      <c r="R65" s="341">
        <v>212.6</v>
      </c>
      <c r="S65" s="341">
        <v>170.08</v>
      </c>
      <c r="T65" s="343">
        <v>1413167.5072000001</v>
      </c>
      <c r="U65" s="364" t="s">
        <v>416</v>
      </c>
    </row>
    <row r="66" spans="1:21" ht="72">
      <c r="A66" s="362">
        <v>65</v>
      </c>
      <c r="B66" s="384" t="str">
        <f>UPPER((TEXT(Tabla3[[#This Row],[Fecha llegada]],"MMM")))</f>
        <v>MAY</v>
      </c>
      <c r="C66" s="384">
        <f>YEAR(Tabla3[[#This Row],[Fecha llegada]])</f>
        <v>2024</v>
      </c>
      <c r="D66" s="348" t="s">
        <v>432</v>
      </c>
      <c r="E66" s="342">
        <v>45427</v>
      </c>
      <c r="F66" s="342">
        <v>45428</v>
      </c>
      <c r="G66" s="341">
        <v>1</v>
      </c>
      <c r="H66" s="341">
        <v>2</v>
      </c>
      <c r="I66" s="343">
        <v>426749.05250420165</v>
      </c>
      <c r="J66" s="341">
        <v>14</v>
      </c>
      <c r="K66" s="343">
        <v>285610.35105882352</v>
      </c>
      <c r="L66" s="343">
        <v>712359.40356302517</v>
      </c>
      <c r="M66" s="341">
        <v>389.55</v>
      </c>
      <c r="N66" s="341">
        <v>257</v>
      </c>
      <c r="O66" s="341">
        <v>100114.35</v>
      </c>
      <c r="P66" s="343">
        <v>875239.69344000006</v>
      </c>
      <c r="Q66" s="344" t="s">
        <v>418</v>
      </c>
      <c r="R66" s="341">
        <v>357</v>
      </c>
      <c r="S66" s="341">
        <v>285.60000000000002</v>
      </c>
      <c r="T66" s="343">
        <v>2373004.7040000004</v>
      </c>
      <c r="U66" s="364" t="s">
        <v>416</v>
      </c>
    </row>
    <row r="67" spans="1:21" ht="60">
      <c r="A67" s="370">
        <v>66</v>
      </c>
      <c r="B67" s="384" t="str">
        <f>UPPER((TEXT(Tabla3[[#This Row],[Fecha llegada]],"MMM")))</f>
        <v>MAY</v>
      </c>
      <c r="C67" s="384">
        <f>YEAR(Tabla3[[#This Row],[Fecha llegada]])</f>
        <v>2024</v>
      </c>
      <c r="D67" s="348" t="s">
        <v>433</v>
      </c>
      <c r="E67" s="342">
        <v>45428</v>
      </c>
      <c r="F67" s="342">
        <v>45429</v>
      </c>
      <c r="G67" s="341">
        <v>1</v>
      </c>
      <c r="H67" s="341">
        <v>2</v>
      </c>
      <c r="I67" s="343">
        <v>426749.05250420165</v>
      </c>
      <c r="J67" s="341">
        <v>11</v>
      </c>
      <c r="K67" s="343">
        <v>497500.16923249303</v>
      </c>
      <c r="L67" s="343">
        <v>924249.22173669469</v>
      </c>
      <c r="M67" s="341">
        <v>367.07</v>
      </c>
      <c r="N67" s="341">
        <v>212.6</v>
      </c>
      <c r="O67" s="341">
        <v>78039.081999999995</v>
      </c>
      <c r="P67" s="343">
        <v>682248.8704767999</v>
      </c>
      <c r="Q67" s="344" t="s">
        <v>422</v>
      </c>
      <c r="R67" s="341">
        <v>212.6</v>
      </c>
      <c r="S67" s="341">
        <v>170.08</v>
      </c>
      <c r="T67" s="343">
        <v>1413167.5072000001</v>
      </c>
      <c r="U67" s="364" t="s">
        <v>416</v>
      </c>
    </row>
    <row r="68" spans="1:21" ht="72">
      <c r="A68" s="362">
        <v>67</v>
      </c>
      <c r="B68" s="384" t="str">
        <f>UPPER((TEXT(Tabla3[[#This Row],[Fecha llegada]],"MMM")))</f>
        <v>MAY</v>
      </c>
      <c r="C68" s="384">
        <f>YEAR(Tabla3[[#This Row],[Fecha llegada]])</f>
        <v>2024</v>
      </c>
      <c r="D68" s="348" t="s">
        <v>434</v>
      </c>
      <c r="E68" s="342">
        <v>45429</v>
      </c>
      <c r="F68" s="342">
        <v>45430</v>
      </c>
      <c r="G68" s="341">
        <v>1</v>
      </c>
      <c r="H68" s="341">
        <v>2</v>
      </c>
      <c r="I68" s="343">
        <v>426749.05250420165</v>
      </c>
      <c r="J68" s="341">
        <v>14</v>
      </c>
      <c r="K68" s="343">
        <v>285610.35105882352</v>
      </c>
      <c r="L68" s="343">
        <v>712359.40356302517</v>
      </c>
      <c r="M68" s="341">
        <v>389.55</v>
      </c>
      <c r="N68" s="341">
        <v>257</v>
      </c>
      <c r="O68" s="341">
        <v>100114.35</v>
      </c>
      <c r="P68" s="343">
        <v>875239.69344000006</v>
      </c>
      <c r="Q68" s="344" t="s">
        <v>418</v>
      </c>
      <c r="R68" s="341">
        <v>357</v>
      </c>
      <c r="S68" s="341">
        <v>285.60000000000002</v>
      </c>
      <c r="T68" s="343">
        <v>2373004.7040000004</v>
      </c>
      <c r="U68" s="364" t="s">
        <v>416</v>
      </c>
    </row>
    <row r="69" spans="1:21" ht="72">
      <c r="A69" s="370">
        <v>68</v>
      </c>
      <c r="B69" s="384" t="str">
        <f>UPPER((TEXT(Tabla3[[#This Row],[Fecha llegada]],"MMM")))</f>
        <v>MAY</v>
      </c>
      <c r="C69" s="384">
        <f>YEAR(Tabla3[[#This Row],[Fecha llegada]])</f>
        <v>2024</v>
      </c>
      <c r="D69" s="348" t="s">
        <v>435</v>
      </c>
      <c r="E69" s="342">
        <v>45433</v>
      </c>
      <c r="F69" s="342">
        <v>45434</v>
      </c>
      <c r="G69" s="341">
        <v>2</v>
      </c>
      <c r="H69" s="341">
        <v>2</v>
      </c>
      <c r="I69" s="343">
        <v>853498.1050084033</v>
      </c>
      <c r="J69" s="341">
        <v>14</v>
      </c>
      <c r="K69" s="343">
        <v>571220.70211764704</v>
      </c>
      <c r="L69" s="343">
        <v>1424718.8071260503</v>
      </c>
      <c r="M69" s="341">
        <v>389.55</v>
      </c>
      <c r="N69" s="341">
        <v>257</v>
      </c>
      <c r="O69" s="341">
        <v>100114.35</v>
      </c>
      <c r="P69" s="343">
        <v>875239.69344000006</v>
      </c>
      <c r="Q69" s="344" t="s">
        <v>418</v>
      </c>
      <c r="R69" s="341">
        <v>614</v>
      </c>
      <c r="S69" s="341">
        <v>491.20000000000005</v>
      </c>
      <c r="T69" s="343">
        <v>4081302.2080000006</v>
      </c>
      <c r="U69" s="364" t="s">
        <v>416</v>
      </c>
    </row>
    <row r="70" spans="1:21" ht="72">
      <c r="A70" s="362">
        <v>69</v>
      </c>
      <c r="B70" s="384" t="str">
        <f>UPPER((TEXT(Tabla3[[#This Row],[Fecha llegada]],"MMM")))</f>
        <v>MAY</v>
      </c>
      <c r="C70" s="384">
        <f>YEAR(Tabla3[[#This Row],[Fecha llegada]])</f>
        <v>2024</v>
      </c>
      <c r="D70" s="348" t="s">
        <v>436</v>
      </c>
      <c r="E70" s="342">
        <v>45435</v>
      </c>
      <c r="F70" s="342">
        <v>45436</v>
      </c>
      <c r="G70" s="341">
        <v>2</v>
      </c>
      <c r="H70" s="341">
        <v>2</v>
      </c>
      <c r="I70" s="343">
        <v>853498.1050084033</v>
      </c>
      <c r="J70" s="341">
        <v>14</v>
      </c>
      <c r="K70" s="343">
        <v>571220.70211764704</v>
      </c>
      <c r="L70" s="343">
        <v>1424718.8071260503</v>
      </c>
      <c r="M70" s="341">
        <v>392</v>
      </c>
      <c r="N70" s="341">
        <v>257</v>
      </c>
      <c r="O70" s="341">
        <v>100744</v>
      </c>
      <c r="P70" s="343">
        <v>880744.3456</v>
      </c>
      <c r="Q70" s="344" t="s">
        <v>418</v>
      </c>
      <c r="R70" s="341">
        <v>614</v>
      </c>
      <c r="S70" s="341">
        <v>491.20000000000005</v>
      </c>
      <c r="T70" s="343">
        <v>4081302.2080000006</v>
      </c>
      <c r="U70" s="364" t="s">
        <v>416</v>
      </c>
    </row>
    <row r="71" spans="1:21" ht="48">
      <c r="A71" s="370">
        <v>70</v>
      </c>
      <c r="B71" s="384" t="str">
        <f>UPPER((TEXT(Tabla3[[#This Row],[Fecha llegada]],"MMM")))</f>
        <v>MAY</v>
      </c>
      <c r="C71" s="384">
        <f>YEAR(Tabla3[[#This Row],[Fecha llegada]])</f>
        <v>2024</v>
      </c>
      <c r="D71" s="348" t="s">
        <v>437</v>
      </c>
      <c r="E71" s="342">
        <v>45436</v>
      </c>
      <c r="F71" s="342">
        <v>45437</v>
      </c>
      <c r="G71" s="341">
        <v>1</v>
      </c>
      <c r="H71" s="341">
        <v>2</v>
      </c>
      <c r="I71" s="343">
        <v>426749.05250420165</v>
      </c>
      <c r="J71" s="341">
        <v>7</v>
      </c>
      <c r="K71" s="343">
        <v>316591.01678431378</v>
      </c>
      <c r="L71" s="343">
        <v>743340.06928851549</v>
      </c>
      <c r="M71" s="341">
        <v>211.13</v>
      </c>
      <c r="N71" s="341">
        <v>212.6</v>
      </c>
      <c r="O71" s="341">
        <v>44886.237999999998</v>
      </c>
      <c r="P71" s="343">
        <v>392413.44709119998</v>
      </c>
      <c r="Q71" s="344" t="s">
        <v>423</v>
      </c>
      <c r="R71" s="341">
        <v>212.6</v>
      </c>
      <c r="S71" s="341">
        <v>170.08</v>
      </c>
      <c r="T71" s="343">
        <v>1413167.5072000001</v>
      </c>
      <c r="U71" s="364" t="s">
        <v>416</v>
      </c>
    </row>
    <row r="72" spans="1:21" ht="60">
      <c r="A72" s="362">
        <v>71</v>
      </c>
      <c r="B72" s="384" t="str">
        <f>UPPER((TEXT(Tabla3[[#This Row],[Fecha llegada]],"MMM")))</f>
        <v>MAY</v>
      </c>
      <c r="C72" s="384">
        <f>YEAR(Tabla3[[#This Row],[Fecha llegada]])</f>
        <v>2024</v>
      </c>
      <c r="D72" s="348" t="s">
        <v>438</v>
      </c>
      <c r="E72" s="342">
        <v>45437</v>
      </c>
      <c r="F72" s="342">
        <v>45438</v>
      </c>
      <c r="G72" s="341">
        <v>1</v>
      </c>
      <c r="H72" s="341">
        <v>2</v>
      </c>
      <c r="I72" s="343">
        <v>426749.05250420165</v>
      </c>
      <c r="J72" s="341">
        <v>14</v>
      </c>
      <c r="K72" s="343">
        <v>285610.35105882352</v>
      </c>
      <c r="L72" s="343">
        <v>712359.40356302517</v>
      </c>
      <c r="M72" s="341">
        <v>389.55</v>
      </c>
      <c r="N72" s="341">
        <v>257</v>
      </c>
      <c r="O72" s="341">
        <v>100114.35</v>
      </c>
      <c r="P72" s="343">
        <v>875239.69344000006</v>
      </c>
      <c r="Q72" s="344" t="s">
        <v>424</v>
      </c>
      <c r="R72" s="341">
        <v>357</v>
      </c>
      <c r="S72" s="341">
        <v>285.60000000000002</v>
      </c>
      <c r="T72" s="343">
        <v>2373004.7040000004</v>
      </c>
      <c r="U72" s="364" t="s">
        <v>416</v>
      </c>
    </row>
    <row r="73" spans="1:21" ht="72">
      <c r="A73" s="370">
        <v>72</v>
      </c>
      <c r="B73" s="385" t="str">
        <f>UPPER((TEXT(Tabla3[[#This Row],[Fecha llegada]],"MMM")))</f>
        <v>MAY</v>
      </c>
      <c r="C73" s="385">
        <f>YEAR(Tabla3[[#This Row],[Fecha llegada]])</f>
        <v>2024</v>
      </c>
      <c r="D73" s="371" t="s">
        <v>439</v>
      </c>
      <c r="E73" s="372">
        <v>45442</v>
      </c>
      <c r="F73" s="372">
        <v>45443</v>
      </c>
      <c r="G73" s="373">
        <v>2</v>
      </c>
      <c r="H73" s="373">
        <v>2</v>
      </c>
      <c r="I73" s="374">
        <v>853498.1050084033</v>
      </c>
      <c r="J73" s="373">
        <v>12</v>
      </c>
      <c r="K73" s="374">
        <v>1085454.9146890757</v>
      </c>
      <c r="L73" s="374">
        <v>1938953.019697479</v>
      </c>
      <c r="M73" s="373">
        <v>400</v>
      </c>
      <c r="N73" s="373">
        <v>240.7</v>
      </c>
      <c r="O73" s="373">
        <v>96280</v>
      </c>
      <c r="P73" s="374">
        <v>841718.272</v>
      </c>
      <c r="Q73" s="375" t="s">
        <v>425</v>
      </c>
      <c r="R73" s="373">
        <v>581.4</v>
      </c>
      <c r="S73" s="373">
        <v>465.12</v>
      </c>
      <c r="T73" s="374">
        <v>3864607.6608000002</v>
      </c>
      <c r="U73" s="364" t="s">
        <v>416</v>
      </c>
    </row>
    <row r="74" spans="1:21" ht="60">
      <c r="A74" s="362">
        <v>73</v>
      </c>
      <c r="B74" s="384" t="str">
        <f>UPPER((TEXT(Tabla3[[#This Row],[Fecha llegada]],"MMM")))</f>
        <v>JUN</v>
      </c>
      <c r="C74" s="384">
        <f>YEAR(Tabla3[[#This Row],[Fecha llegada]])</f>
        <v>2024</v>
      </c>
      <c r="D74" s="348" t="s">
        <v>452</v>
      </c>
      <c r="E74" s="342">
        <v>45446</v>
      </c>
      <c r="F74" s="342">
        <v>45447</v>
      </c>
      <c r="G74" s="341">
        <v>2</v>
      </c>
      <c r="H74" s="341">
        <v>2</v>
      </c>
      <c r="I74" s="343">
        <v>853498.1050084033</v>
      </c>
      <c r="J74" s="341">
        <v>14</v>
      </c>
      <c r="K74" s="343">
        <v>571220.70211764704</v>
      </c>
      <c r="L74" s="343">
        <v>1424718.8071260503</v>
      </c>
      <c r="M74" s="341">
        <v>389.55</v>
      </c>
      <c r="N74" s="341">
        <v>257</v>
      </c>
      <c r="O74" s="341">
        <v>100114.35</v>
      </c>
      <c r="P74" s="343">
        <v>875239.69344000006</v>
      </c>
      <c r="Q74" s="344" t="s">
        <v>453</v>
      </c>
      <c r="R74" s="341">
        <v>614</v>
      </c>
      <c r="S74" s="341">
        <v>491.20000000000005</v>
      </c>
      <c r="T74" s="343">
        <v>4081302.2080000006</v>
      </c>
      <c r="U74" s="364" t="s">
        <v>450</v>
      </c>
    </row>
    <row r="75" spans="1:21" ht="72">
      <c r="A75" s="370">
        <v>74</v>
      </c>
      <c r="B75" s="384" t="str">
        <f>UPPER((TEXT(Tabla3[[#This Row],[Fecha llegada]],"MMM")))</f>
        <v>JUN</v>
      </c>
      <c r="C75" s="384">
        <f>YEAR(Tabla3[[#This Row],[Fecha llegada]])</f>
        <v>2024</v>
      </c>
      <c r="D75" s="348" t="s">
        <v>454</v>
      </c>
      <c r="E75" s="342">
        <v>45448</v>
      </c>
      <c r="F75" s="342">
        <v>45449</v>
      </c>
      <c r="G75" s="341">
        <v>2</v>
      </c>
      <c r="H75" s="341">
        <v>2</v>
      </c>
      <c r="I75" s="343">
        <v>853498.1050084033</v>
      </c>
      <c r="J75" s="341">
        <v>14</v>
      </c>
      <c r="K75" s="343">
        <v>571220.70211764704</v>
      </c>
      <c r="L75" s="343">
        <v>1424718.8071260503</v>
      </c>
      <c r="M75" s="341">
        <v>388.33</v>
      </c>
      <c r="N75" s="341">
        <v>257</v>
      </c>
      <c r="O75" s="341">
        <v>99800.81</v>
      </c>
      <c r="P75" s="343">
        <v>872498.60134399997</v>
      </c>
      <c r="Q75" s="344" t="s">
        <v>455</v>
      </c>
      <c r="R75" s="341">
        <v>614</v>
      </c>
      <c r="S75" s="341">
        <v>491.20000000000005</v>
      </c>
      <c r="T75" s="343">
        <v>4081302.2080000006</v>
      </c>
      <c r="U75" s="364" t="s">
        <v>450</v>
      </c>
    </row>
    <row r="76" spans="1:21" ht="60">
      <c r="A76" s="362">
        <v>75</v>
      </c>
      <c r="B76" s="384" t="str">
        <f>UPPER((TEXT(Tabla3[[#This Row],[Fecha llegada]],"MMM")))</f>
        <v>JUN</v>
      </c>
      <c r="C76" s="384">
        <f>YEAR(Tabla3[[#This Row],[Fecha llegada]])</f>
        <v>2024</v>
      </c>
      <c r="D76" s="348" t="s">
        <v>456</v>
      </c>
      <c r="E76" s="342">
        <v>45449</v>
      </c>
      <c r="F76" s="342">
        <v>45450</v>
      </c>
      <c r="G76" s="341">
        <v>1</v>
      </c>
      <c r="H76" s="341">
        <v>2</v>
      </c>
      <c r="I76" s="343">
        <v>426749.05250420165</v>
      </c>
      <c r="J76" s="341">
        <v>11</v>
      </c>
      <c r="K76" s="343">
        <v>497500.16923249303</v>
      </c>
      <c r="L76" s="343">
        <v>924249.22173669469</v>
      </c>
      <c r="M76" s="341">
        <v>368.57</v>
      </c>
      <c r="N76" s="341">
        <v>212.6</v>
      </c>
      <c r="O76" s="341">
        <v>78357.982000000004</v>
      </c>
      <c r="P76" s="343">
        <v>685036.82183680008</v>
      </c>
      <c r="Q76" s="344" t="s">
        <v>457</v>
      </c>
      <c r="R76" s="341">
        <v>212.6</v>
      </c>
      <c r="S76" s="341">
        <v>170.08</v>
      </c>
      <c r="T76" s="343">
        <v>1413167.5072000001</v>
      </c>
      <c r="U76" s="364" t="s">
        <v>450</v>
      </c>
    </row>
    <row r="77" spans="1:21" ht="60">
      <c r="A77" s="370">
        <v>76</v>
      </c>
      <c r="B77" s="384" t="str">
        <f>UPPER((TEXT(Tabla3[[#This Row],[Fecha llegada]],"MMM")))</f>
        <v>JUN</v>
      </c>
      <c r="C77" s="384">
        <f>YEAR(Tabla3[[#This Row],[Fecha llegada]])</f>
        <v>2024</v>
      </c>
      <c r="D77" s="348" t="s">
        <v>458</v>
      </c>
      <c r="E77" s="342">
        <v>45450</v>
      </c>
      <c r="F77" s="342">
        <v>45451</v>
      </c>
      <c r="G77" s="341">
        <v>1</v>
      </c>
      <c r="H77" s="341">
        <v>2</v>
      </c>
      <c r="I77" s="343">
        <v>426749.05250420165</v>
      </c>
      <c r="J77" s="341">
        <v>14</v>
      </c>
      <c r="K77" s="343">
        <v>285610.35105882352</v>
      </c>
      <c r="L77" s="343">
        <v>712359.40356302517</v>
      </c>
      <c r="M77" s="341">
        <v>388.33</v>
      </c>
      <c r="N77" s="341">
        <v>257</v>
      </c>
      <c r="O77" s="341">
        <v>99800.81</v>
      </c>
      <c r="P77" s="343">
        <v>872498.60134399997</v>
      </c>
      <c r="Q77" s="344" t="s">
        <v>459</v>
      </c>
      <c r="R77" s="341">
        <v>357</v>
      </c>
      <c r="S77" s="341">
        <v>285.60000000000002</v>
      </c>
      <c r="T77" s="343">
        <v>2373004.7040000004</v>
      </c>
      <c r="U77" s="364" t="s">
        <v>450</v>
      </c>
    </row>
    <row r="78" spans="1:21" ht="60">
      <c r="A78" s="362">
        <v>77</v>
      </c>
      <c r="B78" s="384" t="str">
        <f>UPPER((TEXT(Tabla3[[#This Row],[Fecha llegada]],"MMM")))</f>
        <v>JUN</v>
      </c>
      <c r="C78" s="384">
        <f>YEAR(Tabla3[[#This Row],[Fecha llegada]])</f>
        <v>2024</v>
      </c>
      <c r="D78" s="348" t="s">
        <v>484</v>
      </c>
      <c r="E78" s="342">
        <v>45458</v>
      </c>
      <c r="F78" s="342">
        <v>45460</v>
      </c>
      <c r="G78" s="341">
        <v>1</v>
      </c>
      <c r="H78" s="341">
        <v>2</v>
      </c>
      <c r="I78" s="343">
        <v>426749.05250420165</v>
      </c>
      <c r="J78" s="341">
        <v>11</v>
      </c>
      <c r="K78" s="343">
        <v>497500.16923249303</v>
      </c>
      <c r="L78" s="343">
        <v>924249.22173669469</v>
      </c>
      <c r="M78" s="341">
        <v>326.83999999999997</v>
      </c>
      <c r="N78" s="341">
        <v>212.6</v>
      </c>
      <c r="O78" s="341">
        <v>69486.183999999994</v>
      </c>
      <c r="P78" s="343">
        <v>607476.01500159991</v>
      </c>
      <c r="Q78" s="341" t="s">
        <v>483</v>
      </c>
      <c r="R78" s="341">
        <v>212.6</v>
      </c>
      <c r="S78" s="341">
        <v>170.08</v>
      </c>
      <c r="T78" s="343">
        <v>1413167.5072000001</v>
      </c>
      <c r="U78" s="364" t="s">
        <v>450</v>
      </c>
    </row>
    <row r="79" spans="1:21" ht="72">
      <c r="A79" s="370">
        <v>78</v>
      </c>
      <c r="B79" s="384" t="str">
        <f>UPPER((TEXT(Tabla3[[#This Row],[Fecha llegada]],"MMM")))</f>
        <v>JUN</v>
      </c>
      <c r="C79" s="384">
        <f>YEAR(Tabla3[[#This Row],[Fecha llegada]])</f>
        <v>2024</v>
      </c>
      <c r="D79" s="348" t="s">
        <v>460</v>
      </c>
      <c r="E79" s="342">
        <v>45460</v>
      </c>
      <c r="F79" s="342">
        <v>45461</v>
      </c>
      <c r="G79" s="341">
        <v>1</v>
      </c>
      <c r="H79" s="341">
        <v>2</v>
      </c>
      <c r="I79" s="343">
        <v>426749.05250420165</v>
      </c>
      <c r="J79" s="341">
        <v>14</v>
      </c>
      <c r="K79" s="343">
        <v>285610.35105882352</v>
      </c>
      <c r="L79" s="343">
        <v>712359.40356302517</v>
      </c>
      <c r="M79" s="341">
        <v>388.33</v>
      </c>
      <c r="N79" s="341">
        <v>257</v>
      </c>
      <c r="O79" s="341">
        <v>99800.81</v>
      </c>
      <c r="P79" s="343">
        <v>872498.60134399997</v>
      </c>
      <c r="Q79" s="344" t="s">
        <v>461</v>
      </c>
      <c r="R79" s="341">
        <v>357</v>
      </c>
      <c r="S79" s="341">
        <v>285.60000000000002</v>
      </c>
      <c r="T79" s="343">
        <v>2373004.7040000004</v>
      </c>
      <c r="U79" s="364" t="s">
        <v>450</v>
      </c>
    </row>
    <row r="80" spans="1:21" ht="48">
      <c r="A80" s="362">
        <v>79</v>
      </c>
      <c r="B80" s="384" t="str">
        <f>UPPER((TEXT(Tabla3[[#This Row],[Fecha llegada]],"MMM")))</f>
        <v>JUN</v>
      </c>
      <c r="C80" s="384">
        <f>YEAR(Tabla3[[#This Row],[Fecha llegada]])</f>
        <v>2024</v>
      </c>
      <c r="D80" s="348" t="s">
        <v>462</v>
      </c>
      <c r="E80" s="342">
        <v>45461</v>
      </c>
      <c r="F80" s="342">
        <v>45462</v>
      </c>
      <c r="G80" s="341">
        <v>1</v>
      </c>
      <c r="H80" s="341">
        <v>2</v>
      </c>
      <c r="I80" s="343">
        <v>426749.05250420165</v>
      </c>
      <c r="J80" s="341">
        <v>10</v>
      </c>
      <c r="K80" s="343">
        <v>452272.88112044823</v>
      </c>
      <c r="L80" s="343">
        <v>879021.93362464989</v>
      </c>
      <c r="M80" s="341">
        <v>322.19</v>
      </c>
      <c r="N80" s="341">
        <v>212.6</v>
      </c>
      <c r="O80" s="341">
        <v>68497.593999999997</v>
      </c>
      <c r="P80" s="343">
        <v>598833.36578559992</v>
      </c>
      <c r="Q80" s="344" t="s">
        <v>463</v>
      </c>
      <c r="R80" s="341">
        <v>212.6</v>
      </c>
      <c r="S80" s="341">
        <v>170.08</v>
      </c>
      <c r="T80" s="343">
        <v>1413167.5072000001</v>
      </c>
      <c r="U80" s="364" t="s">
        <v>450</v>
      </c>
    </row>
    <row r="81" spans="1:21" ht="72">
      <c r="A81" s="370">
        <v>80</v>
      </c>
      <c r="B81" s="384" t="str">
        <f>UPPER((TEXT(Tabla3[[#This Row],[Fecha llegada]],"MMM")))</f>
        <v>JUN</v>
      </c>
      <c r="C81" s="384">
        <f>YEAR(Tabla3[[#This Row],[Fecha llegada]])</f>
        <v>2024</v>
      </c>
      <c r="D81" s="348" t="s">
        <v>464</v>
      </c>
      <c r="E81" s="342">
        <v>45462</v>
      </c>
      <c r="F81" s="342">
        <v>45463</v>
      </c>
      <c r="G81" s="341">
        <v>1</v>
      </c>
      <c r="H81" s="341">
        <v>2</v>
      </c>
      <c r="I81" s="343">
        <v>426749.05250420165</v>
      </c>
      <c r="J81" s="341">
        <v>14</v>
      </c>
      <c r="K81" s="343">
        <v>285610.35105882352</v>
      </c>
      <c r="L81" s="343">
        <v>712359.40356302517</v>
      </c>
      <c r="M81" s="341">
        <v>390.78</v>
      </c>
      <c r="N81" s="341">
        <v>257</v>
      </c>
      <c r="O81" s="341">
        <v>100430.45999999999</v>
      </c>
      <c r="P81" s="343">
        <v>878003.25350399991</v>
      </c>
      <c r="Q81" s="344" t="s">
        <v>465</v>
      </c>
      <c r="R81" s="341">
        <v>357</v>
      </c>
      <c r="S81" s="341">
        <v>285.60000000000002</v>
      </c>
      <c r="T81" s="343">
        <v>2373004.7040000004</v>
      </c>
      <c r="U81" s="364" t="s">
        <v>450</v>
      </c>
    </row>
    <row r="82" spans="1:21" ht="60">
      <c r="A82" s="362">
        <v>81</v>
      </c>
      <c r="B82" s="384" t="str">
        <f>UPPER((TEXT(Tabla3[[#This Row],[Fecha llegada]],"MMM")))</f>
        <v>JUN</v>
      </c>
      <c r="C82" s="384">
        <f>YEAR(Tabla3[[#This Row],[Fecha llegada]])</f>
        <v>2024</v>
      </c>
      <c r="D82" s="348" t="s">
        <v>466</v>
      </c>
      <c r="E82" s="342">
        <v>45463</v>
      </c>
      <c r="F82" s="342">
        <v>45464</v>
      </c>
      <c r="G82" s="341">
        <v>1</v>
      </c>
      <c r="H82" s="341">
        <v>2</v>
      </c>
      <c r="I82" s="343">
        <v>426749.05250420165</v>
      </c>
      <c r="J82" s="341">
        <v>11</v>
      </c>
      <c r="K82" s="343">
        <v>497500.16923249303</v>
      </c>
      <c r="L82" s="343">
        <v>924249.22173669469</v>
      </c>
      <c r="M82" s="341">
        <v>349.52</v>
      </c>
      <c r="N82" s="341">
        <v>212.6</v>
      </c>
      <c r="O82" s="341">
        <v>74307.95199999999</v>
      </c>
      <c r="P82" s="343">
        <v>649629.83956479991</v>
      </c>
      <c r="Q82" s="344" t="s">
        <v>467</v>
      </c>
      <c r="R82" s="341">
        <v>212.6</v>
      </c>
      <c r="S82" s="341">
        <v>170.08</v>
      </c>
      <c r="T82" s="343">
        <v>1413167.5072000001</v>
      </c>
      <c r="U82" s="364" t="s">
        <v>450</v>
      </c>
    </row>
    <row r="83" spans="1:21" ht="72">
      <c r="A83" s="370">
        <v>82</v>
      </c>
      <c r="B83" s="384" t="str">
        <f>UPPER((TEXT(Tabla3[[#This Row],[Fecha llegada]],"MMM")))</f>
        <v>JUN</v>
      </c>
      <c r="C83" s="384">
        <f>YEAR(Tabla3[[#This Row],[Fecha llegada]])</f>
        <v>2024</v>
      </c>
      <c r="D83" s="348" t="s">
        <v>468</v>
      </c>
      <c r="E83" s="342">
        <v>45464</v>
      </c>
      <c r="F83" s="342">
        <v>45465</v>
      </c>
      <c r="G83" s="341">
        <v>1</v>
      </c>
      <c r="H83" s="341">
        <v>2</v>
      </c>
      <c r="I83" s="343">
        <v>426749.05250420165</v>
      </c>
      <c r="J83" s="341">
        <v>14</v>
      </c>
      <c r="K83" s="343">
        <v>285610.35105882352</v>
      </c>
      <c r="L83" s="343">
        <v>712359.40356302517</v>
      </c>
      <c r="M83" s="341">
        <v>389.78</v>
      </c>
      <c r="N83" s="341">
        <v>257</v>
      </c>
      <c r="O83" s="341">
        <v>100173.45999999999</v>
      </c>
      <c r="P83" s="343">
        <v>875756.45670399989</v>
      </c>
      <c r="Q83" s="344" t="s">
        <v>469</v>
      </c>
      <c r="R83" s="341">
        <v>357</v>
      </c>
      <c r="S83" s="341">
        <v>285.60000000000002</v>
      </c>
      <c r="T83" s="343">
        <v>2373004.7040000004</v>
      </c>
      <c r="U83" s="364" t="s">
        <v>450</v>
      </c>
    </row>
    <row r="84" spans="1:21" ht="72">
      <c r="A84" s="362">
        <v>83</v>
      </c>
      <c r="B84" s="384" t="str">
        <f>UPPER((TEXT(Tabla3[[#This Row],[Fecha llegada]],"MMM")))</f>
        <v>JUN</v>
      </c>
      <c r="C84" s="384">
        <f>YEAR(Tabla3[[#This Row],[Fecha llegada]])</f>
        <v>2024</v>
      </c>
      <c r="D84" s="348" t="s">
        <v>470</v>
      </c>
      <c r="E84" s="342">
        <v>45467</v>
      </c>
      <c r="F84" s="342">
        <v>45468</v>
      </c>
      <c r="G84" s="341">
        <v>2</v>
      </c>
      <c r="H84" s="341">
        <v>2</v>
      </c>
      <c r="I84" s="343">
        <v>853498.1050084033</v>
      </c>
      <c r="J84" s="341">
        <v>14</v>
      </c>
      <c r="K84" s="343">
        <v>571220.70211764704</v>
      </c>
      <c r="L84" s="343">
        <v>1424718.8071260503</v>
      </c>
      <c r="M84" s="341">
        <v>389.55</v>
      </c>
      <c r="N84" s="341">
        <v>257</v>
      </c>
      <c r="O84" s="341">
        <v>100114.35</v>
      </c>
      <c r="P84" s="343">
        <v>875239.69344000006</v>
      </c>
      <c r="Q84" s="344" t="s">
        <v>471</v>
      </c>
      <c r="R84" s="341">
        <v>614</v>
      </c>
      <c r="S84" s="341">
        <v>491.20000000000005</v>
      </c>
      <c r="T84" s="343">
        <v>4081302.2080000006</v>
      </c>
      <c r="U84" s="364" t="s">
        <v>450</v>
      </c>
    </row>
    <row r="85" spans="1:21" ht="60">
      <c r="A85" s="370">
        <v>84</v>
      </c>
      <c r="B85" s="384" t="str">
        <f>UPPER((TEXT(Tabla3[[#This Row],[Fecha llegada]],"MMM")))</f>
        <v>JUN</v>
      </c>
      <c r="C85" s="384">
        <f>YEAR(Tabla3[[#This Row],[Fecha llegada]])</f>
        <v>2024</v>
      </c>
      <c r="D85" s="348" t="s">
        <v>472</v>
      </c>
      <c r="E85" s="342">
        <v>45468</v>
      </c>
      <c r="F85" s="342">
        <v>45469</v>
      </c>
      <c r="G85" s="341">
        <v>1</v>
      </c>
      <c r="H85" s="341">
        <v>2</v>
      </c>
      <c r="I85" s="343">
        <v>426749.05250420165</v>
      </c>
      <c r="J85" s="341">
        <v>11</v>
      </c>
      <c r="K85" s="343">
        <v>497500.16923249303</v>
      </c>
      <c r="L85" s="343">
        <v>924249.22173669469</v>
      </c>
      <c r="M85" s="341">
        <v>373.92</v>
      </c>
      <c r="N85" s="341">
        <v>212.6</v>
      </c>
      <c r="O85" s="341">
        <v>79495.392000000007</v>
      </c>
      <c r="P85" s="343">
        <v>694980.51502080006</v>
      </c>
      <c r="Q85" s="344" t="s">
        <v>473</v>
      </c>
      <c r="R85" s="341">
        <v>212.6</v>
      </c>
      <c r="S85" s="341">
        <v>170.08</v>
      </c>
      <c r="T85" s="343">
        <v>1413167.5072000001</v>
      </c>
      <c r="U85" s="364" t="s">
        <v>450</v>
      </c>
    </row>
    <row r="86" spans="1:21" ht="72">
      <c r="A86" s="362">
        <v>85</v>
      </c>
      <c r="B86" s="384" t="str">
        <f>UPPER((TEXT(Tabla3[[#This Row],[Fecha llegada]],"MMM")))</f>
        <v>JUN</v>
      </c>
      <c r="C86" s="384">
        <f>YEAR(Tabla3[[#This Row],[Fecha llegada]])</f>
        <v>2024</v>
      </c>
      <c r="D86" s="348" t="s">
        <v>474</v>
      </c>
      <c r="E86" s="342">
        <v>45469</v>
      </c>
      <c r="F86" s="342">
        <v>45470</v>
      </c>
      <c r="G86" s="341">
        <v>1</v>
      </c>
      <c r="H86" s="341">
        <v>2</v>
      </c>
      <c r="I86" s="343">
        <v>426749.05250420165</v>
      </c>
      <c r="J86" s="341">
        <v>14</v>
      </c>
      <c r="K86" s="343">
        <v>285610.35105882352</v>
      </c>
      <c r="L86" s="343">
        <v>712359.40356302517</v>
      </c>
      <c r="M86" s="341">
        <v>389.55</v>
      </c>
      <c r="N86" s="341">
        <v>257</v>
      </c>
      <c r="O86" s="341">
        <v>100114.35</v>
      </c>
      <c r="P86" s="343">
        <v>875239.69344000006</v>
      </c>
      <c r="Q86" s="344" t="s">
        <v>475</v>
      </c>
      <c r="R86" s="341">
        <v>357</v>
      </c>
      <c r="S86" s="341">
        <v>285.60000000000002</v>
      </c>
      <c r="T86" s="343">
        <v>2373004.7040000004</v>
      </c>
      <c r="U86" s="364" t="s">
        <v>450</v>
      </c>
    </row>
    <row r="87" spans="1:21" ht="48">
      <c r="A87" s="370">
        <v>86</v>
      </c>
      <c r="B87" s="384" t="str">
        <f>UPPER((TEXT(Tabla3[[#This Row],[Fecha llegada]],"MMM")))</f>
        <v>JUN</v>
      </c>
      <c r="C87" s="384">
        <f>YEAR(Tabla3[[#This Row],[Fecha llegada]])</f>
        <v>2024</v>
      </c>
      <c r="D87" s="348" t="s">
        <v>476</v>
      </c>
      <c r="E87" s="342">
        <v>45470</v>
      </c>
      <c r="F87" s="342">
        <v>45471</v>
      </c>
      <c r="G87" s="341">
        <v>1</v>
      </c>
      <c r="H87" s="341">
        <v>2</v>
      </c>
      <c r="I87" s="343">
        <v>426749.05250420165</v>
      </c>
      <c r="J87" s="341">
        <v>7</v>
      </c>
      <c r="K87" s="343">
        <v>316591.01678431378</v>
      </c>
      <c r="L87" s="343">
        <v>743340.06928851549</v>
      </c>
      <c r="M87" s="341">
        <v>229.85</v>
      </c>
      <c r="N87" s="341">
        <v>212.6</v>
      </c>
      <c r="O87" s="341">
        <v>48866.11</v>
      </c>
      <c r="P87" s="343">
        <v>427207.08006399998</v>
      </c>
      <c r="Q87" s="344" t="s">
        <v>477</v>
      </c>
      <c r="R87" s="341">
        <v>212.6</v>
      </c>
      <c r="S87" s="341">
        <v>170.08</v>
      </c>
      <c r="T87" s="343">
        <v>1413167.5072000001</v>
      </c>
      <c r="U87" s="364" t="s">
        <v>450</v>
      </c>
    </row>
    <row r="88" spans="1:21" ht="72">
      <c r="A88" s="362">
        <v>87</v>
      </c>
      <c r="B88" s="385" t="str">
        <f>UPPER((TEXT(Tabla3[[#This Row],[Fecha llegada]],"MMM")))</f>
        <v>JUN</v>
      </c>
      <c r="C88" s="385">
        <f>YEAR(Tabla3[[#This Row],[Fecha llegada]])</f>
        <v>2024</v>
      </c>
      <c r="D88" s="371" t="s">
        <v>478</v>
      </c>
      <c r="E88" s="372">
        <v>45471</v>
      </c>
      <c r="F88" s="372">
        <v>45472</v>
      </c>
      <c r="G88" s="373">
        <v>1</v>
      </c>
      <c r="H88" s="373">
        <v>2</v>
      </c>
      <c r="I88" s="374">
        <v>426749.05250420165</v>
      </c>
      <c r="J88" s="373">
        <v>14</v>
      </c>
      <c r="K88" s="374">
        <v>285610.35105882352</v>
      </c>
      <c r="L88" s="374">
        <v>712359.40356302517</v>
      </c>
      <c r="M88" s="373">
        <v>389.55</v>
      </c>
      <c r="N88" s="373">
        <v>257</v>
      </c>
      <c r="O88" s="373">
        <v>100114.35</v>
      </c>
      <c r="P88" s="374">
        <v>875239.69344000006</v>
      </c>
      <c r="Q88" s="375" t="s">
        <v>479</v>
      </c>
      <c r="R88" s="373">
        <v>357</v>
      </c>
      <c r="S88" s="373">
        <v>285.60000000000002</v>
      </c>
      <c r="T88" s="374">
        <v>2373004.7040000004</v>
      </c>
      <c r="U88" s="364" t="s">
        <v>450</v>
      </c>
    </row>
    <row r="89" spans="1:21" ht="43.8" customHeight="1">
      <c r="A89" s="370">
        <v>88</v>
      </c>
      <c r="B89" s="384" t="str">
        <f>UPPER((TEXT(Tabla3[[#This Row],[Fecha llegada]],"MMM")))</f>
        <v>JUL</v>
      </c>
      <c r="C89" s="385">
        <f>YEAR(Tabla3[[#This Row],[Fecha llegada]])</f>
        <v>2024</v>
      </c>
      <c r="D89" s="371" t="s">
        <v>510</v>
      </c>
      <c r="E89" s="342">
        <v>45473</v>
      </c>
      <c r="F89" s="342">
        <v>45474</v>
      </c>
      <c r="G89" s="341">
        <v>2</v>
      </c>
      <c r="H89" s="341">
        <v>2</v>
      </c>
      <c r="I89" s="343">
        <v>853498.1050084033</v>
      </c>
      <c r="J89" s="341">
        <v>14</v>
      </c>
      <c r="K89" s="343">
        <v>571220.70211764704</v>
      </c>
      <c r="L89" s="343">
        <v>1424718.8071260503</v>
      </c>
      <c r="M89" s="341">
        <v>392</v>
      </c>
      <c r="N89" s="341">
        <v>257</v>
      </c>
      <c r="O89" s="341">
        <v>100744</v>
      </c>
      <c r="P89" s="343">
        <v>880744.3456</v>
      </c>
      <c r="Q89" s="344" t="s">
        <v>494</v>
      </c>
      <c r="R89" s="341">
        <v>702</v>
      </c>
      <c r="S89" s="341">
        <v>561.6</v>
      </c>
      <c r="T89" s="343">
        <v>4666244.5440000007</v>
      </c>
      <c r="U89" s="364" t="s">
        <v>488</v>
      </c>
    </row>
    <row r="90" spans="1:21" ht="89.4" customHeight="1">
      <c r="A90" s="362">
        <v>89</v>
      </c>
      <c r="B90" s="384" t="str">
        <f>UPPER((TEXT(Tabla3[[#This Row],[Fecha llegada]],"MMM")))</f>
        <v>JUL</v>
      </c>
      <c r="C90" s="385">
        <f>YEAR(Tabla3[[#This Row],[Fecha llegada]])</f>
        <v>2024</v>
      </c>
      <c r="D90" s="371" t="s">
        <v>511</v>
      </c>
      <c r="E90" s="342">
        <v>45474</v>
      </c>
      <c r="F90" s="342">
        <v>45475</v>
      </c>
      <c r="G90" s="341">
        <v>1</v>
      </c>
      <c r="H90" s="341">
        <v>2</v>
      </c>
      <c r="I90" s="343">
        <v>426749.05250420165</v>
      </c>
      <c r="J90" s="341">
        <v>11</v>
      </c>
      <c r="K90" s="343">
        <v>497500.16923249303</v>
      </c>
      <c r="L90" s="343">
        <v>924249.22173669469</v>
      </c>
      <c r="M90" s="341">
        <v>293.22000000000003</v>
      </c>
      <c r="N90" s="341">
        <v>212.6</v>
      </c>
      <c r="O90" s="341">
        <v>62338.572000000007</v>
      </c>
      <c r="P90" s="343">
        <v>544988.73185280012</v>
      </c>
      <c r="Q90" s="344" t="s">
        <v>495</v>
      </c>
      <c r="R90" s="341">
        <v>400.6</v>
      </c>
      <c r="S90" s="341">
        <v>320.48</v>
      </c>
      <c r="T90" s="343">
        <v>2662817.0432000002</v>
      </c>
      <c r="U90" s="364" t="s">
        <v>488</v>
      </c>
    </row>
    <row r="91" spans="1:21" ht="89.4" customHeight="1">
      <c r="A91" s="370">
        <v>90</v>
      </c>
      <c r="B91" s="384" t="str">
        <f>UPPER((TEXT(Tabla3[[#This Row],[Fecha llegada]],"MMM")))</f>
        <v>JUL</v>
      </c>
      <c r="C91" s="385">
        <f>YEAR(Tabla3[[#This Row],[Fecha llegada]])</f>
        <v>2024</v>
      </c>
      <c r="D91" s="371" t="s">
        <v>512</v>
      </c>
      <c r="E91" s="342">
        <v>45475</v>
      </c>
      <c r="F91" s="342">
        <v>45476</v>
      </c>
      <c r="G91" s="341">
        <v>1</v>
      </c>
      <c r="H91" s="341">
        <v>2</v>
      </c>
      <c r="I91" s="343">
        <v>426749.05250420165</v>
      </c>
      <c r="J91" s="341">
        <v>14</v>
      </c>
      <c r="K91" s="343">
        <v>285610.35105882352</v>
      </c>
      <c r="L91" s="343">
        <v>712359.40356302517</v>
      </c>
      <c r="M91" s="341">
        <v>389.55</v>
      </c>
      <c r="N91" s="341">
        <v>257</v>
      </c>
      <c r="O91" s="341">
        <v>100114.35</v>
      </c>
      <c r="P91" s="343">
        <v>875239.69344000006</v>
      </c>
      <c r="Q91" s="344" t="s">
        <v>496</v>
      </c>
      <c r="R91" s="341">
        <v>445</v>
      </c>
      <c r="S91" s="341">
        <v>356</v>
      </c>
      <c r="T91" s="343">
        <v>2957947.04</v>
      </c>
      <c r="U91" s="364" t="s">
        <v>488</v>
      </c>
    </row>
    <row r="92" spans="1:21" ht="89.4" customHeight="1">
      <c r="A92" s="362">
        <v>91</v>
      </c>
      <c r="B92" s="384" t="str">
        <f>UPPER((TEXT(Tabla3[[#This Row],[Fecha llegada]],"MMM")))</f>
        <v>JUL</v>
      </c>
      <c r="C92" s="385">
        <f>YEAR(Tabla3[[#This Row],[Fecha llegada]])</f>
        <v>2024</v>
      </c>
      <c r="D92" s="371" t="s">
        <v>513</v>
      </c>
      <c r="E92" s="342">
        <v>45476</v>
      </c>
      <c r="F92" s="342">
        <v>45477</v>
      </c>
      <c r="G92" s="341">
        <v>1</v>
      </c>
      <c r="H92" s="341">
        <v>2</v>
      </c>
      <c r="I92" s="343">
        <v>426749.05250420165</v>
      </c>
      <c r="J92" s="341">
        <v>3</v>
      </c>
      <c r="K92" s="343">
        <v>135681.86433613446</v>
      </c>
      <c r="L92" s="343">
        <v>562430.91684033605</v>
      </c>
      <c r="M92" s="341">
        <v>104.95</v>
      </c>
      <c r="N92" s="341">
        <v>212.6</v>
      </c>
      <c r="O92" s="341">
        <v>22312.37</v>
      </c>
      <c r="P92" s="343">
        <v>195063.66348799999</v>
      </c>
      <c r="Q92" s="344" t="s">
        <v>497</v>
      </c>
      <c r="R92" s="341">
        <v>400.6</v>
      </c>
      <c r="S92" s="341">
        <v>320.48</v>
      </c>
      <c r="T92" s="343">
        <v>2662817.0432000002</v>
      </c>
      <c r="U92" s="364" t="s">
        <v>488</v>
      </c>
    </row>
    <row r="93" spans="1:21" ht="89.4" customHeight="1">
      <c r="A93" s="370">
        <v>92</v>
      </c>
      <c r="B93" s="384" t="str">
        <f>UPPER((TEXT(Tabla3[[#This Row],[Fecha llegada]],"MMM")))</f>
        <v>JUL</v>
      </c>
      <c r="C93" s="385">
        <f>YEAR(Tabla3[[#This Row],[Fecha llegada]])</f>
        <v>2024</v>
      </c>
      <c r="D93" s="371" t="s">
        <v>514</v>
      </c>
      <c r="E93" s="342">
        <v>45477</v>
      </c>
      <c r="F93" s="342">
        <v>45478</v>
      </c>
      <c r="G93" s="341">
        <v>1</v>
      </c>
      <c r="H93" s="341">
        <v>2</v>
      </c>
      <c r="I93" s="343">
        <v>426749.05250420165</v>
      </c>
      <c r="J93" s="341">
        <v>14</v>
      </c>
      <c r="K93" s="343">
        <v>285610.35105882352</v>
      </c>
      <c r="L93" s="343">
        <v>712359.40356302517</v>
      </c>
      <c r="M93" s="341">
        <v>388.55</v>
      </c>
      <c r="N93" s="341">
        <v>257</v>
      </c>
      <c r="O93" s="341">
        <v>99857.35</v>
      </c>
      <c r="P93" s="343">
        <v>872992.89664000005</v>
      </c>
      <c r="Q93" s="344" t="s">
        <v>498</v>
      </c>
      <c r="R93" s="341">
        <v>445</v>
      </c>
      <c r="S93" s="341">
        <v>356</v>
      </c>
      <c r="T93" s="343">
        <v>2957947.04</v>
      </c>
      <c r="U93" s="364" t="s">
        <v>488</v>
      </c>
    </row>
    <row r="94" spans="1:21" ht="89.4" customHeight="1">
      <c r="A94" s="362">
        <v>93</v>
      </c>
      <c r="B94" s="384" t="str">
        <f>UPPER((TEXT(Tabla3[[#This Row],[Fecha llegada]],"MMM")))</f>
        <v>JUL</v>
      </c>
      <c r="C94" s="385">
        <f>YEAR(Tabla3[[#This Row],[Fecha llegada]])</f>
        <v>2024</v>
      </c>
      <c r="D94" s="371" t="s">
        <v>515</v>
      </c>
      <c r="E94" s="342">
        <v>45478</v>
      </c>
      <c r="F94" s="342">
        <v>45479</v>
      </c>
      <c r="G94" s="341">
        <v>1</v>
      </c>
      <c r="H94" s="341">
        <v>2</v>
      </c>
      <c r="I94" s="343">
        <v>426749.05250420165</v>
      </c>
      <c r="J94" s="341">
        <v>11</v>
      </c>
      <c r="K94" s="343">
        <v>497500.16923249303</v>
      </c>
      <c r="L94" s="343">
        <v>924249.22173669469</v>
      </c>
      <c r="M94" s="341">
        <v>348.95</v>
      </c>
      <c r="N94" s="341">
        <v>212.6</v>
      </c>
      <c r="O94" s="341">
        <v>74186.76999999999</v>
      </c>
      <c r="P94" s="343">
        <v>648570.41804799985</v>
      </c>
      <c r="Q94" s="344" t="s">
        <v>499</v>
      </c>
      <c r="R94" s="341">
        <v>400.6</v>
      </c>
      <c r="S94" s="341">
        <v>320.48</v>
      </c>
      <c r="T94" s="343">
        <v>2662817.0432000002</v>
      </c>
      <c r="U94" s="364" t="s">
        <v>488</v>
      </c>
    </row>
    <row r="95" spans="1:21" ht="89.4" customHeight="1">
      <c r="A95" s="370">
        <v>94</v>
      </c>
      <c r="B95" s="384" t="str">
        <f>UPPER((TEXT(Tabla3[[#This Row],[Fecha llegada]],"MMM")))</f>
        <v>JUL</v>
      </c>
      <c r="C95" s="385">
        <f>YEAR(Tabla3[[#This Row],[Fecha llegada]])</f>
        <v>2024</v>
      </c>
      <c r="D95" s="371" t="s">
        <v>516</v>
      </c>
      <c r="E95" s="342">
        <v>45479</v>
      </c>
      <c r="F95" s="342">
        <v>45480</v>
      </c>
      <c r="G95" s="341">
        <v>1</v>
      </c>
      <c r="H95" s="341">
        <v>2</v>
      </c>
      <c r="I95" s="343">
        <v>426749.05250420165</v>
      </c>
      <c r="J95" s="341">
        <v>14</v>
      </c>
      <c r="K95" s="343">
        <v>285610.35105882352</v>
      </c>
      <c r="L95" s="343">
        <v>712359.40356302517</v>
      </c>
      <c r="M95" s="341">
        <v>389.55</v>
      </c>
      <c r="N95" s="341">
        <v>257</v>
      </c>
      <c r="O95" s="341">
        <v>100114.35</v>
      </c>
      <c r="P95" s="343">
        <v>875239.69344000006</v>
      </c>
      <c r="Q95" s="344" t="s">
        <v>500</v>
      </c>
      <c r="R95" s="341">
        <v>445</v>
      </c>
      <c r="S95" s="341">
        <v>356</v>
      </c>
      <c r="T95" s="343">
        <v>2957947.04</v>
      </c>
      <c r="U95" s="364" t="s">
        <v>488</v>
      </c>
    </row>
    <row r="96" spans="1:21" ht="89.4" customHeight="1">
      <c r="A96" s="362">
        <v>95</v>
      </c>
      <c r="B96" s="384" t="str">
        <f>UPPER((TEXT(Tabla3[[#This Row],[Fecha llegada]],"MMM")))</f>
        <v>JUL</v>
      </c>
      <c r="C96" s="385">
        <f>YEAR(Tabla3[[#This Row],[Fecha llegada]])</f>
        <v>2024</v>
      </c>
      <c r="D96" s="371" t="s">
        <v>517</v>
      </c>
      <c r="E96" s="342">
        <v>45486</v>
      </c>
      <c r="F96" s="342">
        <v>45488</v>
      </c>
      <c r="G96" s="341">
        <v>1</v>
      </c>
      <c r="H96" s="341">
        <v>2</v>
      </c>
      <c r="I96" s="343">
        <v>426749.05250420165</v>
      </c>
      <c r="J96" s="341">
        <v>11</v>
      </c>
      <c r="K96" s="343">
        <v>497500.16923249303</v>
      </c>
      <c r="L96" s="343">
        <v>924249.22173669469</v>
      </c>
      <c r="M96" s="341">
        <v>361.52</v>
      </c>
      <c r="N96" s="341">
        <v>212.6</v>
      </c>
      <c r="O96" s="341">
        <v>76859.151999999987</v>
      </c>
      <c r="P96" s="343">
        <v>671933.45044479985</v>
      </c>
      <c r="Q96" s="344" t="s">
        <v>501</v>
      </c>
      <c r="R96" s="341">
        <v>400.6</v>
      </c>
      <c r="S96" s="341">
        <v>320.48</v>
      </c>
      <c r="T96" s="343">
        <v>2662817.0432000002</v>
      </c>
      <c r="U96" s="364" t="s">
        <v>488</v>
      </c>
    </row>
    <row r="97" spans="1:21" ht="89.4" customHeight="1">
      <c r="A97" s="370">
        <v>96</v>
      </c>
      <c r="B97" s="384" t="str">
        <f>UPPER((TEXT(Tabla3[[#This Row],[Fecha llegada]],"MMM")))</f>
        <v>JUL</v>
      </c>
      <c r="C97" s="385">
        <f>YEAR(Tabla3[[#This Row],[Fecha llegada]])</f>
        <v>2024</v>
      </c>
      <c r="D97" s="371" t="s">
        <v>518</v>
      </c>
      <c r="E97" s="342">
        <v>45488</v>
      </c>
      <c r="F97" s="342">
        <v>45489</v>
      </c>
      <c r="G97" s="341">
        <v>1</v>
      </c>
      <c r="H97" s="341">
        <v>2</v>
      </c>
      <c r="I97" s="343">
        <v>426749.05250420165</v>
      </c>
      <c r="J97" s="341">
        <v>14</v>
      </c>
      <c r="K97" s="343">
        <v>285610.35105882352</v>
      </c>
      <c r="L97" s="343">
        <v>712359.40356302517</v>
      </c>
      <c r="M97" s="341">
        <v>387.1</v>
      </c>
      <c r="N97" s="341">
        <v>257</v>
      </c>
      <c r="O97" s="341">
        <v>99484.700000000012</v>
      </c>
      <c r="P97" s="343">
        <v>869735.04128000012</v>
      </c>
      <c r="Q97" s="344" t="s">
        <v>502</v>
      </c>
      <c r="R97" s="341">
        <v>445</v>
      </c>
      <c r="S97" s="341">
        <v>356</v>
      </c>
      <c r="T97" s="343">
        <v>2957947.04</v>
      </c>
      <c r="U97" s="364" t="s">
        <v>488</v>
      </c>
    </row>
    <row r="98" spans="1:21" ht="89.4" customHeight="1">
      <c r="A98" s="362">
        <v>97</v>
      </c>
      <c r="B98" s="384" t="str">
        <f>UPPER((TEXT(Tabla3[[#This Row],[Fecha llegada]],"MMM")))</f>
        <v>JUL</v>
      </c>
      <c r="C98" s="385">
        <f>YEAR(Tabla3[[#This Row],[Fecha llegada]])</f>
        <v>2024</v>
      </c>
      <c r="D98" s="371" t="s">
        <v>519</v>
      </c>
      <c r="E98" s="342">
        <v>45489</v>
      </c>
      <c r="F98" s="342">
        <v>45490</v>
      </c>
      <c r="G98" s="341">
        <v>1</v>
      </c>
      <c r="H98" s="341">
        <v>2</v>
      </c>
      <c r="I98" s="343">
        <v>426749.05250420165</v>
      </c>
      <c r="J98" s="341">
        <v>9</v>
      </c>
      <c r="K98" s="343">
        <v>407045.59300840338</v>
      </c>
      <c r="L98" s="343">
        <v>833794.64551260509</v>
      </c>
      <c r="M98" s="341">
        <v>300.52</v>
      </c>
      <c r="N98" s="341">
        <v>212.6</v>
      </c>
      <c r="O98" s="341">
        <v>63890.551999999996</v>
      </c>
      <c r="P98" s="343">
        <v>558556.76180480001</v>
      </c>
      <c r="Q98" s="344" t="s">
        <v>503</v>
      </c>
      <c r="R98" s="341">
        <v>400.6</v>
      </c>
      <c r="S98" s="341">
        <v>320.48</v>
      </c>
      <c r="T98" s="343">
        <v>2662817.0432000002</v>
      </c>
      <c r="U98" s="364" t="s">
        <v>488</v>
      </c>
    </row>
    <row r="99" spans="1:21" ht="89.4" customHeight="1">
      <c r="A99" s="370">
        <v>98</v>
      </c>
      <c r="B99" s="384" t="str">
        <f>UPPER((TEXT(Tabla3[[#This Row],[Fecha llegada]],"MMM")))</f>
        <v>JUL</v>
      </c>
      <c r="C99" s="385">
        <f>YEAR(Tabla3[[#This Row],[Fecha llegada]])</f>
        <v>2024</v>
      </c>
      <c r="D99" s="371" t="s">
        <v>520</v>
      </c>
      <c r="E99" s="342">
        <v>45490</v>
      </c>
      <c r="F99" s="342">
        <v>45491</v>
      </c>
      <c r="G99" s="341">
        <v>1</v>
      </c>
      <c r="H99" s="341">
        <v>2</v>
      </c>
      <c r="I99" s="343">
        <v>426749.05250420165</v>
      </c>
      <c r="J99" s="341">
        <v>14</v>
      </c>
      <c r="K99" s="343">
        <v>285610.35105882352</v>
      </c>
      <c r="L99" s="343">
        <v>712359.40356302517</v>
      </c>
      <c r="M99" s="341">
        <v>388.33</v>
      </c>
      <c r="N99" s="341">
        <v>257</v>
      </c>
      <c r="O99" s="341">
        <v>99800.81</v>
      </c>
      <c r="P99" s="343">
        <v>872498.60134399997</v>
      </c>
      <c r="Q99" s="344" t="s">
        <v>504</v>
      </c>
      <c r="R99" s="341">
        <v>445</v>
      </c>
      <c r="S99" s="341">
        <v>356</v>
      </c>
      <c r="T99" s="343">
        <v>2957947.04</v>
      </c>
      <c r="U99" s="364" t="s">
        <v>488</v>
      </c>
    </row>
    <row r="100" spans="1:21" ht="89.4" customHeight="1">
      <c r="A100" s="362">
        <v>99</v>
      </c>
      <c r="B100" s="384" t="str">
        <f>UPPER((TEXT(Tabla3[[#This Row],[Fecha llegada]],"MMM")))</f>
        <v>JUL</v>
      </c>
      <c r="C100" s="385">
        <f>YEAR(Tabla3[[#This Row],[Fecha llegada]])</f>
        <v>2024</v>
      </c>
      <c r="D100" s="371" t="s">
        <v>521</v>
      </c>
      <c r="E100" s="342">
        <v>45495</v>
      </c>
      <c r="F100" s="342">
        <v>45496</v>
      </c>
      <c r="G100" s="341">
        <v>2</v>
      </c>
      <c r="H100" s="341">
        <v>2</v>
      </c>
      <c r="I100" s="343">
        <v>853498.1050084033</v>
      </c>
      <c r="J100" s="341">
        <v>11</v>
      </c>
      <c r="K100" s="343">
        <v>995000.33846498607</v>
      </c>
      <c r="L100" s="343">
        <v>1848498.4434733894</v>
      </c>
      <c r="M100" s="341">
        <v>363.13</v>
      </c>
      <c r="N100" s="341">
        <v>212.6</v>
      </c>
      <c r="O100" s="341">
        <v>77201.437999999995</v>
      </c>
      <c r="P100" s="343">
        <v>674925.85157119995</v>
      </c>
      <c r="Q100" s="344" t="s">
        <v>505</v>
      </c>
      <c r="R100" s="341">
        <v>613.20000000000005</v>
      </c>
      <c r="S100" s="341">
        <v>490.56000000000006</v>
      </c>
      <c r="T100" s="343">
        <v>4075984.5504000005</v>
      </c>
      <c r="U100" s="364" t="s">
        <v>488</v>
      </c>
    </row>
    <row r="101" spans="1:21" ht="89.4" customHeight="1">
      <c r="A101" s="370">
        <v>100</v>
      </c>
      <c r="B101" s="384" t="str">
        <f>UPPER((TEXT(Tabla3[[#This Row],[Fecha llegada]],"MMM")))</f>
        <v>JUL</v>
      </c>
      <c r="C101" s="385">
        <f>YEAR(Tabla3[[#This Row],[Fecha llegada]])</f>
        <v>2024</v>
      </c>
      <c r="D101" s="371" t="s">
        <v>522</v>
      </c>
      <c r="E101" s="342">
        <v>45497</v>
      </c>
      <c r="F101" s="342">
        <v>45498</v>
      </c>
      <c r="G101" s="341">
        <v>1</v>
      </c>
      <c r="H101" s="341">
        <v>2</v>
      </c>
      <c r="I101" s="343">
        <v>426749.05250420165</v>
      </c>
      <c r="J101" s="341">
        <v>12</v>
      </c>
      <c r="K101" s="343">
        <v>542727.45734453783</v>
      </c>
      <c r="L101" s="343">
        <v>969476.50984873949</v>
      </c>
      <c r="M101" s="341">
        <v>397.83</v>
      </c>
      <c r="N101" s="341">
        <v>212.6</v>
      </c>
      <c r="O101" s="341">
        <v>84578.657999999996</v>
      </c>
      <c r="P101" s="343">
        <v>739420.4596992</v>
      </c>
      <c r="Q101" s="344" t="s">
        <v>506</v>
      </c>
      <c r="R101" s="341">
        <v>400.6</v>
      </c>
      <c r="S101" s="341">
        <v>320.48</v>
      </c>
      <c r="T101" s="343">
        <v>2662817.0432000002</v>
      </c>
      <c r="U101" s="364" t="s">
        <v>488</v>
      </c>
    </row>
    <row r="102" spans="1:21" ht="89.4" customHeight="1">
      <c r="A102" s="362">
        <v>101</v>
      </c>
      <c r="B102" s="384" t="str">
        <f>UPPER((TEXT(Tabla3[[#This Row],[Fecha llegada]],"MMM")))</f>
        <v>JUL</v>
      </c>
      <c r="C102" s="385">
        <f>YEAR(Tabla3[[#This Row],[Fecha llegada]])</f>
        <v>2024</v>
      </c>
      <c r="D102" s="371" t="s">
        <v>523</v>
      </c>
      <c r="E102" s="342">
        <v>45498</v>
      </c>
      <c r="F102" s="342">
        <v>45499</v>
      </c>
      <c r="G102" s="341">
        <v>1</v>
      </c>
      <c r="H102" s="341">
        <v>2</v>
      </c>
      <c r="I102" s="343">
        <v>426749.05250420165</v>
      </c>
      <c r="J102" s="341">
        <v>14</v>
      </c>
      <c r="K102" s="343">
        <v>285610.35105882352</v>
      </c>
      <c r="L102" s="343">
        <v>712359.40356302517</v>
      </c>
      <c r="M102" s="341">
        <v>387.33</v>
      </c>
      <c r="N102" s="341">
        <v>257</v>
      </c>
      <c r="O102" s="341">
        <v>99543.81</v>
      </c>
      <c r="P102" s="343">
        <v>870251.80454399996</v>
      </c>
      <c r="Q102" s="344" t="s">
        <v>507</v>
      </c>
      <c r="R102" s="341">
        <v>445</v>
      </c>
      <c r="S102" s="341">
        <v>356</v>
      </c>
      <c r="T102" s="343">
        <v>2957947.04</v>
      </c>
      <c r="U102" s="364" t="s">
        <v>488</v>
      </c>
    </row>
    <row r="103" spans="1:21" ht="89.4" customHeight="1">
      <c r="A103" s="370">
        <v>102</v>
      </c>
      <c r="B103" s="384" t="str">
        <f>UPPER((TEXT(Tabla3[[#This Row],[Fecha llegada]],"MMM")))</f>
        <v>JUL</v>
      </c>
      <c r="C103" s="385">
        <f>YEAR(Tabla3[[#This Row],[Fecha llegada]])</f>
        <v>2024</v>
      </c>
      <c r="D103" s="371" t="s">
        <v>524</v>
      </c>
      <c r="E103" s="342">
        <v>45502</v>
      </c>
      <c r="F103" s="342">
        <v>45503</v>
      </c>
      <c r="G103" s="341">
        <v>1</v>
      </c>
      <c r="H103" s="341">
        <v>2</v>
      </c>
      <c r="I103" s="343">
        <v>426749.05250420165</v>
      </c>
      <c r="J103" s="341">
        <v>11</v>
      </c>
      <c r="K103" s="343">
        <v>497500.16923249303</v>
      </c>
      <c r="L103" s="343">
        <v>924249.22173669469</v>
      </c>
      <c r="M103" s="341">
        <v>379.3</v>
      </c>
      <c r="N103" s="341">
        <v>212.6</v>
      </c>
      <c r="O103" s="341">
        <v>80639.179999999993</v>
      </c>
      <c r="P103" s="343">
        <v>704979.96723199997</v>
      </c>
      <c r="Q103" s="344" t="s">
        <v>508</v>
      </c>
      <c r="R103" s="341">
        <v>400.6</v>
      </c>
      <c r="S103" s="341">
        <v>320.48</v>
      </c>
      <c r="T103" s="343">
        <v>2662817.0432000002</v>
      </c>
      <c r="U103" s="364" t="s">
        <v>488</v>
      </c>
    </row>
    <row r="104" spans="1:21" ht="89.4" customHeight="1">
      <c r="A104" s="362">
        <v>103</v>
      </c>
      <c r="B104" s="385" t="str">
        <f>UPPER((TEXT(Tabla3[[#This Row],[Fecha llegada]],"MMM")))</f>
        <v>JUL</v>
      </c>
      <c r="C104" s="385">
        <f>YEAR(Tabla3[[#This Row],[Fecha llegada]])</f>
        <v>2024</v>
      </c>
      <c r="D104" s="371" t="s">
        <v>525</v>
      </c>
      <c r="E104" s="372">
        <v>45503</v>
      </c>
      <c r="F104" s="372">
        <v>45504</v>
      </c>
      <c r="G104" s="373">
        <v>1</v>
      </c>
      <c r="H104" s="373">
        <v>2</v>
      </c>
      <c r="I104" s="374">
        <v>426749.05250420165</v>
      </c>
      <c r="J104" s="373">
        <v>14</v>
      </c>
      <c r="K104" s="374">
        <v>285610.35105882352</v>
      </c>
      <c r="L104" s="374">
        <v>712359.40356302517</v>
      </c>
      <c r="M104" s="373">
        <v>388.33</v>
      </c>
      <c r="N104" s="373">
        <v>257</v>
      </c>
      <c r="O104" s="373">
        <v>99800.81</v>
      </c>
      <c r="P104" s="374">
        <v>872498.60134399997</v>
      </c>
      <c r="Q104" s="375" t="s">
        <v>509</v>
      </c>
      <c r="R104" s="373">
        <v>445</v>
      </c>
      <c r="S104" s="373">
        <v>356</v>
      </c>
      <c r="T104" s="374">
        <v>2957947.04</v>
      </c>
      <c r="U104" s="364" t="s">
        <v>488</v>
      </c>
    </row>
    <row r="105" spans="1:21">
      <c r="A105" s="370">
        <v>104</v>
      </c>
      <c r="B105" s="384" t="str">
        <f>UPPER((TEXT(Tabla3[[#This Row],[Fecha llegada]],"MMM")))</f>
        <v>AGO</v>
      </c>
      <c r="C105" s="384">
        <f>YEAR(Tabla3[[#This Row],[Fecha llegada]])</f>
        <v>2024</v>
      </c>
      <c r="D105" s="348"/>
      <c r="E105" s="342">
        <v>45505</v>
      </c>
      <c r="F105" s="342">
        <v>45506</v>
      </c>
      <c r="G105" s="341">
        <v>1</v>
      </c>
      <c r="H105" s="341">
        <v>2</v>
      </c>
      <c r="I105" s="343">
        <v>651815.34494117647</v>
      </c>
      <c r="J105" s="341">
        <v>11</v>
      </c>
      <c r="K105" s="343">
        <v>627556.80730532215</v>
      </c>
      <c r="L105" s="343">
        <v>1279372.1522464985</v>
      </c>
      <c r="M105" s="341">
        <v>365.57</v>
      </c>
      <c r="N105" s="341">
        <v>212.6</v>
      </c>
      <c r="O105" s="341">
        <v>77720.182000000001</v>
      </c>
      <c r="P105" s="343">
        <v>679460.91911679995</v>
      </c>
      <c r="Q105" s="344" t="s">
        <v>536</v>
      </c>
      <c r="R105" s="341">
        <v>400.6</v>
      </c>
      <c r="S105" s="341">
        <v>320.48</v>
      </c>
      <c r="T105" s="343">
        <v>2662868.3200000003</v>
      </c>
      <c r="U105" s="364" t="s">
        <v>531</v>
      </c>
    </row>
    <row r="106" spans="1:21" ht="36">
      <c r="A106" s="370">
        <v>105</v>
      </c>
      <c r="B106" s="384" t="str">
        <f>UPPER((TEXT(Tabla3[[#This Row],[Fecha llegada]],"MMM")))</f>
        <v>AGO</v>
      </c>
      <c r="C106" s="384">
        <f>YEAR(Tabla3[[#This Row],[Fecha llegada]])</f>
        <v>2024</v>
      </c>
      <c r="D106" s="348"/>
      <c r="E106" s="342">
        <v>45506</v>
      </c>
      <c r="F106" s="342">
        <v>45507</v>
      </c>
      <c r="G106" s="341">
        <v>1</v>
      </c>
      <c r="H106" s="341">
        <v>2</v>
      </c>
      <c r="I106" s="343">
        <v>651815.34494117647</v>
      </c>
      <c r="J106" s="341">
        <v>14</v>
      </c>
      <c r="K106" s="343">
        <v>360293.58870588237</v>
      </c>
      <c r="L106" s="343">
        <v>1012108.9336470589</v>
      </c>
      <c r="M106" s="341">
        <v>387.1</v>
      </c>
      <c r="N106" s="341">
        <v>257</v>
      </c>
      <c r="O106" s="341">
        <v>99484.700000000012</v>
      </c>
      <c r="P106" s="343">
        <v>869735.04128000012</v>
      </c>
      <c r="Q106" s="344" t="s">
        <v>537</v>
      </c>
      <c r="R106" s="341">
        <v>445</v>
      </c>
      <c r="S106" s="341">
        <v>356</v>
      </c>
      <c r="T106" s="343">
        <v>2958004</v>
      </c>
      <c r="U106" s="364" t="s">
        <v>531</v>
      </c>
    </row>
    <row r="107" spans="1:21">
      <c r="A107" s="362">
        <v>106</v>
      </c>
      <c r="B107" s="384" t="str">
        <f>UPPER((TEXT(Tabla3[[#This Row],[Fecha llegada]],"MMM")))</f>
        <v>AGO</v>
      </c>
      <c r="C107" s="384">
        <f>YEAR(Tabla3[[#This Row],[Fecha llegada]])</f>
        <v>2024</v>
      </c>
      <c r="D107" s="348"/>
      <c r="E107" s="342">
        <v>45507</v>
      </c>
      <c r="F107" s="342">
        <v>45508</v>
      </c>
      <c r="G107" s="341">
        <v>1</v>
      </c>
      <c r="H107" s="341">
        <v>2</v>
      </c>
      <c r="I107" s="343">
        <v>651815.34494117647</v>
      </c>
      <c r="J107" s="341">
        <v>6</v>
      </c>
      <c r="K107" s="343">
        <v>342303.71307563025</v>
      </c>
      <c r="L107" s="343">
        <v>994119.05801680672</v>
      </c>
      <c r="M107" s="341">
        <v>174.79</v>
      </c>
      <c r="N107" s="341">
        <v>212.6</v>
      </c>
      <c r="O107" s="341">
        <v>37160.353999999999</v>
      </c>
      <c r="P107" s="343">
        <v>324870.67880960001</v>
      </c>
      <c r="Q107" s="344" t="s">
        <v>538</v>
      </c>
      <c r="R107" s="341">
        <v>400.6</v>
      </c>
      <c r="S107" s="341">
        <v>320.48</v>
      </c>
      <c r="T107" s="343">
        <v>2662868.3200000003</v>
      </c>
      <c r="U107" s="364" t="s">
        <v>531</v>
      </c>
    </row>
    <row r="108" spans="1:21" ht="36">
      <c r="A108" s="370">
        <v>107</v>
      </c>
      <c r="B108" s="384" t="str">
        <f>UPPER((TEXT(Tabla3[[#This Row],[Fecha llegada]],"MMM")))</f>
        <v>AGO</v>
      </c>
      <c r="C108" s="384">
        <f>YEAR(Tabla3[[#This Row],[Fecha llegada]])</f>
        <v>2024</v>
      </c>
      <c r="D108" s="348"/>
      <c r="E108" s="342">
        <v>45508</v>
      </c>
      <c r="F108" s="342">
        <v>45509</v>
      </c>
      <c r="G108" s="341">
        <v>1</v>
      </c>
      <c r="H108" s="341">
        <v>2</v>
      </c>
      <c r="I108" s="343">
        <v>651815.34494117647</v>
      </c>
      <c r="J108" s="341">
        <v>14</v>
      </c>
      <c r="K108" s="343">
        <v>360293.58870588237</v>
      </c>
      <c r="L108" s="343">
        <v>1012108.9336470589</v>
      </c>
      <c r="M108" s="341">
        <v>388.55</v>
      </c>
      <c r="N108" s="341">
        <v>257</v>
      </c>
      <c r="O108" s="341">
        <v>99857.35</v>
      </c>
      <c r="P108" s="343">
        <v>872992.89664000005</v>
      </c>
      <c r="Q108" s="344" t="s">
        <v>539</v>
      </c>
      <c r="R108" s="341">
        <v>445</v>
      </c>
      <c r="S108" s="341">
        <v>356</v>
      </c>
      <c r="T108" s="343">
        <v>2958004</v>
      </c>
      <c r="U108" s="364" t="s">
        <v>531</v>
      </c>
    </row>
    <row r="109" spans="1:21" ht="36">
      <c r="A109" s="370">
        <v>108</v>
      </c>
      <c r="B109" s="384" t="str">
        <f>UPPER((TEXT(Tabla3[[#This Row],[Fecha llegada]],"MMM")))</f>
        <v>AGO</v>
      </c>
      <c r="C109" s="384">
        <f>YEAR(Tabla3[[#This Row],[Fecha llegada]])</f>
        <v>2024</v>
      </c>
      <c r="D109" s="348"/>
      <c r="E109" s="342">
        <v>45510</v>
      </c>
      <c r="F109" s="342">
        <v>45511</v>
      </c>
      <c r="G109" s="341">
        <v>2</v>
      </c>
      <c r="H109" s="341">
        <v>2</v>
      </c>
      <c r="I109" s="343">
        <v>1303630.6898823529</v>
      </c>
      <c r="J109" s="341">
        <v>14</v>
      </c>
      <c r="K109" s="343">
        <v>720587.17741176474</v>
      </c>
      <c r="L109" s="343">
        <v>2024217.8672941178</v>
      </c>
      <c r="M109" s="341">
        <v>387.83</v>
      </c>
      <c r="N109" s="341">
        <v>257</v>
      </c>
      <c r="O109" s="341">
        <v>99672.31</v>
      </c>
      <c r="P109" s="343">
        <v>871375.20294400002</v>
      </c>
      <c r="Q109" s="344" t="s">
        <v>540</v>
      </c>
      <c r="R109" s="341">
        <v>702</v>
      </c>
      <c r="S109" s="341">
        <v>561.6</v>
      </c>
      <c r="T109" s="343">
        <v>4666334.4000000004</v>
      </c>
      <c r="U109" s="364" t="s">
        <v>531</v>
      </c>
    </row>
    <row r="110" spans="1:21">
      <c r="A110" s="362">
        <v>109</v>
      </c>
      <c r="B110" s="384" t="str">
        <f>UPPER((TEXT(Tabla3[[#This Row],[Fecha llegada]],"MMM")))</f>
        <v>AGO</v>
      </c>
      <c r="C110" s="384">
        <f>YEAR(Tabla3[[#This Row],[Fecha llegada]])</f>
        <v>2024</v>
      </c>
      <c r="D110" s="348"/>
      <c r="E110" s="342">
        <v>45511</v>
      </c>
      <c r="F110" s="342">
        <v>45512</v>
      </c>
      <c r="G110" s="341">
        <v>1</v>
      </c>
      <c r="H110" s="341">
        <v>2</v>
      </c>
      <c r="I110" s="343">
        <v>651815.34494117647</v>
      </c>
      <c r="J110" s="341">
        <v>7</v>
      </c>
      <c r="K110" s="343">
        <v>399354.33192156866</v>
      </c>
      <c r="L110" s="343">
        <v>1051169.6768627451</v>
      </c>
      <c r="M110" s="341">
        <v>254.9</v>
      </c>
      <c r="N110" s="341">
        <v>212.6</v>
      </c>
      <c r="O110" s="341">
        <v>54191.74</v>
      </c>
      <c r="P110" s="343">
        <v>473765.867776</v>
      </c>
      <c r="Q110" s="344" t="s">
        <v>541</v>
      </c>
      <c r="R110" s="341">
        <v>400.6</v>
      </c>
      <c r="S110" s="341">
        <v>320.48</v>
      </c>
      <c r="T110" s="343">
        <v>2662868.3200000003</v>
      </c>
      <c r="U110" s="364" t="s">
        <v>531</v>
      </c>
    </row>
    <row r="111" spans="1:21" ht="36">
      <c r="A111" s="370">
        <v>110</v>
      </c>
      <c r="B111" s="384" t="str">
        <f>UPPER((TEXT(Tabla3[[#This Row],[Fecha llegada]],"MMM")))</f>
        <v>AGO</v>
      </c>
      <c r="C111" s="384">
        <f>YEAR(Tabla3[[#This Row],[Fecha llegada]])</f>
        <v>2024</v>
      </c>
      <c r="D111" s="348"/>
      <c r="E111" s="342">
        <v>45512</v>
      </c>
      <c r="F111" s="342">
        <v>45513</v>
      </c>
      <c r="G111" s="341">
        <v>1</v>
      </c>
      <c r="H111" s="341">
        <v>2</v>
      </c>
      <c r="I111" s="343">
        <v>651815.34494117647</v>
      </c>
      <c r="J111" s="341">
        <v>14</v>
      </c>
      <c r="K111" s="343">
        <v>360293.58870588237</v>
      </c>
      <c r="L111" s="343">
        <v>1012108.9336470589</v>
      </c>
      <c r="M111" s="341">
        <v>388.33</v>
      </c>
      <c r="N111" s="341">
        <v>257</v>
      </c>
      <c r="O111" s="341">
        <v>99800.81</v>
      </c>
      <c r="P111" s="343">
        <v>872498.60134399997</v>
      </c>
      <c r="Q111" s="344" t="s">
        <v>542</v>
      </c>
      <c r="R111" s="341">
        <v>445</v>
      </c>
      <c r="S111" s="341">
        <v>356</v>
      </c>
      <c r="T111" s="343">
        <v>2958004</v>
      </c>
      <c r="U111" s="364" t="s">
        <v>531</v>
      </c>
    </row>
    <row r="112" spans="1:21" ht="36">
      <c r="A112" s="370">
        <v>111</v>
      </c>
      <c r="B112" s="384" t="str">
        <f>UPPER((TEXT(Tabla3[[#This Row],[Fecha llegada]],"MMM")))</f>
        <v>AGO</v>
      </c>
      <c r="C112" s="384">
        <f>YEAR(Tabla3[[#This Row],[Fecha llegada]])</f>
        <v>2024</v>
      </c>
      <c r="D112" s="348"/>
      <c r="E112" s="342">
        <v>45514</v>
      </c>
      <c r="F112" s="342">
        <v>45515</v>
      </c>
      <c r="G112" s="341">
        <v>2</v>
      </c>
      <c r="H112" s="341">
        <v>2</v>
      </c>
      <c r="I112" s="343">
        <v>1303630.6898823529</v>
      </c>
      <c r="J112" s="341">
        <v>14</v>
      </c>
      <c r="K112" s="343">
        <v>720587.17741176474</v>
      </c>
      <c r="L112" s="343">
        <v>2024217.8672941178</v>
      </c>
      <c r="M112" s="341">
        <v>389.55</v>
      </c>
      <c r="N112" s="341">
        <v>257</v>
      </c>
      <c r="O112" s="341">
        <v>100114.35</v>
      </c>
      <c r="P112" s="343">
        <v>875239.69344000006</v>
      </c>
      <c r="Q112" s="344" t="s">
        <v>543</v>
      </c>
      <c r="R112" s="341">
        <v>702</v>
      </c>
      <c r="S112" s="341">
        <v>561.6</v>
      </c>
      <c r="T112" s="343">
        <v>4666334.4000000004</v>
      </c>
      <c r="U112" s="364" t="s">
        <v>531</v>
      </c>
    </row>
    <row r="113" spans="1:21" ht="36">
      <c r="A113" s="362">
        <v>112</v>
      </c>
      <c r="B113" s="384" t="str">
        <f>UPPER((TEXT(Tabla3[[#This Row],[Fecha llegada]],"MMM")))</f>
        <v>AGO</v>
      </c>
      <c r="C113" s="384">
        <f>YEAR(Tabla3[[#This Row],[Fecha llegada]])</f>
        <v>2024</v>
      </c>
      <c r="D113" s="348"/>
      <c r="E113" s="342">
        <v>45524</v>
      </c>
      <c r="F113" s="342">
        <v>45525</v>
      </c>
      <c r="G113" s="341">
        <v>2</v>
      </c>
      <c r="H113" s="341">
        <v>2</v>
      </c>
      <c r="I113" s="343">
        <v>1303630.6898823529</v>
      </c>
      <c r="J113" s="341">
        <v>14</v>
      </c>
      <c r="K113" s="343">
        <v>720587.17741176474</v>
      </c>
      <c r="L113" s="343">
        <v>2024217.8672941178</v>
      </c>
      <c r="M113" s="341">
        <v>392</v>
      </c>
      <c r="N113" s="341">
        <v>257</v>
      </c>
      <c r="O113" s="341">
        <v>100744</v>
      </c>
      <c r="P113" s="343">
        <v>880744.3456</v>
      </c>
      <c r="Q113" s="344" t="s">
        <v>544</v>
      </c>
      <c r="R113" s="341">
        <v>702</v>
      </c>
      <c r="S113" s="341">
        <v>561.6</v>
      </c>
      <c r="T113" s="343">
        <v>4666334.4000000004</v>
      </c>
      <c r="U113" s="364" t="s">
        <v>531</v>
      </c>
    </row>
    <row r="114" spans="1:21" ht="36">
      <c r="A114" s="370">
        <v>113</v>
      </c>
      <c r="B114" s="384" t="str">
        <f>UPPER((TEXT(Tabla3[[#This Row],[Fecha llegada]],"MMM")))</f>
        <v>AGO</v>
      </c>
      <c r="C114" s="384">
        <f>YEAR(Tabla3[[#This Row],[Fecha llegada]])</f>
        <v>2024</v>
      </c>
      <c r="D114" s="348"/>
      <c r="E114" s="342">
        <v>45526</v>
      </c>
      <c r="F114" s="342">
        <v>45527</v>
      </c>
      <c r="G114" s="341">
        <v>2</v>
      </c>
      <c r="H114" s="341">
        <v>2</v>
      </c>
      <c r="I114" s="343">
        <v>1303630.6898823529</v>
      </c>
      <c r="J114" s="341">
        <v>14</v>
      </c>
      <c r="K114" s="343">
        <v>720587.17741176474</v>
      </c>
      <c r="L114" s="343">
        <v>2024217.8672941178</v>
      </c>
      <c r="M114" s="341">
        <v>387.83</v>
      </c>
      <c r="N114" s="341">
        <v>257</v>
      </c>
      <c r="O114" s="341">
        <v>99672.31</v>
      </c>
      <c r="P114" s="343">
        <v>871375.20294400002</v>
      </c>
      <c r="Q114" s="344" t="s">
        <v>545</v>
      </c>
      <c r="R114" s="341">
        <v>702</v>
      </c>
      <c r="S114" s="341">
        <v>561.6</v>
      </c>
      <c r="T114" s="343">
        <v>4666334.4000000004</v>
      </c>
      <c r="U114" s="364" t="s">
        <v>531</v>
      </c>
    </row>
    <row r="115" spans="1:21" ht="36">
      <c r="A115" s="370">
        <v>114</v>
      </c>
      <c r="B115" s="384" t="str">
        <f>UPPER((TEXT(Tabla3[[#This Row],[Fecha llegada]],"MMM")))</f>
        <v>AGO</v>
      </c>
      <c r="C115" s="384">
        <f>YEAR(Tabla3[[#This Row],[Fecha llegada]])</f>
        <v>2024</v>
      </c>
      <c r="D115" s="348"/>
      <c r="E115" s="342">
        <v>45528</v>
      </c>
      <c r="F115" s="342">
        <v>45529</v>
      </c>
      <c r="G115" s="341">
        <v>2</v>
      </c>
      <c r="H115" s="341">
        <v>2</v>
      </c>
      <c r="I115" s="343">
        <v>1303630.6898823529</v>
      </c>
      <c r="J115" s="341">
        <v>14</v>
      </c>
      <c r="K115" s="343">
        <v>720587.17741176474</v>
      </c>
      <c r="L115" s="343">
        <v>2024217.8672941178</v>
      </c>
      <c r="M115" s="341">
        <v>386.83</v>
      </c>
      <c r="N115" s="341">
        <v>257</v>
      </c>
      <c r="O115" s="341">
        <v>99415.31</v>
      </c>
      <c r="P115" s="343">
        <v>869128.40614400001</v>
      </c>
      <c r="Q115" s="344" t="s">
        <v>546</v>
      </c>
      <c r="R115" s="341">
        <v>702</v>
      </c>
      <c r="S115" s="341">
        <v>561.6</v>
      </c>
      <c r="T115" s="343">
        <v>4666334.4000000004</v>
      </c>
      <c r="U115" s="364" t="s">
        <v>531</v>
      </c>
    </row>
    <row r="116" spans="1:21" ht="36">
      <c r="A116" s="362">
        <v>115</v>
      </c>
      <c r="B116" s="385" t="str">
        <f>UPPER((TEXT(Tabla3[[#This Row],[Fecha llegada]],"MMM")))</f>
        <v>AGO</v>
      </c>
      <c r="C116" s="385">
        <f>YEAR(Tabla3[[#This Row],[Fecha llegada]])</f>
        <v>2024</v>
      </c>
      <c r="D116" s="371"/>
      <c r="E116" s="372">
        <v>45533</v>
      </c>
      <c r="F116" s="372">
        <v>45534</v>
      </c>
      <c r="G116" s="373">
        <v>2</v>
      </c>
      <c r="H116" s="373">
        <v>2</v>
      </c>
      <c r="I116" s="374">
        <v>1303630.6898823529</v>
      </c>
      <c r="J116" s="373">
        <v>14</v>
      </c>
      <c r="K116" s="374">
        <v>720587.17741176474</v>
      </c>
      <c r="L116" s="374">
        <v>2024217.8672941178</v>
      </c>
      <c r="M116" s="373">
        <v>392</v>
      </c>
      <c r="N116" s="373">
        <v>257</v>
      </c>
      <c r="O116" s="373">
        <v>100744</v>
      </c>
      <c r="P116" s="374">
        <v>880744.3456</v>
      </c>
      <c r="Q116" s="375" t="s">
        <v>547</v>
      </c>
      <c r="R116" s="373">
        <v>702</v>
      </c>
      <c r="S116" s="373">
        <v>561.6</v>
      </c>
      <c r="T116" s="374">
        <v>4666334.4000000004</v>
      </c>
      <c r="U116" s="364" t="s">
        <v>531</v>
      </c>
    </row>
    <row r="117" spans="1:21">
      <c r="A117" s="370">
        <v>116</v>
      </c>
      <c r="B117" s="384" t="str">
        <f>UPPER((TEXT(Tabla3[[#This Row],[Fecha llegada]],"MMM")))</f>
        <v>SEP</v>
      </c>
      <c r="C117" s="384">
        <f>YEAR(Tabla3[[#This Row],[Fecha llegada]])</f>
        <v>2024</v>
      </c>
      <c r="D117" s="348"/>
      <c r="E117" s="342">
        <v>45535</v>
      </c>
      <c r="F117" s="342">
        <v>45536</v>
      </c>
      <c r="G117" s="341">
        <v>2</v>
      </c>
      <c r="H117" s="341">
        <v>2</v>
      </c>
      <c r="I117" s="343">
        <v>853498.1050084033</v>
      </c>
      <c r="J117" s="341">
        <v>14</v>
      </c>
      <c r="K117" s="343">
        <v>571220.70211764704</v>
      </c>
      <c r="L117" s="343">
        <v>1424718.8071260503</v>
      </c>
      <c r="M117" s="341">
        <v>392</v>
      </c>
      <c r="N117" s="341">
        <v>257</v>
      </c>
      <c r="O117" s="341">
        <v>100744</v>
      </c>
      <c r="P117" s="343">
        <v>880744.3456</v>
      </c>
      <c r="Q117" s="344" t="s">
        <v>565</v>
      </c>
      <c r="R117" s="341">
        <v>702</v>
      </c>
      <c r="S117" s="341">
        <v>561.6</v>
      </c>
      <c r="T117" s="343">
        <v>4666244.5440000007</v>
      </c>
      <c r="U117" s="364" t="s">
        <v>558</v>
      </c>
    </row>
    <row r="118" spans="1:21">
      <c r="A118" s="362">
        <v>117</v>
      </c>
      <c r="B118" s="384" t="str">
        <f>UPPER((TEXT(Tabla3[[#This Row],[Fecha llegada]],"MMM")))</f>
        <v>SEP</v>
      </c>
      <c r="C118" s="384">
        <f>YEAR(Tabla3[[#This Row],[Fecha llegada]])</f>
        <v>2024</v>
      </c>
      <c r="D118" s="348"/>
      <c r="E118" s="342">
        <v>45537</v>
      </c>
      <c r="F118" s="342">
        <v>45538</v>
      </c>
      <c r="G118" s="341">
        <v>2</v>
      </c>
      <c r="H118" s="341">
        <v>2</v>
      </c>
      <c r="I118" s="343">
        <v>853498.1050084033</v>
      </c>
      <c r="J118" s="341">
        <v>14</v>
      </c>
      <c r="K118" s="343">
        <v>571220.70211764704</v>
      </c>
      <c r="L118" s="343">
        <v>1424718.8071260503</v>
      </c>
      <c r="M118" s="341">
        <v>388.33</v>
      </c>
      <c r="N118" s="341">
        <v>257</v>
      </c>
      <c r="O118" s="341">
        <v>99800.81</v>
      </c>
      <c r="P118" s="343">
        <v>872498.60134399997</v>
      </c>
      <c r="Q118" s="344" t="s">
        <v>566</v>
      </c>
      <c r="R118" s="341">
        <v>702</v>
      </c>
      <c r="S118" s="341">
        <v>561.6</v>
      </c>
      <c r="T118" s="343">
        <v>4666244.5440000007</v>
      </c>
      <c r="U118" s="364" t="s">
        <v>558</v>
      </c>
    </row>
    <row r="119" spans="1:21">
      <c r="A119" s="370">
        <v>118</v>
      </c>
      <c r="B119" s="384" t="str">
        <f>UPPER((TEXT(Tabla3[[#This Row],[Fecha llegada]],"MMM")))</f>
        <v>SEP</v>
      </c>
      <c r="C119" s="384">
        <f>YEAR(Tabla3[[#This Row],[Fecha llegada]])</f>
        <v>2024</v>
      </c>
      <c r="D119" s="348"/>
      <c r="E119" s="342">
        <v>45539</v>
      </c>
      <c r="F119" s="342">
        <v>45540</v>
      </c>
      <c r="G119" s="341">
        <v>2</v>
      </c>
      <c r="H119" s="341">
        <v>2</v>
      </c>
      <c r="I119" s="343">
        <v>853498.1050084033</v>
      </c>
      <c r="J119" s="341">
        <v>14</v>
      </c>
      <c r="K119" s="343">
        <v>571220.70211764704</v>
      </c>
      <c r="L119" s="343">
        <v>1424718.8071260503</v>
      </c>
      <c r="M119" s="341">
        <v>386.92500000000001</v>
      </c>
      <c r="N119" s="341">
        <v>257</v>
      </c>
      <c r="O119" s="341">
        <v>99439.725000000006</v>
      </c>
      <c r="P119" s="343">
        <v>869341.85184000002</v>
      </c>
      <c r="Q119" s="344" t="s">
        <v>567</v>
      </c>
      <c r="R119" s="341">
        <v>702</v>
      </c>
      <c r="S119" s="341">
        <v>561.6</v>
      </c>
      <c r="T119" s="343">
        <v>4666244.5440000007</v>
      </c>
      <c r="U119" s="364" t="s">
        <v>558</v>
      </c>
    </row>
    <row r="120" spans="1:21">
      <c r="A120" s="362">
        <v>119</v>
      </c>
      <c r="B120" s="384" t="str">
        <f>UPPER((TEXT(Tabla3[[#This Row],[Fecha llegada]],"MMM")))</f>
        <v>SEP</v>
      </c>
      <c r="C120" s="384">
        <f>YEAR(Tabla3[[#This Row],[Fecha llegada]])</f>
        <v>2024</v>
      </c>
      <c r="D120" s="348"/>
      <c r="E120" s="342">
        <v>45540</v>
      </c>
      <c r="F120" s="342">
        <v>45541</v>
      </c>
      <c r="G120" s="341">
        <v>1</v>
      </c>
      <c r="H120" s="341">
        <v>2</v>
      </c>
      <c r="I120" s="343">
        <v>426749.05250420165</v>
      </c>
      <c r="J120" s="341">
        <v>8</v>
      </c>
      <c r="K120" s="343">
        <v>163205.91489075631</v>
      </c>
      <c r="L120" s="343">
        <v>589954.96739495802</v>
      </c>
      <c r="M120" s="341">
        <v>109.2</v>
      </c>
      <c r="N120" s="341">
        <v>227.6</v>
      </c>
      <c r="O120" s="341">
        <v>24853.919999999998</v>
      </c>
      <c r="P120" s="343">
        <v>217282.91020799999</v>
      </c>
      <c r="Q120" s="344" t="s">
        <v>562</v>
      </c>
      <c r="R120" s="341">
        <v>385.6</v>
      </c>
      <c r="S120" s="341">
        <v>308.48</v>
      </c>
      <c r="T120" s="343">
        <v>2563110.9632000001</v>
      </c>
      <c r="U120" s="364" t="s">
        <v>558</v>
      </c>
    </row>
    <row r="121" spans="1:21">
      <c r="A121" s="370">
        <v>120</v>
      </c>
      <c r="B121" s="384" t="str">
        <f>UPPER((TEXT(Tabla3[[#This Row],[Fecha llegada]],"MMM")))</f>
        <v>SEP</v>
      </c>
      <c r="C121" s="384">
        <f>YEAR(Tabla3[[#This Row],[Fecha llegada]])</f>
        <v>2024</v>
      </c>
      <c r="D121" s="348"/>
      <c r="E121" s="342">
        <v>45542</v>
      </c>
      <c r="F121" s="342">
        <v>45542</v>
      </c>
      <c r="G121" s="341">
        <v>1</v>
      </c>
      <c r="H121" s="341">
        <v>2</v>
      </c>
      <c r="I121" s="343">
        <v>426749.05250420165</v>
      </c>
      <c r="J121" s="341">
        <v>14</v>
      </c>
      <c r="K121" s="343">
        <v>285610.35105882352</v>
      </c>
      <c r="L121" s="343">
        <v>712359.40356302517</v>
      </c>
      <c r="M121" s="341">
        <v>390.5</v>
      </c>
      <c r="N121" s="341">
        <v>257</v>
      </c>
      <c r="O121" s="341">
        <v>100358.5</v>
      </c>
      <c r="P121" s="343">
        <v>877374.15040000004</v>
      </c>
      <c r="Q121" s="344" t="s">
        <v>568</v>
      </c>
      <c r="R121" s="341">
        <v>445</v>
      </c>
      <c r="S121" s="341">
        <v>356</v>
      </c>
      <c r="T121" s="343">
        <v>2957947.04</v>
      </c>
      <c r="U121" s="364" t="s">
        <v>558</v>
      </c>
    </row>
    <row r="122" spans="1:21">
      <c r="A122" s="362">
        <v>121</v>
      </c>
      <c r="B122" s="384" t="str">
        <f>UPPER((TEXT(Tabla3[[#This Row],[Fecha llegada]],"MMM")))</f>
        <v>SEP</v>
      </c>
      <c r="C122" s="384">
        <f>YEAR(Tabla3[[#This Row],[Fecha llegada]])</f>
        <v>2024</v>
      </c>
      <c r="D122" s="348"/>
      <c r="E122" s="342">
        <v>45545</v>
      </c>
      <c r="F122" s="342">
        <v>45546</v>
      </c>
      <c r="G122" s="341">
        <v>2</v>
      </c>
      <c r="H122" s="341">
        <v>2</v>
      </c>
      <c r="I122" s="343">
        <v>853498.1050084033</v>
      </c>
      <c r="J122" s="341">
        <v>14</v>
      </c>
      <c r="K122" s="343">
        <v>571220.70211764704</v>
      </c>
      <c r="L122" s="343">
        <v>1424718.8071260503</v>
      </c>
      <c r="M122" s="341">
        <v>388.33</v>
      </c>
      <c r="N122" s="341">
        <v>257</v>
      </c>
      <c r="O122" s="341">
        <v>99800.81</v>
      </c>
      <c r="P122" s="343">
        <v>872498.60134399997</v>
      </c>
      <c r="Q122" s="344" t="s">
        <v>569</v>
      </c>
      <c r="R122" s="341">
        <v>702</v>
      </c>
      <c r="S122" s="341">
        <v>561.6</v>
      </c>
      <c r="T122" s="343">
        <v>4666244.5440000007</v>
      </c>
      <c r="U122" s="364" t="s">
        <v>558</v>
      </c>
    </row>
    <row r="123" spans="1:21">
      <c r="A123" s="370">
        <v>122</v>
      </c>
      <c r="B123" s="384" t="str">
        <f>UPPER((TEXT(Tabla3[[#This Row],[Fecha llegada]],"MMM")))</f>
        <v>SEP</v>
      </c>
      <c r="C123" s="384">
        <f>YEAR(Tabla3[[#This Row],[Fecha llegada]])</f>
        <v>2024</v>
      </c>
      <c r="D123" s="348"/>
      <c r="E123" s="342">
        <v>45546</v>
      </c>
      <c r="F123" s="342">
        <v>45547</v>
      </c>
      <c r="G123" s="341">
        <v>1</v>
      </c>
      <c r="H123" s="341">
        <v>2</v>
      </c>
      <c r="I123" s="343">
        <v>426749.05250420165</v>
      </c>
      <c r="J123" s="341">
        <v>6</v>
      </c>
      <c r="K123" s="343">
        <v>122404.43616806723</v>
      </c>
      <c r="L123" s="343">
        <v>549153.48867226893</v>
      </c>
      <c r="M123" s="341">
        <v>106.499</v>
      </c>
      <c r="N123" s="341">
        <v>227.6</v>
      </c>
      <c r="O123" s="341">
        <v>24239.172399999999</v>
      </c>
      <c r="P123" s="343">
        <v>211908.54078975998</v>
      </c>
      <c r="Q123" s="344" t="s">
        <v>563</v>
      </c>
      <c r="R123" s="341">
        <v>385.6</v>
      </c>
      <c r="S123" s="341">
        <v>308.48</v>
      </c>
      <c r="T123" s="343">
        <v>2563110.9632000001</v>
      </c>
      <c r="U123" s="364" t="s">
        <v>558</v>
      </c>
    </row>
    <row r="124" spans="1:21">
      <c r="A124" s="362">
        <v>123</v>
      </c>
      <c r="B124" s="384" t="str">
        <f>UPPER((TEXT(Tabla3[[#This Row],[Fecha llegada]],"MMM")))</f>
        <v>SEP</v>
      </c>
      <c r="C124" s="384">
        <f>YEAR(Tabla3[[#This Row],[Fecha llegada]])</f>
        <v>2024</v>
      </c>
      <c r="D124" s="348"/>
      <c r="E124" s="342">
        <v>45547</v>
      </c>
      <c r="F124" s="342">
        <v>45548</v>
      </c>
      <c r="G124" s="341">
        <v>1</v>
      </c>
      <c r="H124" s="341">
        <v>2</v>
      </c>
      <c r="I124" s="343">
        <v>426749.05250420165</v>
      </c>
      <c r="J124" s="341">
        <v>14</v>
      </c>
      <c r="K124" s="343">
        <v>285610.35105882352</v>
      </c>
      <c r="L124" s="343">
        <v>712359.40356302517</v>
      </c>
      <c r="M124" s="341">
        <v>388.33</v>
      </c>
      <c r="N124" s="341">
        <v>257</v>
      </c>
      <c r="O124" s="341">
        <v>99800.81</v>
      </c>
      <c r="P124" s="343">
        <v>872498.60134399997</v>
      </c>
      <c r="Q124" s="344" t="s">
        <v>570</v>
      </c>
      <c r="R124" s="341">
        <v>445</v>
      </c>
      <c r="S124" s="341">
        <v>356</v>
      </c>
      <c r="T124" s="343">
        <v>2957947.04</v>
      </c>
      <c r="U124" s="364" t="s">
        <v>558</v>
      </c>
    </row>
    <row r="125" spans="1:21">
      <c r="A125" s="370">
        <v>124</v>
      </c>
      <c r="B125" s="384" t="str">
        <f>UPPER((TEXT(Tabla3[[#This Row],[Fecha llegada]],"MMM")))</f>
        <v>SEP</v>
      </c>
      <c r="C125" s="384">
        <f>YEAR(Tabla3[[#This Row],[Fecha llegada]])</f>
        <v>2024</v>
      </c>
      <c r="D125" s="348"/>
      <c r="E125" s="342">
        <v>45549</v>
      </c>
      <c r="F125" s="342">
        <v>45550</v>
      </c>
      <c r="G125" s="341">
        <v>2</v>
      </c>
      <c r="H125" s="341">
        <v>2</v>
      </c>
      <c r="I125" s="343">
        <v>853498.1050084033</v>
      </c>
      <c r="J125" s="341">
        <v>14</v>
      </c>
      <c r="K125" s="343">
        <v>571220.70211764704</v>
      </c>
      <c r="L125" s="343">
        <v>1424718.8071260503</v>
      </c>
      <c r="M125" s="341">
        <v>388.33</v>
      </c>
      <c r="N125" s="341">
        <v>257</v>
      </c>
      <c r="O125" s="341">
        <v>99800.81</v>
      </c>
      <c r="P125" s="343">
        <v>872498.60134399997</v>
      </c>
      <c r="Q125" s="344" t="s">
        <v>571</v>
      </c>
      <c r="R125" s="341">
        <v>702</v>
      </c>
      <c r="S125" s="341">
        <v>561.6</v>
      </c>
      <c r="T125" s="343">
        <v>4666244.5440000007</v>
      </c>
      <c r="U125" s="364" t="s">
        <v>558</v>
      </c>
    </row>
    <row r="126" spans="1:21">
      <c r="A126" s="362">
        <v>125</v>
      </c>
      <c r="B126" s="384" t="str">
        <f>UPPER((TEXT(Tabla3[[#This Row],[Fecha llegada]],"MMM")))</f>
        <v>SEP</v>
      </c>
      <c r="C126" s="384">
        <f>YEAR(Tabla3[[#This Row],[Fecha llegada]])</f>
        <v>2024</v>
      </c>
      <c r="D126" s="348"/>
      <c r="E126" s="342">
        <v>45552</v>
      </c>
      <c r="F126" s="342">
        <v>45553</v>
      </c>
      <c r="G126" s="341">
        <v>2</v>
      </c>
      <c r="H126" s="341">
        <v>2</v>
      </c>
      <c r="I126" s="343">
        <v>853498.1050084033</v>
      </c>
      <c r="J126" s="341">
        <v>14</v>
      </c>
      <c r="K126" s="343">
        <v>571220.70211764704</v>
      </c>
      <c r="L126" s="343">
        <v>1424718.8071260503</v>
      </c>
      <c r="M126" s="341">
        <v>388.33</v>
      </c>
      <c r="N126" s="341">
        <v>257</v>
      </c>
      <c r="O126" s="341">
        <v>99800.81</v>
      </c>
      <c r="P126" s="343">
        <v>872498.60134399997</v>
      </c>
      <c r="Q126" s="344" t="s">
        <v>572</v>
      </c>
      <c r="R126" s="341">
        <v>702</v>
      </c>
      <c r="S126" s="341">
        <v>561.6</v>
      </c>
      <c r="T126" s="343">
        <v>4666244.5440000007</v>
      </c>
      <c r="U126" s="364" t="s">
        <v>558</v>
      </c>
    </row>
    <row r="127" spans="1:21">
      <c r="A127" s="370">
        <v>126</v>
      </c>
      <c r="B127" s="384" t="str">
        <f>UPPER((TEXT(Tabla3[[#This Row],[Fecha llegada]],"MMM")))</f>
        <v>SEP</v>
      </c>
      <c r="C127" s="384">
        <f>YEAR(Tabla3[[#This Row],[Fecha llegada]])</f>
        <v>2024</v>
      </c>
      <c r="D127" s="348"/>
      <c r="E127" s="342">
        <v>45554</v>
      </c>
      <c r="F127" s="342">
        <v>45555</v>
      </c>
      <c r="G127" s="341">
        <v>2</v>
      </c>
      <c r="H127" s="341">
        <v>2</v>
      </c>
      <c r="I127" s="343">
        <v>853498.1050084033</v>
      </c>
      <c r="J127" s="341">
        <v>14</v>
      </c>
      <c r="K127" s="343">
        <v>571220.70211764704</v>
      </c>
      <c r="L127" s="343">
        <v>1424718.8071260503</v>
      </c>
      <c r="M127" s="341">
        <v>388.33</v>
      </c>
      <c r="N127" s="341">
        <v>257</v>
      </c>
      <c r="O127" s="341">
        <v>99800.81</v>
      </c>
      <c r="P127" s="343">
        <v>872498.60134399997</v>
      </c>
      <c r="Q127" s="344" t="s">
        <v>573</v>
      </c>
      <c r="R127" s="341">
        <v>702</v>
      </c>
      <c r="S127" s="341">
        <v>561.6</v>
      </c>
      <c r="T127" s="343">
        <v>4666244.5440000007</v>
      </c>
      <c r="U127" s="364" t="s">
        <v>558</v>
      </c>
    </row>
    <row r="128" spans="1:21">
      <c r="A128" s="362">
        <v>127</v>
      </c>
      <c r="B128" s="384" t="str">
        <f>UPPER((TEXT(Tabla3[[#This Row],[Fecha llegada]],"MMM")))</f>
        <v>SEP</v>
      </c>
      <c r="C128" s="384">
        <f>YEAR(Tabla3[[#This Row],[Fecha llegada]])</f>
        <v>2024</v>
      </c>
      <c r="D128" s="348"/>
      <c r="E128" s="342">
        <v>45556</v>
      </c>
      <c r="F128" s="342">
        <v>45557</v>
      </c>
      <c r="G128" s="341">
        <v>2</v>
      </c>
      <c r="H128" s="341">
        <v>2</v>
      </c>
      <c r="I128" s="343">
        <v>853498.1050084033</v>
      </c>
      <c r="J128" s="341">
        <v>14</v>
      </c>
      <c r="K128" s="343">
        <v>571220.70211764704</v>
      </c>
      <c r="L128" s="343">
        <v>1424718.8071260503</v>
      </c>
      <c r="M128" s="341">
        <v>388.33</v>
      </c>
      <c r="N128" s="341">
        <v>257</v>
      </c>
      <c r="O128" s="341">
        <v>99800.81</v>
      </c>
      <c r="P128" s="343">
        <v>872498.60134399997</v>
      </c>
      <c r="Q128" s="344" t="s">
        <v>574</v>
      </c>
      <c r="R128" s="341">
        <v>702</v>
      </c>
      <c r="S128" s="341">
        <v>561.6</v>
      </c>
      <c r="T128" s="343">
        <v>4666244.5440000007</v>
      </c>
      <c r="U128" s="364" t="s">
        <v>558</v>
      </c>
    </row>
    <row r="129" spans="1:21">
      <c r="A129" s="370">
        <v>128</v>
      </c>
      <c r="B129" s="384" t="str">
        <f>UPPER((TEXT(Tabla3[[#This Row],[Fecha llegada]],"MMM")))</f>
        <v>SEP</v>
      </c>
      <c r="C129" s="384">
        <f>YEAR(Tabla3[[#This Row],[Fecha llegada]])</f>
        <v>2024</v>
      </c>
      <c r="D129" s="348"/>
      <c r="E129" s="342">
        <v>45558</v>
      </c>
      <c r="F129" s="342">
        <v>45559</v>
      </c>
      <c r="G129" s="341">
        <v>2</v>
      </c>
      <c r="H129" s="341">
        <v>2</v>
      </c>
      <c r="I129" s="343">
        <v>853498.1050084033</v>
      </c>
      <c r="J129" s="341">
        <v>14</v>
      </c>
      <c r="K129" s="343">
        <v>571220.70211764704</v>
      </c>
      <c r="L129" s="343">
        <v>1424718.8071260503</v>
      </c>
      <c r="M129" s="341">
        <v>392</v>
      </c>
      <c r="N129" s="341">
        <v>257</v>
      </c>
      <c r="O129" s="341">
        <v>100744</v>
      </c>
      <c r="P129" s="343">
        <v>880744.3456</v>
      </c>
      <c r="Q129" s="344" t="s">
        <v>575</v>
      </c>
      <c r="R129" s="341">
        <v>702</v>
      </c>
      <c r="S129" s="341">
        <v>561.6</v>
      </c>
      <c r="T129" s="343">
        <v>4666244.5440000007</v>
      </c>
      <c r="U129" s="364" t="s">
        <v>558</v>
      </c>
    </row>
    <row r="130" spans="1:21">
      <c r="A130" s="362">
        <v>129</v>
      </c>
      <c r="B130" s="384" t="str">
        <f>UPPER((TEXT(Tabla3[[#This Row],[Fecha llegada]],"MMM")))</f>
        <v>SEP</v>
      </c>
      <c r="C130" s="384">
        <f>YEAR(Tabla3[[#This Row],[Fecha llegada]])</f>
        <v>2024</v>
      </c>
      <c r="D130" s="348"/>
      <c r="E130" s="342">
        <v>45560</v>
      </c>
      <c r="F130" s="342">
        <v>45561</v>
      </c>
      <c r="G130" s="341">
        <v>2</v>
      </c>
      <c r="H130" s="341">
        <v>2</v>
      </c>
      <c r="I130" s="343">
        <v>853498.1050084033</v>
      </c>
      <c r="J130" s="341">
        <v>11</v>
      </c>
      <c r="K130" s="343">
        <v>448816.26594957983</v>
      </c>
      <c r="L130" s="343">
        <v>1302314.3709579832</v>
      </c>
      <c r="M130" s="341">
        <v>306.77499999999998</v>
      </c>
      <c r="N130" s="341">
        <v>257</v>
      </c>
      <c r="O130" s="341">
        <v>78841.174999999988</v>
      </c>
      <c r="P130" s="343">
        <v>689261.08831999986</v>
      </c>
      <c r="Q130" s="344" t="s">
        <v>576</v>
      </c>
      <c r="R130" s="341">
        <v>702</v>
      </c>
      <c r="S130" s="341">
        <v>561.6</v>
      </c>
      <c r="T130" s="343">
        <v>4666244.5440000007</v>
      </c>
      <c r="U130" s="364" t="s">
        <v>558</v>
      </c>
    </row>
    <row r="131" spans="1:21">
      <c r="A131" s="370">
        <v>130</v>
      </c>
      <c r="B131" s="384" t="str">
        <f>UPPER((TEXT(Tabla3[[#This Row],[Fecha llegada]],"MMM")))</f>
        <v>SEP</v>
      </c>
      <c r="C131" s="384">
        <f>YEAR(Tabla3[[#This Row],[Fecha llegada]])</f>
        <v>2024</v>
      </c>
      <c r="D131" s="348"/>
      <c r="E131" s="342">
        <v>45561</v>
      </c>
      <c r="F131" s="342">
        <v>45562</v>
      </c>
      <c r="G131" s="341">
        <v>1</v>
      </c>
      <c r="H131" s="341">
        <v>2</v>
      </c>
      <c r="I131" s="343">
        <v>426749.05250420165</v>
      </c>
      <c r="J131" s="341">
        <v>11</v>
      </c>
      <c r="K131" s="343">
        <v>224408.13297478991</v>
      </c>
      <c r="L131" s="343">
        <v>651157.1854789916</v>
      </c>
      <c r="M131" s="341">
        <v>262.80500000000001</v>
      </c>
      <c r="N131" s="341">
        <v>227.6</v>
      </c>
      <c r="O131" s="341">
        <v>59814.417999999998</v>
      </c>
      <c r="P131" s="343">
        <v>522921.56792319997</v>
      </c>
      <c r="Q131" s="344" t="s">
        <v>564</v>
      </c>
      <c r="R131" s="341">
        <v>385.6</v>
      </c>
      <c r="S131" s="341">
        <v>308.48</v>
      </c>
      <c r="T131" s="343">
        <v>2563110.9632000001</v>
      </c>
      <c r="U131" s="364" t="s">
        <v>558</v>
      </c>
    </row>
    <row r="132" spans="1:21" ht="24">
      <c r="A132" s="362">
        <v>131</v>
      </c>
      <c r="B132" s="385" t="str">
        <f>UPPER((TEXT(Tabla3[[#This Row],[Fecha llegada]],"MMM")))</f>
        <v>SEP</v>
      </c>
      <c r="C132" s="385">
        <f>YEAR(Tabla3[[#This Row],[Fecha llegada]])</f>
        <v>2024</v>
      </c>
      <c r="D132" s="371"/>
      <c r="E132" s="372">
        <v>45563</v>
      </c>
      <c r="F132" s="372">
        <v>45564</v>
      </c>
      <c r="G132" s="373">
        <v>1</v>
      </c>
      <c r="H132" s="373">
        <v>2</v>
      </c>
      <c r="I132" s="374">
        <v>426749.05250420165</v>
      </c>
      <c r="J132" s="373">
        <v>14</v>
      </c>
      <c r="K132" s="374">
        <v>285610.35105882352</v>
      </c>
      <c r="L132" s="374">
        <v>712359.40356302517</v>
      </c>
      <c r="M132" s="373">
        <v>386.33</v>
      </c>
      <c r="N132" s="373">
        <v>257</v>
      </c>
      <c r="O132" s="373">
        <v>99286.81</v>
      </c>
      <c r="P132" s="374">
        <v>868005.00774399994</v>
      </c>
      <c r="Q132" s="375" t="s">
        <v>577</v>
      </c>
      <c r="R132" s="373">
        <v>445</v>
      </c>
      <c r="S132" s="373">
        <v>356</v>
      </c>
      <c r="T132" s="374">
        <v>2957947.04</v>
      </c>
      <c r="U132" s="364" t="s">
        <v>558</v>
      </c>
    </row>
    <row r="133" spans="1:21">
      <c r="A133" s="370">
        <v>132</v>
      </c>
      <c r="B133" s="385" t="str">
        <f>UPPER((TEXT(Tabla3[[#This Row],[Fecha llegada]],"MMM")))</f>
        <v>OCT</v>
      </c>
      <c r="C133" s="385">
        <f>YEAR(Tabla3[[#This Row],[Fecha llegada]])</f>
        <v>2024</v>
      </c>
      <c r="D133" s="371"/>
      <c r="E133" s="372">
        <v>45572</v>
      </c>
      <c r="F133" s="372">
        <v>45573</v>
      </c>
      <c r="G133" s="373">
        <v>2</v>
      </c>
      <c r="H133" s="373">
        <v>2</v>
      </c>
      <c r="I133" s="374">
        <v>853498.1050084033</v>
      </c>
      <c r="J133" s="373">
        <v>14</v>
      </c>
      <c r="K133" s="374">
        <v>571220.70211764704</v>
      </c>
      <c r="L133" s="374">
        <v>1424718.8071260503</v>
      </c>
      <c r="M133" s="373">
        <v>392</v>
      </c>
      <c r="N133" s="373">
        <v>257</v>
      </c>
      <c r="O133" s="373">
        <v>100744</v>
      </c>
      <c r="P133" s="374">
        <v>880744.3456</v>
      </c>
      <c r="Q133" s="375" t="s">
        <v>609</v>
      </c>
      <c r="R133" s="373">
        <v>702</v>
      </c>
      <c r="S133" s="373">
        <v>561.6</v>
      </c>
      <c r="T133" s="374">
        <v>5294203.2</v>
      </c>
      <c r="U133" s="364" t="s">
        <v>598</v>
      </c>
    </row>
    <row r="134" spans="1:21">
      <c r="A134" s="362">
        <v>133</v>
      </c>
      <c r="B134" s="384" t="str">
        <f>UPPER((TEXT(Tabla3[[#This Row],[Fecha llegada]],"MMM")))</f>
        <v>OCT</v>
      </c>
      <c r="C134" s="384">
        <f>YEAR(Tabla3[[#This Row],[Fecha llegada]])</f>
        <v>2024</v>
      </c>
      <c r="D134" s="348"/>
      <c r="E134" s="342">
        <v>45574</v>
      </c>
      <c r="F134" s="342">
        <v>45575</v>
      </c>
      <c r="G134" s="341">
        <v>2</v>
      </c>
      <c r="H134" s="341">
        <v>2</v>
      </c>
      <c r="I134" s="343">
        <v>853498.1050084033</v>
      </c>
      <c r="J134" s="341">
        <v>14</v>
      </c>
      <c r="K134" s="343">
        <v>571220.70211764704</v>
      </c>
      <c r="L134" s="343">
        <v>1424718.8071260503</v>
      </c>
      <c r="M134" s="341">
        <v>389.55</v>
      </c>
      <c r="N134" s="341">
        <v>257</v>
      </c>
      <c r="O134" s="341">
        <v>100114.35</v>
      </c>
      <c r="P134" s="343">
        <v>875239.69344000006</v>
      </c>
      <c r="Q134" s="344" t="s">
        <v>610</v>
      </c>
      <c r="R134" s="341">
        <v>702</v>
      </c>
      <c r="S134" s="341">
        <v>561.6</v>
      </c>
      <c r="T134" s="343">
        <v>5294203.2</v>
      </c>
      <c r="U134" s="364" t="s">
        <v>598</v>
      </c>
    </row>
    <row r="135" spans="1:21">
      <c r="A135" s="370">
        <v>134</v>
      </c>
      <c r="B135" s="384" t="str">
        <f>UPPER((TEXT(Tabla3[[#This Row],[Fecha llegada]],"MMM")))</f>
        <v>OCT</v>
      </c>
      <c r="C135" s="384">
        <f>YEAR(Tabla3[[#This Row],[Fecha llegada]])</f>
        <v>2024</v>
      </c>
      <c r="D135" s="348"/>
      <c r="E135" s="342">
        <v>45576</v>
      </c>
      <c r="F135" s="342">
        <v>45577</v>
      </c>
      <c r="G135" s="341">
        <v>2</v>
      </c>
      <c r="H135" s="341">
        <v>2</v>
      </c>
      <c r="I135" s="343">
        <v>853498.1050084033</v>
      </c>
      <c r="J135" s="341">
        <v>14</v>
      </c>
      <c r="K135" s="343">
        <v>571220.70211764704</v>
      </c>
      <c r="L135" s="343">
        <v>1424718.8071260503</v>
      </c>
      <c r="M135" s="341">
        <v>392</v>
      </c>
      <c r="N135" s="341">
        <v>257</v>
      </c>
      <c r="O135" s="341">
        <v>100744</v>
      </c>
      <c r="P135" s="343">
        <v>880744.3456</v>
      </c>
      <c r="Q135" s="344" t="s">
        <v>611</v>
      </c>
      <c r="R135" s="341">
        <v>702</v>
      </c>
      <c r="S135" s="341">
        <v>561.6</v>
      </c>
      <c r="T135" s="343">
        <v>5294203.2</v>
      </c>
      <c r="U135" s="364" t="s">
        <v>598</v>
      </c>
    </row>
    <row r="136" spans="1:21">
      <c r="A136" s="362">
        <v>135</v>
      </c>
      <c r="B136" s="384" t="str">
        <f>UPPER((TEXT(Tabla3[[#This Row],[Fecha llegada]],"MMM")))</f>
        <v>OCT</v>
      </c>
      <c r="C136" s="384">
        <f>YEAR(Tabla3[[#This Row],[Fecha llegada]])</f>
        <v>2024</v>
      </c>
      <c r="D136" s="348"/>
      <c r="E136" s="342">
        <v>45577</v>
      </c>
      <c r="F136" s="342">
        <v>45578</v>
      </c>
      <c r="G136" s="341">
        <v>1</v>
      </c>
      <c r="H136" s="341">
        <v>2</v>
      </c>
      <c r="I136" s="343">
        <v>426749.05250420165</v>
      </c>
      <c r="J136" s="341">
        <v>8</v>
      </c>
      <c r="K136" s="343">
        <v>163205.91489075631</v>
      </c>
      <c r="L136" s="343">
        <v>589954.96739495802</v>
      </c>
      <c r="M136" s="341">
        <v>184.74</v>
      </c>
      <c r="N136" s="341">
        <v>227.6</v>
      </c>
      <c r="O136" s="341">
        <v>42046.824000000001</v>
      </c>
      <c r="P136" s="343">
        <v>367590.15413759998</v>
      </c>
      <c r="Q136" s="344" t="s">
        <v>605</v>
      </c>
      <c r="R136" s="341">
        <v>385.6</v>
      </c>
      <c r="S136" s="341">
        <v>308.48</v>
      </c>
      <c r="T136" s="343">
        <v>2908040.96</v>
      </c>
      <c r="U136" s="364" t="s">
        <v>598</v>
      </c>
    </row>
    <row r="137" spans="1:21">
      <c r="A137" s="370">
        <v>136</v>
      </c>
      <c r="B137" s="384" t="str">
        <f>UPPER((TEXT(Tabla3[[#This Row],[Fecha llegada]],"MMM")))</f>
        <v>OCT</v>
      </c>
      <c r="C137" s="384">
        <f>YEAR(Tabla3[[#This Row],[Fecha llegada]])</f>
        <v>2024</v>
      </c>
      <c r="D137" s="348"/>
      <c r="E137" s="342">
        <v>45578</v>
      </c>
      <c r="F137" s="342">
        <v>45579</v>
      </c>
      <c r="G137" s="341">
        <v>1</v>
      </c>
      <c r="H137" s="341">
        <v>2</v>
      </c>
      <c r="I137" s="343">
        <v>426749.05250420165</v>
      </c>
      <c r="J137" s="341">
        <v>14</v>
      </c>
      <c r="K137" s="343">
        <v>285610.35105882352</v>
      </c>
      <c r="L137" s="343">
        <v>712359.40356302517</v>
      </c>
      <c r="M137" s="341">
        <v>392</v>
      </c>
      <c r="N137" s="341">
        <v>257</v>
      </c>
      <c r="O137" s="341">
        <v>100744</v>
      </c>
      <c r="P137" s="343">
        <v>880744.3456</v>
      </c>
      <c r="Q137" s="344" t="s">
        <v>612</v>
      </c>
      <c r="R137" s="341">
        <v>445</v>
      </c>
      <c r="S137" s="341">
        <v>356</v>
      </c>
      <c r="T137" s="343">
        <v>3356012</v>
      </c>
      <c r="U137" s="364" t="s">
        <v>598</v>
      </c>
    </row>
    <row r="138" spans="1:21">
      <c r="A138" s="362">
        <v>137</v>
      </c>
      <c r="B138" s="384" t="str">
        <f>UPPER((TEXT(Tabla3[[#This Row],[Fecha llegada]],"MMM")))</f>
        <v>OCT</v>
      </c>
      <c r="C138" s="384">
        <f>YEAR(Tabla3[[#This Row],[Fecha llegada]])</f>
        <v>2024</v>
      </c>
      <c r="D138" s="348"/>
      <c r="E138" s="342">
        <v>45581</v>
      </c>
      <c r="F138" s="342">
        <v>45582</v>
      </c>
      <c r="G138" s="341">
        <v>2</v>
      </c>
      <c r="H138" s="341">
        <v>2</v>
      </c>
      <c r="I138" s="343">
        <v>853498.1050084033</v>
      </c>
      <c r="J138" s="341">
        <v>14</v>
      </c>
      <c r="K138" s="343">
        <v>571220.70211764704</v>
      </c>
      <c r="L138" s="343">
        <v>1424718.8071260503</v>
      </c>
      <c r="M138" s="341">
        <v>386.83</v>
      </c>
      <c r="N138" s="341">
        <v>257</v>
      </c>
      <c r="O138" s="341">
        <v>99415.31</v>
      </c>
      <c r="P138" s="343">
        <v>869128.40614400001</v>
      </c>
      <c r="Q138" s="344" t="s">
        <v>613</v>
      </c>
      <c r="R138" s="341">
        <v>702</v>
      </c>
      <c r="S138" s="341">
        <v>561.6</v>
      </c>
      <c r="T138" s="343">
        <v>5294203.2</v>
      </c>
      <c r="U138" s="364" t="s">
        <v>598</v>
      </c>
    </row>
    <row r="139" spans="1:21">
      <c r="A139" s="370">
        <v>138</v>
      </c>
      <c r="B139" s="384" t="str">
        <f>UPPER((TEXT(Tabla3[[#This Row],[Fecha llegada]],"MMM")))</f>
        <v>OCT</v>
      </c>
      <c r="C139" s="384">
        <f>YEAR(Tabla3[[#This Row],[Fecha llegada]])</f>
        <v>2024</v>
      </c>
      <c r="D139" s="348"/>
      <c r="E139" s="342">
        <v>45583</v>
      </c>
      <c r="F139" s="342">
        <v>45584</v>
      </c>
      <c r="G139" s="341">
        <v>2</v>
      </c>
      <c r="H139" s="341">
        <v>2</v>
      </c>
      <c r="I139" s="343">
        <v>853498.1050084033</v>
      </c>
      <c r="J139" s="341">
        <v>14</v>
      </c>
      <c r="K139" s="343">
        <v>571220.70211764704</v>
      </c>
      <c r="L139" s="343">
        <v>1424718.8071260503</v>
      </c>
      <c r="M139" s="341">
        <v>386.83</v>
      </c>
      <c r="N139" s="341">
        <v>257</v>
      </c>
      <c r="O139" s="341">
        <v>99415.31</v>
      </c>
      <c r="P139" s="343">
        <v>869128.40614400001</v>
      </c>
      <c r="Q139" s="344" t="s">
        <v>614</v>
      </c>
      <c r="R139" s="341">
        <v>702</v>
      </c>
      <c r="S139" s="341">
        <v>561.6</v>
      </c>
      <c r="T139" s="343">
        <v>5294203.2</v>
      </c>
      <c r="U139" s="364" t="s">
        <v>598</v>
      </c>
    </row>
    <row r="140" spans="1:21">
      <c r="A140" s="362">
        <v>139</v>
      </c>
      <c r="B140" s="384" t="str">
        <f>UPPER((TEXT(Tabla3[[#This Row],[Fecha llegada]],"MMM")))</f>
        <v>OCT</v>
      </c>
      <c r="C140" s="384">
        <f>YEAR(Tabla3[[#This Row],[Fecha llegada]])</f>
        <v>2024</v>
      </c>
      <c r="D140" s="348"/>
      <c r="E140" s="342">
        <v>45585</v>
      </c>
      <c r="F140" s="342">
        <v>45586</v>
      </c>
      <c r="G140" s="341">
        <v>2</v>
      </c>
      <c r="H140" s="341">
        <v>2</v>
      </c>
      <c r="I140" s="343">
        <v>853498.1050084033</v>
      </c>
      <c r="J140" s="341">
        <v>14</v>
      </c>
      <c r="K140" s="343">
        <v>571220.70211764704</v>
      </c>
      <c r="L140" s="343">
        <v>1424718.8071260503</v>
      </c>
      <c r="M140" s="341">
        <v>388.33</v>
      </c>
      <c r="N140" s="341">
        <v>257</v>
      </c>
      <c r="O140" s="341">
        <v>99800.81</v>
      </c>
      <c r="P140" s="343">
        <v>872498.60134399997</v>
      </c>
      <c r="Q140" s="344" t="s">
        <v>615</v>
      </c>
      <c r="R140" s="341">
        <v>702</v>
      </c>
      <c r="S140" s="341">
        <v>561.6</v>
      </c>
      <c r="T140" s="343">
        <v>5294203.2</v>
      </c>
      <c r="U140" s="364" t="s">
        <v>598</v>
      </c>
    </row>
    <row r="141" spans="1:21">
      <c r="A141" s="370">
        <v>140</v>
      </c>
      <c r="B141" s="384" t="str">
        <f>UPPER((TEXT(Tabla3[[#This Row],[Fecha llegada]],"MMM")))</f>
        <v>OCT</v>
      </c>
      <c r="C141" s="384">
        <f>YEAR(Tabla3[[#This Row],[Fecha llegada]])</f>
        <v>2024</v>
      </c>
      <c r="D141" s="348"/>
      <c r="E141" s="342">
        <v>45587</v>
      </c>
      <c r="F141" s="342">
        <v>45588</v>
      </c>
      <c r="G141" s="341">
        <v>2</v>
      </c>
      <c r="H141" s="341">
        <v>2</v>
      </c>
      <c r="I141" s="343">
        <v>853498.1050084033</v>
      </c>
      <c r="J141" s="341">
        <v>14</v>
      </c>
      <c r="K141" s="343">
        <v>571220.70211764704</v>
      </c>
      <c r="L141" s="343">
        <v>1424718.8071260503</v>
      </c>
      <c r="M141" s="341">
        <v>388.33</v>
      </c>
      <c r="N141" s="341">
        <v>257</v>
      </c>
      <c r="O141" s="341">
        <v>99800.81</v>
      </c>
      <c r="P141" s="343">
        <v>872498.60134399997</v>
      </c>
      <c r="Q141" s="344" t="s">
        <v>616</v>
      </c>
      <c r="R141" s="341">
        <v>702</v>
      </c>
      <c r="S141" s="341">
        <v>561.6</v>
      </c>
      <c r="T141" s="343">
        <v>5294203.2</v>
      </c>
      <c r="U141" s="364" t="s">
        <v>598</v>
      </c>
    </row>
    <row r="142" spans="1:21">
      <c r="A142" s="362">
        <v>141</v>
      </c>
      <c r="B142" s="384" t="str">
        <f>UPPER((TEXT(Tabla3[[#This Row],[Fecha llegada]],"MMM")))</f>
        <v>OCT</v>
      </c>
      <c r="C142" s="384">
        <f>YEAR(Tabla3[[#This Row],[Fecha llegada]])</f>
        <v>2024</v>
      </c>
      <c r="D142" s="348"/>
      <c r="E142" s="342">
        <v>45588</v>
      </c>
      <c r="F142" s="342">
        <v>45589</v>
      </c>
      <c r="G142" s="341">
        <v>1</v>
      </c>
      <c r="H142" s="341">
        <v>1</v>
      </c>
      <c r="I142" s="343">
        <v>213374.52625210083</v>
      </c>
      <c r="J142" s="341">
        <v>14</v>
      </c>
      <c r="K142" s="343">
        <v>285610.35105882352</v>
      </c>
      <c r="L142" s="343">
        <v>498984.87731092435</v>
      </c>
      <c r="M142" s="341">
        <v>308.42500000000001</v>
      </c>
      <c r="N142" s="341">
        <v>227.6</v>
      </c>
      <c r="O142" s="341">
        <v>70197.53</v>
      </c>
      <c r="P142" s="343">
        <v>613694.88627200003</v>
      </c>
      <c r="Q142" s="344" t="s">
        <v>606</v>
      </c>
      <c r="R142" s="341">
        <v>385.6</v>
      </c>
      <c r="S142" s="341">
        <v>308.48</v>
      </c>
      <c r="T142" s="343">
        <v>2908040.96</v>
      </c>
      <c r="U142" s="364" t="s">
        <v>598</v>
      </c>
    </row>
    <row r="143" spans="1:21">
      <c r="A143" s="370">
        <v>142</v>
      </c>
      <c r="B143" s="384" t="str">
        <f>UPPER((TEXT(Tabla3[[#This Row],[Fecha llegada]],"MMM")))</f>
        <v>OCT</v>
      </c>
      <c r="C143" s="384">
        <f>YEAR(Tabla3[[#This Row],[Fecha llegada]])</f>
        <v>2024</v>
      </c>
      <c r="D143" s="348"/>
      <c r="E143" s="342">
        <v>45589</v>
      </c>
      <c r="F143" s="342">
        <v>45589</v>
      </c>
      <c r="G143" s="341">
        <v>1</v>
      </c>
      <c r="H143" s="341">
        <v>1</v>
      </c>
      <c r="I143" s="343">
        <v>213374.52625210083</v>
      </c>
      <c r="J143" s="341">
        <v>4</v>
      </c>
      <c r="K143" s="343">
        <v>81602.957445378153</v>
      </c>
      <c r="L143" s="343">
        <v>580587.83475630253</v>
      </c>
      <c r="M143" s="341">
        <v>110.77500000000001</v>
      </c>
      <c r="N143" s="341">
        <v>78</v>
      </c>
      <c r="O143" s="341">
        <v>8640.4500000000007</v>
      </c>
      <c r="P143" s="343">
        <v>75538.270080000002</v>
      </c>
      <c r="Q143" s="344" t="s">
        <v>617</v>
      </c>
      <c r="R143" s="341">
        <v>445</v>
      </c>
      <c r="S143" s="341">
        <v>356</v>
      </c>
      <c r="T143" s="343">
        <v>3356012</v>
      </c>
      <c r="U143" s="364" t="s">
        <v>598</v>
      </c>
    </row>
    <row r="144" spans="1:21">
      <c r="A144" s="362">
        <v>143</v>
      </c>
      <c r="B144" s="384" t="str">
        <f>UPPER((TEXT(Tabla3[[#This Row],[Fecha llegada]],"MMM")))</f>
        <v>OCT</v>
      </c>
      <c r="C144" s="384">
        <f>YEAR(Tabla3[[#This Row],[Fecha llegada]])</f>
        <v>2024</v>
      </c>
      <c r="D144" s="348"/>
      <c r="E144" s="342">
        <v>45589</v>
      </c>
      <c r="F144" s="342">
        <v>45590</v>
      </c>
      <c r="G144" s="341"/>
      <c r="H144" s="341"/>
      <c r="I144" s="343"/>
      <c r="J144" s="341">
        <v>7</v>
      </c>
      <c r="K144" s="343">
        <v>142805.17552941176</v>
      </c>
      <c r="L144" s="343"/>
      <c r="M144" s="341">
        <v>192.32499999999999</v>
      </c>
      <c r="N144" s="341">
        <v>257</v>
      </c>
      <c r="O144" s="341">
        <v>49427.524999999994</v>
      </c>
      <c r="P144" s="343">
        <v>432115.19455999997</v>
      </c>
      <c r="Q144" s="344" t="s">
        <v>618</v>
      </c>
      <c r="R144" s="341"/>
      <c r="S144" s="341"/>
      <c r="T144" s="343"/>
      <c r="U144" s="364" t="s">
        <v>598</v>
      </c>
    </row>
    <row r="145" spans="1:21">
      <c r="A145" s="370">
        <v>144</v>
      </c>
      <c r="B145" s="384" t="str">
        <f>UPPER((TEXT(Tabla3[[#This Row],[Fecha llegada]],"MMM")))</f>
        <v>OCT</v>
      </c>
      <c r="C145" s="384">
        <f>YEAR(Tabla3[[#This Row],[Fecha llegada]])</f>
        <v>2024</v>
      </c>
      <c r="D145" s="348"/>
      <c r="E145" s="342">
        <v>45589</v>
      </c>
      <c r="F145" s="342">
        <v>45590</v>
      </c>
      <c r="G145" s="341"/>
      <c r="H145" s="341"/>
      <c r="I145" s="343"/>
      <c r="J145" s="341">
        <v>7</v>
      </c>
      <c r="K145" s="343">
        <v>142805.17552941176</v>
      </c>
      <c r="L145" s="343"/>
      <c r="M145" s="341">
        <v>202.727</v>
      </c>
      <c r="N145" s="341">
        <v>257</v>
      </c>
      <c r="O145" s="341">
        <v>52100.839</v>
      </c>
      <c r="P145" s="343">
        <v>455486.37487359997</v>
      </c>
      <c r="Q145" s="344" t="s">
        <v>617</v>
      </c>
      <c r="R145" s="341"/>
      <c r="S145" s="341"/>
      <c r="T145" s="343"/>
      <c r="U145" s="364" t="s">
        <v>598</v>
      </c>
    </row>
    <row r="146" spans="1:21">
      <c r="A146" s="362">
        <v>145</v>
      </c>
      <c r="B146" s="384" t="str">
        <f>UPPER((TEXT(Tabla3[[#This Row],[Fecha llegada]],"MMM")))</f>
        <v>OCT</v>
      </c>
      <c r="C146" s="384">
        <f>YEAR(Tabla3[[#This Row],[Fecha llegada]])</f>
        <v>2024</v>
      </c>
      <c r="D146" s="348"/>
      <c r="E146" s="342">
        <v>45590</v>
      </c>
      <c r="F146" s="342">
        <v>45591</v>
      </c>
      <c r="G146" s="341">
        <v>1</v>
      </c>
      <c r="H146" s="341">
        <v>2</v>
      </c>
      <c r="I146" s="343">
        <v>426749.05250420165</v>
      </c>
      <c r="J146" s="341">
        <v>8</v>
      </c>
      <c r="K146" s="343">
        <v>163205.91489075631</v>
      </c>
      <c r="L146" s="343">
        <v>589954.96739495802</v>
      </c>
      <c r="M146" s="341">
        <v>121.95699999999999</v>
      </c>
      <c r="N146" s="341">
        <v>169.13</v>
      </c>
      <c r="O146" s="341">
        <v>20626.58741</v>
      </c>
      <c r="P146" s="343">
        <v>180325.87777318401</v>
      </c>
      <c r="Q146" s="344" t="s">
        <v>619</v>
      </c>
      <c r="R146" s="341">
        <v>296.13</v>
      </c>
      <c r="S146" s="341">
        <v>236.904</v>
      </c>
      <c r="T146" s="343">
        <v>2233294.0079999999</v>
      </c>
      <c r="U146" s="364" t="s">
        <v>598</v>
      </c>
    </row>
    <row r="147" spans="1:21">
      <c r="A147" s="370">
        <v>146</v>
      </c>
      <c r="B147" s="384" t="str">
        <f>UPPER((TEXT(Tabla3[[#This Row],[Fecha llegada]],"MMM")))</f>
        <v>OCT</v>
      </c>
      <c r="C147" s="384">
        <f>YEAR(Tabla3[[#This Row],[Fecha llegada]])</f>
        <v>2024</v>
      </c>
      <c r="D147" s="348"/>
      <c r="E147" s="342">
        <v>45591</v>
      </c>
      <c r="F147" s="342">
        <v>45592</v>
      </c>
      <c r="G147" s="341">
        <v>1</v>
      </c>
      <c r="H147" s="341">
        <v>2</v>
      </c>
      <c r="I147" s="343">
        <v>426749.05250420165</v>
      </c>
      <c r="J147" s="341">
        <v>12</v>
      </c>
      <c r="K147" s="343">
        <v>244808.87233613446</v>
      </c>
      <c r="L147" s="343">
        <v>671557.92484033608</v>
      </c>
      <c r="M147" s="341">
        <v>345.12599999999998</v>
      </c>
      <c r="N147" s="341">
        <v>257</v>
      </c>
      <c r="O147" s="341">
        <v>88697.381999999998</v>
      </c>
      <c r="P147" s="343">
        <v>775427.99239679996</v>
      </c>
      <c r="Q147" s="344" t="s">
        <v>607</v>
      </c>
      <c r="R147" s="341">
        <v>445</v>
      </c>
      <c r="S147" s="341">
        <v>356</v>
      </c>
      <c r="T147" s="343">
        <v>3356012</v>
      </c>
      <c r="U147" s="364" t="s">
        <v>598</v>
      </c>
    </row>
    <row r="148" spans="1:21">
      <c r="A148" s="362">
        <v>147</v>
      </c>
      <c r="B148" s="384" t="str">
        <f>UPPER((TEXT(Tabla3[[#This Row],[Fecha llegada]],"MMM")))</f>
        <v>OCT</v>
      </c>
      <c r="C148" s="384">
        <f>YEAR(Tabla3[[#This Row],[Fecha llegada]])</f>
        <v>2024</v>
      </c>
      <c r="D148" s="348"/>
      <c r="E148" s="342">
        <v>45592</v>
      </c>
      <c r="F148" s="342">
        <v>45593</v>
      </c>
      <c r="G148" s="341">
        <v>1</v>
      </c>
      <c r="H148" s="341">
        <v>2</v>
      </c>
      <c r="I148" s="343">
        <v>426749.05250420165</v>
      </c>
      <c r="J148" s="341">
        <v>9</v>
      </c>
      <c r="K148" s="343">
        <v>183606.65425210085</v>
      </c>
      <c r="L148" s="343">
        <v>610355.7067563025</v>
      </c>
      <c r="M148" s="341">
        <v>8.5540000000000003</v>
      </c>
      <c r="N148" s="341">
        <v>225.85</v>
      </c>
      <c r="O148" s="341">
        <v>1931.9209000000001</v>
      </c>
      <c r="P148" s="343">
        <v>16889.625276160001</v>
      </c>
      <c r="Q148" s="344" t="s">
        <v>608</v>
      </c>
      <c r="R148" s="341">
        <v>225.85</v>
      </c>
      <c r="S148" s="341">
        <v>180.68</v>
      </c>
      <c r="T148" s="343">
        <v>1703270.36</v>
      </c>
      <c r="U148" s="364" t="s">
        <v>598</v>
      </c>
    </row>
    <row r="149" spans="1:21" ht="24">
      <c r="A149" s="370">
        <v>148</v>
      </c>
      <c r="B149" s="384" t="str">
        <f>UPPER((TEXT(Tabla3[[#This Row],[Fecha llegada]],"MMM")))</f>
        <v>OCT</v>
      </c>
      <c r="C149" s="384">
        <f>YEAR(Tabla3[[#This Row],[Fecha llegada]])</f>
        <v>2024</v>
      </c>
      <c r="D149" s="348"/>
      <c r="E149" s="342">
        <v>45593</v>
      </c>
      <c r="F149" s="342">
        <v>45594</v>
      </c>
      <c r="G149" s="341">
        <v>1</v>
      </c>
      <c r="H149" s="341">
        <v>2</v>
      </c>
      <c r="I149" s="343">
        <v>426749.05250420165</v>
      </c>
      <c r="J149" s="341">
        <v>15</v>
      </c>
      <c r="K149" s="343">
        <v>306011.09042016807</v>
      </c>
      <c r="L149" s="343">
        <v>732760.14292436978</v>
      </c>
      <c r="M149" s="341">
        <v>388.33</v>
      </c>
      <c r="N149" s="341">
        <v>257</v>
      </c>
      <c r="O149" s="341">
        <v>99800.81</v>
      </c>
      <c r="P149" s="343">
        <v>872498.60134399997</v>
      </c>
      <c r="Q149" s="344" t="s">
        <v>620</v>
      </c>
      <c r="R149" s="341">
        <v>445</v>
      </c>
      <c r="S149" s="341">
        <v>356</v>
      </c>
      <c r="T149" s="343">
        <v>3356012</v>
      </c>
      <c r="U149" s="364" t="s">
        <v>598</v>
      </c>
    </row>
    <row r="150" spans="1:21" ht="24">
      <c r="A150" s="362">
        <v>149</v>
      </c>
      <c r="B150" s="384" t="str">
        <f>UPPER((TEXT(Tabla3[[#This Row],[Fecha llegada]],"MMM")))</f>
        <v>OCT</v>
      </c>
      <c r="C150" s="384">
        <f>YEAR(Tabla3[[#This Row],[Fecha llegada]])</f>
        <v>2024</v>
      </c>
      <c r="D150" s="348"/>
      <c r="E150" s="685">
        <v>45595</v>
      </c>
      <c r="F150" s="685">
        <v>45596</v>
      </c>
      <c r="G150" s="341">
        <v>2</v>
      </c>
      <c r="H150" s="341">
        <v>2</v>
      </c>
      <c r="I150" s="343">
        <v>853498.1050084033</v>
      </c>
      <c r="J150" s="341">
        <v>14</v>
      </c>
      <c r="K150" s="343">
        <v>571220.70211764704</v>
      </c>
      <c r="L150" s="343">
        <v>1424718.8071260503</v>
      </c>
      <c r="M150" s="341">
        <v>386.33</v>
      </c>
      <c r="N150" s="341">
        <v>257</v>
      </c>
      <c r="O150" s="341">
        <v>99286.81</v>
      </c>
      <c r="P150" s="343">
        <v>868005.00774399994</v>
      </c>
      <c r="Q150" s="344" t="s">
        <v>621</v>
      </c>
      <c r="R150" s="341">
        <v>702</v>
      </c>
      <c r="S150" s="341">
        <v>561.6</v>
      </c>
      <c r="T150" s="343">
        <v>5294203.2</v>
      </c>
      <c r="U150" s="364" t="s">
        <v>598</v>
      </c>
    </row>
    <row r="151" spans="1:21">
      <c r="A151" s="370">
        <v>150</v>
      </c>
      <c r="B151" s="384" t="str">
        <f>UPPER((TEXT(Tabla3[[#This Row],[Fecha llegada]],"MMM")))</f>
        <v>NOV</v>
      </c>
      <c r="C151" s="384">
        <f>YEAR(Tabla3[[#This Row],[Fecha llegada]])</f>
        <v>2024</v>
      </c>
      <c r="D151" s="348"/>
      <c r="E151" s="685">
        <v>45597</v>
      </c>
      <c r="F151" s="685">
        <v>45598</v>
      </c>
      <c r="G151" s="441">
        <v>2</v>
      </c>
      <c r="H151" s="441">
        <v>2</v>
      </c>
      <c r="I151" s="686">
        <v>1753763.2747563026</v>
      </c>
      <c r="J151" s="441">
        <v>14</v>
      </c>
      <c r="K151" s="686">
        <v>869954.50980392168</v>
      </c>
      <c r="L151" s="686">
        <v>2623717.784560224</v>
      </c>
      <c r="M151" s="687">
        <v>389.55</v>
      </c>
      <c r="N151" s="441">
        <v>257</v>
      </c>
      <c r="O151" s="688">
        <v>100114.35</v>
      </c>
      <c r="P151" s="686">
        <v>875239.69344000006</v>
      </c>
      <c r="Q151" s="689" t="s">
        <v>648</v>
      </c>
      <c r="R151" s="690">
        <v>702</v>
      </c>
      <c r="S151" s="691">
        <v>561.6</v>
      </c>
      <c r="T151" s="686">
        <v>5294203.2</v>
      </c>
      <c r="U151" s="364" t="s">
        <v>636</v>
      </c>
    </row>
    <row r="152" spans="1:21">
      <c r="A152" s="362">
        <v>151</v>
      </c>
      <c r="B152" s="384" t="str">
        <f>UPPER((TEXT(Tabla3[[#This Row],[Fecha llegada]],"MMM")))</f>
        <v>NOV</v>
      </c>
      <c r="C152" s="384">
        <f>YEAR(Tabla3[[#This Row],[Fecha llegada]])</f>
        <v>2024</v>
      </c>
      <c r="D152" s="348"/>
      <c r="E152" s="685">
        <v>45600</v>
      </c>
      <c r="F152" s="685">
        <v>45601</v>
      </c>
      <c r="G152" s="441">
        <v>2</v>
      </c>
      <c r="H152" s="441">
        <v>2</v>
      </c>
      <c r="I152" s="686">
        <v>1753763.2747563026</v>
      </c>
      <c r="J152" s="441">
        <v>14</v>
      </c>
      <c r="K152" s="686">
        <v>869954.50980392168</v>
      </c>
      <c r="L152" s="686">
        <v>2623717.784560224</v>
      </c>
      <c r="M152" s="687">
        <v>392</v>
      </c>
      <c r="N152" s="441">
        <v>257</v>
      </c>
      <c r="O152" s="688">
        <v>100744</v>
      </c>
      <c r="P152" s="686">
        <v>880744.3456</v>
      </c>
      <c r="Q152" s="689" t="s">
        <v>649</v>
      </c>
      <c r="R152" s="690">
        <v>702</v>
      </c>
      <c r="S152" s="691">
        <v>561.6</v>
      </c>
      <c r="T152" s="686">
        <v>5294203.2</v>
      </c>
      <c r="U152" s="364" t="s">
        <v>636</v>
      </c>
    </row>
    <row r="153" spans="1:21">
      <c r="A153" s="370">
        <v>152</v>
      </c>
      <c r="B153" s="384" t="str">
        <f>UPPER((TEXT(Tabla3[[#This Row],[Fecha llegada]],"MMM")))</f>
        <v>NOV</v>
      </c>
      <c r="C153" s="384">
        <f>YEAR(Tabla3[[#This Row],[Fecha llegada]])</f>
        <v>2024</v>
      </c>
      <c r="D153" s="348"/>
      <c r="E153" s="685">
        <v>45602</v>
      </c>
      <c r="F153" s="685">
        <v>45603</v>
      </c>
      <c r="G153" s="441">
        <v>2</v>
      </c>
      <c r="H153" s="441">
        <v>2</v>
      </c>
      <c r="I153" s="686">
        <v>1753763.2747563026</v>
      </c>
      <c r="J153" s="441">
        <v>14</v>
      </c>
      <c r="K153" s="686">
        <v>869954.50980392168</v>
      </c>
      <c r="L153" s="686">
        <v>2623717.784560224</v>
      </c>
      <c r="M153" s="687">
        <v>391</v>
      </c>
      <c r="N153" s="441">
        <v>257</v>
      </c>
      <c r="O153" s="688">
        <v>100487</v>
      </c>
      <c r="P153" s="686">
        <v>878497.54879999999</v>
      </c>
      <c r="Q153" s="689" t="s">
        <v>650</v>
      </c>
      <c r="R153" s="690">
        <v>702</v>
      </c>
      <c r="S153" s="691">
        <v>561.6</v>
      </c>
      <c r="T153" s="686">
        <v>5294203.2</v>
      </c>
      <c r="U153" s="364" t="s">
        <v>636</v>
      </c>
    </row>
    <row r="154" spans="1:21">
      <c r="A154" s="362">
        <v>153</v>
      </c>
      <c r="B154" s="384" t="str">
        <f>UPPER((TEXT(Tabla3[[#This Row],[Fecha llegada]],"MMM")))</f>
        <v>NOV</v>
      </c>
      <c r="C154" s="384">
        <f>YEAR(Tabla3[[#This Row],[Fecha llegada]])</f>
        <v>2024</v>
      </c>
      <c r="D154" s="348"/>
      <c r="E154" s="685">
        <v>45604</v>
      </c>
      <c r="F154" s="685">
        <v>45605</v>
      </c>
      <c r="G154" s="441">
        <v>2</v>
      </c>
      <c r="H154" s="441">
        <v>2</v>
      </c>
      <c r="I154" s="686">
        <v>1753763.2747563026</v>
      </c>
      <c r="J154" s="441">
        <v>14</v>
      </c>
      <c r="K154" s="686">
        <v>869954.50980392168</v>
      </c>
      <c r="L154" s="686">
        <v>2623717.784560224</v>
      </c>
      <c r="M154" s="687">
        <v>389.55</v>
      </c>
      <c r="N154" s="441">
        <v>257</v>
      </c>
      <c r="O154" s="688">
        <v>100114.35</v>
      </c>
      <c r="P154" s="686">
        <v>875239.69344000006</v>
      </c>
      <c r="Q154" s="689" t="s">
        <v>651</v>
      </c>
      <c r="R154" s="690">
        <v>702</v>
      </c>
      <c r="S154" s="691">
        <v>561.6</v>
      </c>
      <c r="T154" s="686">
        <v>5294203.2</v>
      </c>
      <c r="U154" s="364" t="s">
        <v>636</v>
      </c>
    </row>
    <row r="155" spans="1:21">
      <c r="A155" s="370">
        <v>154</v>
      </c>
      <c r="B155" s="384" t="str">
        <f>UPPER((TEXT(Tabla3[[#This Row],[Fecha llegada]],"MMM")))</f>
        <v>NOV</v>
      </c>
      <c r="C155" s="384">
        <f>YEAR(Tabla3[[#This Row],[Fecha llegada]])</f>
        <v>2024</v>
      </c>
      <c r="D155" s="348"/>
      <c r="E155" s="685">
        <v>45611</v>
      </c>
      <c r="F155" s="685">
        <v>45611</v>
      </c>
      <c r="G155" s="441">
        <v>1</v>
      </c>
      <c r="H155" s="441">
        <v>1</v>
      </c>
      <c r="I155" s="686">
        <v>438440.81868907565</v>
      </c>
      <c r="J155" s="441">
        <v>8</v>
      </c>
      <c r="K155" s="686">
        <v>248558.43137254904</v>
      </c>
      <c r="L155" s="686">
        <v>686999.25006162468</v>
      </c>
      <c r="M155" s="687">
        <v>126</v>
      </c>
      <c r="N155" s="441">
        <v>44.45</v>
      </c>
      <c r="O155" s="688">
        <v>5600.7000000000007</v>
      </c>
      <c r="P155" s="686">
        <v>48963.559680000006</v>
      </c>
      <c r="Q155" s="689" t="s">
        <v>647</v>
      </c>
      <c r="R155" s="690">
        <v>88.9</v>
      </c>
      <c r="S155" s="691">
        <v>71.12</v>
      </c>
      <c r="T155" s="686">
        <v>670448.24</v>
      </c>
      <c r="U155" s="364" t="s">
        <v>636</v>
      </c>
    </row>
    <row r="156" spans="1:21">
      <c r="A156" s="362">
        <v>155</v>
      </c>
      <c r="B156" s="384" t="str">
        <f>UPPER((TEXT(Tabla3[[#This Row],[Fecha llegada]],"MMM")))</f>
        <v>NOV</v>
      </c>
      <c r="C156" s="384">
        <f>YEAR(Tabla3[[#This Row],[Fecha llegada]])</f>
        <v>2024</v>
      </c>
      <c r="D156" s="348"/>
      <c r="E156" s="685">
        <v>45986</v>
      </c>
      <c r="F156" s="685">
        <v>45622</v>
      </c>
      <c r="G156" s="441">
        <v>2</v>
      </c>
      <c r="H156" s="441">
        <v>2</v>
      </c>
      <c r="I156" s="686">
        <v>1753763.2747563026</v>
      </c>
      <c r="J156" s="441">
        <v>14</v>
      </c>
      <c r="K156" s="686">
        <v>869954.50980392168</v>
      </c>
      <c r="L156" s="686">
        <v>2623717.784560224</v>
      </c>
      <c r="M156" s="687">
        <v>388.33</v>
      </c>
      <c r="N156" s="441">
        <v>257</v>
      </c>
      <c r="O156" s="688">
        <v>99800.81</v>
      </c>
      <c r="P156" s="686">
        <v>872498.60134399997</v>
      </c>
      <c r="Q156" s="689" t="s">
        <v>652</v>
      </c>
      <c r="R156" s="690">
        <v>702</v>
      </c>
      <c r="S156" s="691">
        <v>561.6</v>
      </c>
      <c r="T156" s="686">
        <v>5294203.2</v>
      </c>
      <c r="U156" s="364" t="s">
        <v>636</v>
      </c>
    </row>
    <row r="157" spans="1:21">
      <c r="A157" s="370">
        <v>156</v>
      </c>
      <c r="B157" s="384" t="str">
        <f>UPPER((TEXT(Tabla3[[#This Row],[Fecha llegada]],"MMM")))</f>
        <v>NOV</v>
      </c>
      <c r="C157" s="384">
        <f>YEAR(Tabla3[[#This Row],[Fecha llegada]])</f>
        <v>2024</v>
      </c>
      <c r="D157" s="348"/>
      <c r="E157" s="685">
        <v>45623</v>
      </c>
      <c r="F157" s="685">
        <v>45624</v>
      </c>
      <c r="G157" s="441">
        <v>2</v>
      </c>
      <c r="H157" s="441">
        <v>2</v>
      </c>
      <c r="I157" s="686">
        <v>1753763.2747563026</v>
      </c>
      <c r="J157" s="441">
        <v>14</v>
      </c>
      <c r="K157" s="686">
        <v>869954.50980392168</v>
      </c>
      <c r="L157" s="686">
        <v>2623717.784560224</v>
      </c>
      <c r="M157" s="687">
        <v>392</v>
      </c>
      <c r="N157" s="441">
        <v>257</v>
      </c>
      <c r="O157" s="688">
        <v>100744</v>
      </c>
      <c r="P157" s="686">
        <v>880744.3456</v>
      </c>
      <c r="Q157" s="689" t="s">
        <v>653</v>
      </c>
      <c r="R157" s="690">
        <v>702</v>
      </c>
      <c r="S157" s="691">
        <v>561.6</v>
      </c>
      <c r="T157" s="686">
        <v>5294203.2</v>
      </c>
      <c r="U157" s="364" t="s">
        <v>636</v>
      </c>
    </row>
    <row r="158" spans="1:21">
      <c r="A158" s="362">
        <v>157</v>
      </c>
      <c r="B158" s="385" t="str">
        <f>UPPER((TEXT(Tabla3[[#This Row],[Fecha llegada]],"MMM")))</f>
        <v>NOV</v>
      </c>
      <c r="C158" s="385">
        <f>YEAR(Tabla3[[#This Row],[Fecha llegada]])</f>
        <v>2024</v>
      </c>
      <c r="D158" s="371"/>
      <c r="E158" s="685">
        <v>45625</v>
      </c>
      <c r="F158" s="685">
        <v>45626</v>
      </c>
      <c r="G158" s="442">
        <v>2</v>
      </c>
      <c r="H158" s="442">
        <v>2</v>
      </c>
      <c r="I158" s="692">
        <v>1753763.2747563026</v>
      </c>
      <c r="J158" s="442">
        <v>13</v>
      </c>
      <c r="K158" s="692">
        <v>807814.90196078434</v>
      </c>
      <c r="L158" s="692">
        <v>2561578.1767170867</v>
      </c>
      <c r="M158" s="693">
        <v>358.83</v>
      </c>
      <c r="N158" s="442">
        <v>257</v>
      </c>
      <c r="O158" s="694">
        <v>92219.31</v>
      </c>
      <c r="P158" s="692">
        <v>806218.09574399993</v>
      </c>
      <c r="Q158" s="695" t="s">
        <v>654</v>
      </c>
      <c r="R158" s="696">
        <v>702</v>
      </c>
      <c r="S158" s="697">
        <v>561.6</v>
      </c>
      <c r="T158" s="692">
        <v>5294203.2</v>
      </c>
      <c r="U158" s="364" t="s">
        <v>636</v>
      </c>
    </row>
    <row r="159" spans="1:21" ht="36">
      <c r="A159" s="370">
        <v>158</v>
      </c>
      <c r="B159" s="384" t="str">
        <f>UPPER((TEXT(Tabla3[[#This Row],[Fecha llegada]],"MMM")))</f>
        <v>DIC</v>
      </c>
      <c r="C159" s="384">
        <f>YEAR(Tabla3[[#This Row],[Fecha llegada]])</f>
        <v>2024</v>
      </c>
      <c r="D159" s="348"/>
      <c r="E159" s="342">
        <v>45628</v>
      </c>
      <c r="F159" s="342">
        <v>45629</v>
      </c>
      <c r="G159" s="341">
        <v>2</v>
      </c>
      <c r="H159" s="341">
        <v>2</v>
      </c>
      <c r="I159" s="343">
        <v>1303630.6898823529</v>
      </c>
      <c r="J159" s="341">
        <v>14</v>
      </c>
      <c r="K159" s="343">
        <v>720587.17741176474</v>
      </c>
      <c r="L159" s="343">
        <v>2024217.8672941178</v>
      </c>
      <c r="M159" s="341">
        <v>388.33</v>
      </c>
      <c r="N159" s="341">
        <v>257</v>
      </c>
      <c r="O159" s="341">
        <v>99800.81</v>
      </c>
      <c r="P159" s="343">
        <v>872498.60134399997</v>
      </c>
      <c r="Q159" s="344" t="s">
        <v>662</v>
      </c>
      <c r="R159" s="341">
        <v>702</v>
      </c>
      <c r="S159" s="341">
        <v>561.6</v>
      </c>
      <c r="T159" s="343">
        <v>4666334.4000000004</v>
      </c>
      <c r="U159" s="364" t="s">
        <v>659</v>
      </c>
    </row>
    <row r="160" spans="1:21">
      <c r="A160" s="362">
        <v>159</v>
      </c>
      <c r="B160" s="384" t="str">
        <f>UPPER((TEXT(Tabla3[[#This Row],[Fecha llegada]],"MMM")))</f>
        <v>DIC</v>
      </c>
      <c r="C160" s="384">
        <f>YEAR(Tabla3[[#This Row],[Fecha llegada]])</f>
        <v>2024</v>
      </c>
      <c r="D160" s="348"/>
      <c r="E160" s="342">
        <v>45630</v>
      </c>
      <c r="F160" s="342">
        <v>45630</v>
      </c>
      <c r="G160" s="341">
        <v>1</v>
      </c>
      <c r="H160" s="341">
        <v>1</v>
      </c>
      <c r="I160" s="343">
        <v>325907.67247058824</v>
      </c>
      <c r="J160" s="341">
        <v>5</v>
      </c>
      <c r="K160" s="343">
        <v>285253.09422969189</v>
      </c>
      <c r="L160" s="343">
        <v>611160.76670028013</v>
      </c>
      <c r="M160" s="341">
        <v>41.34</v>
      </c>
      <c r="N160" s="341">
        <v>212.6</v>
      </c>
      <c r="O160" s="341">
        <v>8788.884</v>
      </c>
      <c r="P160" s="343">
        <v>76835.939481599999</v>
      </c>
      <c r="Q160" s="344" t="s">
        <v>663</v>
      </c>
      <c r="R160" s="341">
        <v>400.6</v>
      </c>
      <c r="S160" s="341">
        <v>320.48</v>
      </c>
      <c r="T160" s="343">
        <v>2662868.3200000003</v>
      </c>
      <c r="U160" s="364" t="s">
        <v>659</v>
      </c>
    </row>
    <row r="161" spans="1:21" ht="36">
      <c r="A161" s="370">
        <v>160</v>
      </c>
      <c r="B161" s="384" t="str">
        <f>UPPER((TEXT(Tabla3[[#This Row],[Fecha llegada]],"MMM")))</f>
        <v>DIC</v>
      </c>
      <c r="C161" s="384">
        <f>YEAR(Tabla3[[#This Row],[Fecha llegada]])</f>
        <v>2024</v>
      </c>
      <c r="D161" s="348"/>
      <c r="E161" s="342">
        <v>45630</v>
      </c>
      <c r="F161" s="342">
        <v>45631</v>
      </c>
      <c r="G161" s="341">
        <v>1</v>
      </c>
      <c r="H161" s="341">
        <v>2</v>
      </c>
      <c r="I161" s="343">
        <v>651815.34494117647</v>
      </c>
      <c r="J161" s="341">
        <v>14</v>
      </c>
      <c r="K161" s="343">
        <v>360293.58870588237</v>
      </c>
      <c r="L161" s="343">
        <v>1012108.9336470589</v>
      </c>
      <c r="M161" s="341">
        <v>390.5</v>
      </c>
      <c r="N161" s="341">
        <v>257</v>
      </c>
      <c r="O161" s="341">
        <v>100358.5</v>
      </c>
      <c r="P161" s="343">
        <v>877374.15040000004</v>
      </c>
      <c r="Q161" s="344" t="s">
        <v>664</v>
      </c>
      <c r="R161" s="341">
        <v>702</v>
      </c>
      <c r="S161" s="341">
        <v>561.6</v>
      </c>
      <c r="T161" s="343">
        <v>4666334.4000000004</v>
      </c>
      <c r="U161" s="364" t="s">
        <v>659</v>
      </c>
    </row>
    <row r="162" spans="1:21" ht="36">
      <c r="A162" s="362">
        <v>161</v>
      </c>
      <c r="B162" s="384" t="str">
        <f>UPPER((TEXT(Tabla3[[#This Row],[Fecha llegada]],"MMM")))</f>
        <v>DIC</v>
      </c>
      <c r="C162" s="384">
        <f>YEAR(Tabla3[[#This Row],[Fecha llegada]])</f>
        <v>2024</v>
      </c>
      <c r="D162" s="348"/>
      <c r="E162" s="342">
        <v>45632</v>
      </c>
      <c r="F162" s="342">
        <v>45633</v>
      </c>
      <c r="G162" s="341">
        <v>2</v>
      </c>
      <c r="H162" s="341">
        <v>2</v>
      </c>
      <c r="I162" s="343">
        <v>1303630.6898823529</v>
      </c>
      <c r="J162" s="341">
        <v>14</v>
      </c>
      <c r="K162" s="343">
        <v>720587.17741176474</v>
      </c>
      <c r="L162" s="343">
        <v>2024217.8672941178</v>
      </c>
      <c r="M162" s="341">
        <v>388.33</v>
      </c>
      <c r="N162" s="341">
        <v>257</v>
      </c>
      <c r="O162" s="341">
        <v>99800.81</v>
      </c>
      <c r="P162" s="343">
        <v>872498.60134399997</v>
      </c>
      <c r="Q162" s="344" t="s">
        <v>665</v>
      </c>
      <c r="R162" s="341">
        <v>702</v>
      </c>
      <c r="S162" s="341">
        <v>561.6</v>
      </c>
      <c r="T162" s="343">
        <v>4666334.4000000004</v>
      </c>
      <c r="U162" s="364" t="s">
        <v>659</v>
      </c>
    </row>
    <row r="163" spans="1:21" ht="36">
      <c r="A163" s="370">
        <v>162</v>
      </c>
      <c r="B163" s="384" t="str">
        <f>UPPER((TEXT(Tabla3[[#This Row],[Fecha llegada]],"MMM")))</f>
        <v>DIC</v>
      </c>
      <c r="C163" s="384">
        <f>YEAR(Tabla3[[#This Row],[Fecha llegada]])</f>
        <v>2024</v>
      </c>
      <c r="D163" s="348"/>
      <c r="E163" s="342">
        <v>45634</v>
      </c>
      <c r="F163" s="342">
        <v>45635</v>
      </c>
      <c r="G163" s="341">
        <v>2</v>
      </c>
      <c r="H163" s="341">
        <v>2</v>
      </c>
      <c r="I163" s="343">
        <v>1303630.6898823529</v>
      </c>
      <c r="J163" s="341">
        <v>14</v>
      </c>
      <c r="K163" s="343">
        <v>720587.17741176474</v>
      </c>
      <c r="L163" s="343">
        <v>2024217.8672941178</v>
      </c>
      <c r="M163" s="341">
        <v>389.55</v>
      </c>
      <c r="N163" s="341">
        <v>257</v>
      </c>
      <c r="O163" s="341">
        <v>100114.35</v>
      </c>
      <c r="P163" s="343">
        <v>875239.69344000006</v>
      </c>
      <c r="Q163" s="344" t="s">
        <v>666</v>
      </c>
      <c r="R163" s="341">
        <v>702</v>
      </c>
      <c r="S163" s="341">
        <v>561.6</v>
      </c>
      <c r="T163" s="343">
        <v>4666334.4000000004</v>
      </c>
      <c r="U163" s="364" t="s">
        <v>659</v>
      </c>
    </row>
    <row r="164" spans="1:21" ht="36">
      <c r="A164" s="362">
        <v>163</v>
      </c>
      <c r="B164" s="384" t="str">
        <f>UPPER((TEXT(Tabla3[[#This Row],[Fecha llegada]],"MMM")))</f>
        <v>DIC</v>
      </c>
      <c r="C164" s="384">
        <f>YEAR(Tabla3[[#This Row],[Fecha llegada]])</f>
        <v>2024</v>
      </c>
      <c r="D164" s="348"/>
      <c r="E164" s="342">
        <v>45636</v>
      </c>
      <c r="F164" s="342">
        <v>45637</v>
      </c>
      <c r="G164" s="341">
        <v>2</v>
      </c>
      <c r="H164" s="341">
        <v>2</v>
      </c>
      <c r="I164" s="343">
        <v>1303630.6898823529</v>
      </c>
      <c r="J164" s="341">
        <v>14</v>
      </c>
      <c r="K164" s="343">
        <v>720587.17741176474</v>
      </c>
      <c r="L164" s="343">
        <v>2024217.8672941178</v>
      </c>
      <c r="M164" s="341">
        <v>388.05</v>
      </c>
      <c r="N164" s="341">
        <v>257</v>
      </c>
      <c r="O164" s="341">
        <v>99728.85</v>
      </c>
      <c r="P164" s="343">
        <v>871869.4982400001</v>
      </c>
      <c r="Q164" s="344" t="s">
        <v>667</v>
      </c>
      <c r="R164" s="341">
        <v>702</v>
      </c>
      <c r="S164" s="341">
        <v>561.6</v>
      </c>
      <c r="T164" s="343">
        <v>4666334.4000000004</v>
      </c>
      <c r="U164" s="364" t="s">
        <v>659</v>
      </c>
    </row>
    <row r="165" spans="1:21" ht="36">
      <c r="A165" s="370">
        <v>164</v>
      </c>
      <c r="B165" s="384" t="str">
        <f>UPPER((TEXT(Tabla3[[#This Row],[Fecha llegada]],"MMM")))</f>
        <v>DIC</v>
      </c>
      <c r="C165" s="384">
        <f>YEAR(Tabla3[[#This Row],[Fecha llegada]])</f>
        <v>2024</v>
      </c>
      <c r="D165" s="348"/>
      <c r="E165" s="342">
        <v>45638</v>
      </c>
      <c r="F165" s="342">
        <v>45639</v>
      </c>
      <c r="G165" s="341">
        <v>2</v>
      </c>
      <c r="H165" s="341">
        <v>2</v>
      </c>
      <c r="I165" s="343">
        <v>1303630.6898823529</v>
      </c>
      <c r="J165" s="341">
        <v>14</v>
      </c>
      <c r="K165" s="343">
        <v>720587.17741176474</v>
      </c>
      <c r="L165" s="343">
        <v>2024217.8672941178</v>
      </c>
      <c r="M165" s="341">
        <v>388.33</v>
      </c>
      <c r="N165" s="341">
        <v>257</v>
      </c>
      <c r="O165" s="341">
        <v>99800.81</v>
      </c>
      <c r="P165" s="343">
        <v>872498.60134399997</v>
      </c>
      <c r="Q165" s="344" t="s">
        <v>668</v>
      </c>
      <c r="R165" s="341">
        <v>702</v>
      </c>
      <c r="S165" s="341">
        <v>561.6</v>
      </c>
      <c r="T165" s="343">
        <v>4666334.4000000004</v>
      </c>
      <c r="U165" s="364" t="s">
        <v>659</v>
      </c>
    </row>
    <row r="166" spans="1:21" ht="36">
      <c r="A166" s="362">
        <v>165</v>
      </c>
      <c r="B166" s="384" t="str">
        <f>UPPER((TEXT(Tabla3[[#This Row],[Fecha llegada]],"MMM")))</f>
        <v>DIC</v>
      </c>
      <c r="C166" s="384">
        <f>YEAR(Tabla3[[#This Row],[Fecha llegada]])</f>
        <v>2024</v>
      </c>
      <c r="D166" s="348"/>
      <c r="E166" s="342">
        <v>45640</v>
      </c>
      <c r="F166" s="342">
        <v>45641</v>
      </c>
      <c r="G166" s="341">
        <v>2</v>
      </c>
      <c r="H166" s="341">
        <v>2</v>
      </c>
      <c r="I166" s="343">
        <v>1303630.6898823529</v>
      </c>
      <c r="J166" s="341">
        <v>14</v>
      </c>
      <c r="K166" s="343">
        <v>720587.17741176474</v>
      </c>
      <c r="L166" s="343">
        <v>2024217.8672941178</v>
      </c>
      <c r="M166" s="341">
        <v>389.55</v>
      </c>
      <c r="N166" s="341">
        <v>257</v>
      </c>
      <c r="O166" s="341">
        <v>100114.35</v>
      </c>
      <c r="P166" s="343">
        <v>875239.69344000006</v>
      </c>
      <c r="Q166" s="344" t="s">
        <v>669</v>
      </c>
      <c r="R166" s="341">
        <v>702</v>
      </c>
      <c r="S166" s="341">
        <v>561.6</v>
      </c>
      <c r="T166" s="343">
        <v>4666334.4000000004</v>
      </c>
      <c r="U166" s="364" t="s">
        <v>659</v>
      </c>
    </row>
    <row r="167" spans="1:21" ht="36">
      <c r="A167" s="370">
        <v>166</v>
      </c>
      <c r="B167" s="385" t="str">
        <f>UPPER((TEXT(Tabla3[[#This Row],[Fecha llegada]],"MMM")))</f>
        <v>DIC</v>
      </c>
      <c r="C167" s="385">
        <f>YEAR(Tabla3[[#This Row],[Fecha llegada]])</f>
        <v>2024</v>
      </c>
      <c r="D167" s="371"/>
      <c r="E167" s="372">
        <v>45643</v>
      </c>
      <c r="F167" s="372">
        <v>45644</v>
      </c>
      <c r="G167" s="373">
        <v>2</v>
      </c>
      <c r="H167" s="373">
        <v>2</v>
      </c>
      <c r="I167" s="374">
        <v>1303630.6898823529</v>
      </c>
      <c r="J167" s="373">
        <v>14</v>
      </c>
      <c r="K167" s="374">
        <v>720587.17741176474</v>
      </c>
      <c r="L167" s="374">
        <v>2024217.8672941178</v>
      </c>
      <c r="M167" s="373">
        <v>389.55</v>
      </c>
      <c r="N167" s="373">
        <v>257</v>
      </c>
      <c r="O167" s="373">
        <v>100114.35</v>
      </c>
      <c r="P167" s="374">
        <v>875239.69344000006</v>
      </c>
      <c r="Q167" s="375" t="s">
        <v>670</v>
      </c>
      <c r="R167" s="373">
        <v>702</v>
      </c>
      <c r="S167" s="373">
        <v>561.6</v>
      </c>
      <c r="T167" s="374">
        <v>4666334.4000000004</v>
      </c>
      <c r="U167" s="376" t="s">
        <v>659</v>
      </c>
    </row>
    <row r="168" spans="1:21" ht="36">
      <c r="A168" s="362">
        <v>167</v>
      </c>
      <c r="B168" s="384" t="str">
        <f>UPPER((TEXT(Tabla3[[#This Row],[Fecha llegada]],"MMM")))</f>
        <v>ENE</v>
      </c>
      <c r="C168" s="384">
        <f>YEAR(Tabla3[[#This Row],[Fecha llegada]])</f>
        <v>2025</v>
      </c>
      <c r="D168" s="348"/>
      <c r="E168" s="342">
        <v>45660</v>
      </c>
      <c r="F168" s="342">
        <v>45661</v>
      </c>
      <c r="G168" s="341">
        <v>2</v>
      </c>
      <c r="H168" s="341">
        <v>2</v>
      </c>
      <c r="I168" s="343">
        <v>1844958.9915966387</v>
      </c>
      <c r="J168" s="341">
        <v>13</v>
      </c>
      <c r="K168" s="343">
        <v>849821.27394957992</v>
      </c>
      <c r="L168" s="343">
        <v>2694780.2655462185</v>
      </c>
      <c r="M168" s="341">
        <v>358.83</v>
      </c>
      <c r="N168" s="341">
        <v>257</v>
      </c>
      <c r="O168" s="341">
        <v>92219.31</v>
      </c>
      <c r="P168" s="343">
        <v>848141.43672268803</v>
      </c>
      <c r="Q168" s="344" t="s">
        <v>685</v>
      </c>
      <c r="R168" s="341">
        <v>702</v>
      </c>
      <c r="S168" s="341">
        <v>561.6</v>
      </c>
      <c r="T168" s="343">
        <v>5669913.6000000006</v>
      </c>
      <c r="U168" s="376" t="s">
        <v>682</v>
      </c>
    </row>
    <row r="169" spans="1:21" ht="36">
      <c r="A169" s="370">
        <v>168</v>
      </c>
      <c r="B169" s="384" t="str">
        <f>UPPER((TEXT(Tabla3[[#This Row],[Fecha llegada]],"MMM")))</f>
        <v>ENE</v>
      </c>
      <c r="C169" s="384">
        <f>YEAR(Tabla3[[#This Row],[Fecha llegada]])</f>
        <v>2025</v>
      </c>
      <c r="D169" s="348"/>
      <c r="E169" s="342">
        <v>45674</v>
      </c>
      <c r="F169" s="342">
        <v>45675</v>
      </c>
      <c r="G169" s="341">
        <v>2</v>
      </c>
      <c r="H169" s="341">
        <v>2</v>
      </c>
      <c r="I169" s="343">
        <v>1844958.9915966387</v>
      </c>
      <c r="J169" s="341">
        <v>14</v>
      </c>
      <c r="K169" s="343">
        <v>915192.14117647067</v>
      </c>
      <c r="L169" s="343">
        <v>2760151.1327731092</v>
      </c>
      <c r="M169" s="341">
        <v>387.33</v>
      </c>
      <c r="N169" s="341">
        <v>257</v>
      </c>
      <c r="O169" s="341">
        <v>99543.81</v>
      </c>
      <c r="P169" s="343">
        <v>915504.89838028804</v>
      </c>
      <c r="Q169" s="344" t="s">
        <v>686</v>
      </c>
      <c r="R169" s="341">
        <v>702</v>
      </c>
      <c r="S169" s="341">
        <v>561.6</v>
      </c>
      <c r="T169" s="343">
        <v>5669913.6000000006</v>
      </c>
      <c r="U169" s="376" t="s">
        <v>682</v>
      </c>
    </row>
    <row r="170" spans="1:21" ht="36">
      <c r="A170" s="362">
        <v>169</v>
      </c>
      <c r="B170" s="384" t="str">
        <f>UPPER((TEXT(Tabla3[[#This Row],[Fecha llegada]],"MMM")))</f>
        <v>ENE</v>
      </c>
      <c r="C170" s="384">
        <f>YEAR(Tabla3[[#This Row],[Fecha llegada]])</f>
        <v>2025</v>
      </c>
      <c r="D170" s="348"/>
      <c r="E170" s="342">
        <v>45677</v>
      </c>
      <c r="F170" s="342">
        <v>45678</v>
      </c>
      <c r="G170" s="341">
        <v>2</v>
      </c>
      <c r="H170" s="341">
        <v>2</v>
      </c>
      <c r="I170" s="343">
        <v>1844958.9915966387</v>
      </c>
      <c r="J170" s="341">
        <v>14</v>
      </c>
      <c r="K170" s="343">
        <v>915192.14117647067</v>
      </c>
      <c r="L170" s="343">
        <v>2760151.1327731092</v>
      </c>
      <c r="M170" s="341">
        <v>392</v>
      </c>
      <c r="N170" s="341">
        <v>257</v>
      </c>
      <c r="O170" s="341">
        <v>100744</v>
      </c>
      <c r="P170" s="343">
        <v>926543.05157120002</v>
      </c>
      <c r="Q170" s="344" t="s">
        <v>687</v>
      </c>
      <c r="R170" s="341">
        <v>702</v>
      </c>
      <c r="S170" s="341">
        <v>561.6</v>
      </c>
      <c r="T170" s="343">
        <v>5669913.6000000006</v>
      </c>
      <c r="U170" s="376" t="s">
        <v>682</v>
      </c>
    </row>
    <row r="171" spans="1:21" ht="36">
      <c r="A171" s="370">
        <v>170</v>
      </c>
      <c r="B171" s="384" t="str">
        <f>UPPER((TEXT(Tabla3[[#This Row],[Fecha llegada]],"MMM")))</f>
        <v>ENE</v>
      </c>
      <c r="C171" s="384">
        <f>YEAR(Tabla3[[#This Row],[Fecha llegada]])</f>
        <v>2025</v>
      </c>
      <c r="D171" s="348"/>
      <c r="E171" s="342">
        <v>45679</v>
      </c>
      <c r="F171" s="342">
        <v>45680</v>
      </c>
      <c r="G171" s="341">
        <v>2</v>
      </c>
      <c r="H171" s="341">
        <v>2</v>
      </c>
      <c r="I171" s="343">
        <v>1844958.9915966387</v>
      </c>
      <c r="J171" s="341">
        <v>14</v>
      </c>
      <c r="K171" s="343">
        <v>915192.14117647067</v>
      </c>
      <c r="L171" s="343">
        <v>2760151.1327731092</v>
      </c>
      <c r="M171" s="341">
        <v>383.15</v>
      </c>
      <c r="N171" s="341">
        <v>257</v>
      </c>
      <c r="O171" s="341">
        <v>98469.549999999988</v>
      </c>
      <c r="P171" s="343">
        <v>905624.92400383996</v>
      </c>
      <c r="Q171" s="344" t="s">
        <v>688</v>
      </c>
      <c r="R171" s="341">
        <v>702</v>
      </c>
      <c r="S171" s="341">
        <v>561.6</v>
      </c>
      <c r="T171" s="343">
        <v>5669913.6000000006</v>
      </c>
      <c r="U171" s="376" t="s">
        <v>682</v>
      </c>
    </row>
    <row r="172" spans="1:21" ht="36">
      <c r="A172" s="362">
        <v>171</v>
      </c>
      <c r="B172" s="384" t="str">
        <f>UPPER((TEXT(Tabla3[[#This Row],[Fecha llegada]],"MMM")))</f>
        <v>ENE</v>
      </c>
      <c r="C172" s="384">
        <f>YEAR(Tabla3[[#This Row],[Fecha llegada]])</f>
        <v>2025</v>
      </c>
      <c r="D172" s="348"/>
      <c r="E172" s="342">
        <v>45681</v>
      </c>
      <c r="F172" s="342">
        <v>45682</v>
      </c>
      <c r="G172" s="341">
        <v>2</v>
      </c>
      <c r="H172" s="341">
        <v>2</v>
      </c>
      <c r="I172" s="343">
        <v>1844958.9915966387</v>
      </c>
      <c r="J172" s="341">
        <v>14</v>
      </c>
      <c r="K172" s="343">
        <v>915192.14117647067</v>
      </c>
      <c r="L172" s="343">
        <v>2760151.1327731092</v>
      </c>
      <c r="M172" s="341">
        <v>392</v>
      </c>
      <c r="N172" s="341">
        <v>257</v>
      </c>
      <c r="O172" s="341">
        <v>100744</v>
      </c>
      <c r="P172" s="343">
        <v>926543.05157120002</v>
      </c>
      <c r="Q172" s="344" t="s">
        <v>689</v>
      </c>
      <c r="R172" s="341">
        <v>702</v>
      </c>
      <c r="S172" s="341">
        <v>561.6</v>
      </c>
      <c r="T172" s="343">
        <v>5669913.6000000006</v>
      </c>
      <c r="U172" s="376" t="s">
        <v>682</v>
      </c>
    </row>
    <row r="173" spans="1:21" ht="36">
      <c r="A173" s="370">
        <v>172</v>
      </c>
      <c r="B173" s="384" t="str">
        <f>UPPER((TEXT(Tabla3[[#This Row],[Fecha llegada]],"MMM")))</f>
        <v>ENE</v>
      </c>
      <c r="C173" s="384">
        <f>YEAR(Tabla3[[#This Row],[Fecha llegada]])</f>
        <v>2025</v>
      </c>
      <c r="D173" s="348"/>
      <c r="E173" s="342">
        <v>45684</v>
      </c>
      <c r="F173" s="342">
        <v>45685</v>
      </c>
      <c r="G173" s="341">
        <v>2</v>
      </c>
      <c r="H173" s="341">
        <v>2</v>
      </c>
      <c r="I173" s="343">
        <v>1844958.9915966387</v>
      </c>
      <c r="J173" s="341">
        <v>14</v>
      </c>
      <c r="K173" s="343">
        <v>915192.14117647067</v>
      </c>
      <c r="L173" s="343">
        <v>2760151.1327731092</v>
      </c>
      <c r="M173" s="341">
        <v>388.33</v>
      </c>
      <c r="N173" s="341">
        <v>257</v>
      </c>
      <c r="O173" s="341">
        <v>99800.81</v>
      </c>
      <c r="P173" s="343">
        <v>917868.52861388796</v>
      </c>
      <c r="Q173" s="344" t="s">
        <v>690</v>
      </c>
      <c r="R173" s="341">
        <v>702</v>
      </c>
      <c r="S173" s="341">
        <v>561.6</v>
      </c>
      <c r="T173" s="343">
        <v>5669913.6000000006</v>
      </c>
      <c r="U173" s="376" t="s">
        <v>682</v>
      </c>
    </row>
    <row r="174" spans="1:21" ht="36">
      <c r="A174" s="362">
        <v>173</v>
      </c>
      <c r="B174" s="385" t="str">
        <f>UPPER((TEXT(Tabla3[[#This Row],[Fecha llegada]],"MMM")))</f>
        <v>ENE</v>
      </c>
      <c r="C174" s="385">
        <f>YEAR(Tabla3[[#This Row],[Fecha llegada]])</f>
        <v>2025</v>
      </c>
      <c r="D174" s="371"/>
      <c r="E174" s="372">
        <v>45686</v>
      </c>
      <c r="F174" s="372">
        <v>45687</v>
      </c>
      <c r="G174" s="373">
        <v>2</v>
      </c>
      <c r="H174" s="373">
        <v>2</v>
      </c>
      <c r="I174" s="374">
        <v>1844958.9915966387</v>
      </c>
      <c r="J174" s="373">
        <v>14</v>
      </c>
      <c r="K174" s="374">
        <v>915192.14117647067</v>
      </c>
      <c r="L174" s="374">
        <v>2760151.1327731092</v>
      </c>
      <c r="M174" s="373">
        <v>392</v>
      </c>
      <c r="N174" s="373">
        <v>257</v>
      </c>
      <c r="O174" s="373">
        <v>100744</v>
      </c>
      <c r="P174" s="374">
        <v>926543.05157120002</v>
      </c>
      <c r="Q174" s="375" t="s">
        <v>691</v>
      </c>
      <c r="R174" s="373">
        <v>702</v>
      </c>
      <c r="S174" s="373">
        <v>561.6</v>
      </c>
      <c r="T174" s="374">
        <v>5669913.6000000006</v>
      </c>
      <c r="U174" s="376" t="s">
        <v>682</v>
      </c>
    </row>
    <row r="175" spans="1:21" ht="36">
      <c r="A175" s="370">
        <v>174</v>
      </c>
      <c r="B175" s="384" t="str">
        <f>UPPER((TEXT(Tabla3[[#This Row],[Fecha llegada]],"MMM")))</f>
        <v>FEB</v>
      </c>
      <c r="C175" s="384">
        <f>YEAR(Tabla3[[#This Row],[Fecha llegada]])</f>
        <v>2025</v>
      </c>
      <c r="D175" s="348"/>
      <c r="E175" s="342">
        <v>45688</v>
      </c>
      <c r="F175" s="342">
        <v>45689</v>
      </c>
      <c r="G175" s="341">
        <v>2</v>
      </c>
      <c r="H175" s="341">
        <v>2</v>
      </c>
      <c r="I175" s="343">
        <v>1371419.4957983193</v>
      </c>
      <c r="J175" s="341">
        <v>14</v>
      </c>
      <c r="K175" s="343">
        <v>758057.70980392152</v>
      </c>
      <c r="L175" s="343">
        <v>2129477.2056022407</v>
      </c>
      <c r="M175" s="341">
        <v>388.55</v>
      </c>
      <c r="N175" s="341">
        <v>257</v>
      </c>
      <c r="O175" s="341">
        <v>99857.35</v>
      </c>
      <c r="P175" s="343">
        <v>918388.52726528002</v>
      </c>
      <c r="Q175" s="344" t="s">
        <v>730</v>
      </c>
      <c r="R175" s="341">
        <v>702</v>
      </c>
      <c r="S175" s="341">
        <v>561.6</v>
      </c>
      <c r="T175" s="343">
        <v>5669913.6000000006</v>
      </c>
      <c r="U175" s="376" t="s">
        <v>726</v>
      </c>
    </row>
    <row r="176" spans="1:21" ht="36">
      <c r="A176" s="362">
        <v>175</v>
      </c>
      <c r="B176" s="384" t="str">
        <f>UPPER((TEXT(Tabla3[[#This Row],[Fecha llegada]],"MMM")))</f>
        <v>FEB</v>
      </c>
      <c r="C176" s="384">
        <f>YEAR(Tabla3[[#This Row],[Fecha llegada]])</f>
        <v>2025</v>
      </c>
      <c r="D176" s="348"/>
      <c r="E176" s="342">
        <v>45692</v>
      </c>
      <c r="F176" s="342">
        <v>45693</v>
      </c>
      <c r="G176" s="341">
        <v>2</v>
      </c>
      <c r="H176" s="341">
        <v>2</v>
      </c>
      <c r="I176" s="343">
        <v>1371419.4957983193</v>
      </c>
      <c r="J176" s="341">
        <v>14</v>
      </c>
      <c r="K176" s="343">
        <v>758057.70980392152</v>
      </c>
      <c r="L176" s="343">
        <v>2129477.2056022407</v>
      </c>
      <c r="M176" s="341">
        <v>388.33</v>
      </c>
      <c r="N176" s="341">
        <v>257</v>
      </c>
      <c r="O176" s="341">
        <v>99800.81</v>
      </c>
      <c r="P176" s="343">
        <v>917868.52861388796</v>
      </c>
      <c r="Q176" s="344" t="s">
        <v>731</v>
      </c>
      <c r="R176" s="341">
        <v>702</v>
      </c>
      <c r="S176" s="341">
        <v>561.6</v>
      </c>
      <c r="T176" s="343">
        <v>5669913.6000000006</v>
      </c>
      <c r="U176" s="376" t="s">
        <v>726</v>
      </c>
    </row>
    <row r="177" spans="1:21" ht="36">
      <c r="A177" s="370">
        <v>176</v>
      </c>
      <c r="B177" s="384" t="str">
        <f>UPPER((TEXT(Tabla3[[#This Row],[Fecha llegada]],"MMM")))</f>
        <v>FEB</v>
      </c>
      <c r="C177" s="384">
        <f>YEAR(Tabla3[[#This Row],[Fecha llegada]])</f>
        <v>2025</v>
      </c>
      <c r="D177" s="348"/>
      <c r="E177" s="342">
        <v>45694</v>
      </c>
      <c r="F177" s="342">
        <v>45695</v>
      </c>
      <c r="G177" s="341">
        <v>2</v>
      </c>
      <c r="H177" s="341">
        <v>2</v>
      </c>
      <c r="I177" s="343">
        <v>1371419.4957983193</v>
      </c>
      <c r="J177" s="341">
        <v>14</v>
      </c>
      <c r="K177" s="343">
        <v>758057.70980392152</v>
      </c>
      <c r="L177" s="343">
        <v>2129477.2056022407</v>
      </c>
      <c r="M177" s="341">
        <v>388.33</v>
      </c>
      <c r="N177" s="341">
        <v>257</v>
      </c>
      <c r="O177" s="341">
        <v>99800.81</v>
      </c>
      <c r="P177" s="343">
        <v>917868.52861388796</v>
      </c>
      <c r="Q177" s="344" t="s">
        <v>732</v>
      </c>
      <c r="R177" s="341">
        <v>702</v>
      </c>
      <c r="S177" s="341">
        <v>561.6</v>
      </c>
      <c r="T177" s="343">
        <v>5669913.6000000006</v>
      </c>
      <c r="U177" s="376" t="s">
        <v>726</v>
      </c>
    </row>
    <row r="178" spans="1:21" ht="36">
      <c r="A178" s="362">
        <v>177</v>
      </c>
      <c r="B178" s="384" t="str">
        <f>UPPER((TEXT(Tabla3[[#This Row],[Fecha llegada]],"MMM")))</f>
        <v>FEB</v>
      </c>
      <c r="C178" s="384">
        <f>YEAR(Tabla3[[#This Row],[Fecha llegada]])</f>
        <v>2025</v>
      </c>
      <c r="D178" s="348"/>
      <c r="E178" s="342">
        <v>45696</v>
      </c>
      <c r="F178" s="342">
        <v>45697</v>
      </c>
      <c r="G178" s="341">
        <v>2</v>
      </c>
      <c r="H178" s="341">
        <v>2</v>
      </c>
      <c r="I178" s="343">
        <v>1371419.4957983193</v>
      </c>
      <c r="J178" s="341">
        <v>14</v>
      </c>
      <c r="K178" s="343">
        <v>758057.70980392152</v>
      </c>
      <c r="L178" s="343">
        <v>2129477.2056022407</v>
      </c>
      <c r="M178" s="341">
        <v>388.33</v>
      </c>
      <c r="N178" s="341">
        <v>257</v>
      </c>
      <c r="O178" s="341">
        <v>99800.81</v>
      </c>
      <c r="P178" s="343">
        <v>917868.52861388796</v>
      </c>
      <c r="Q178" s="344" t="s">
        <v>733</v>
      </c>
      <c r="R178" s="341">
        <v>702</v>
      </c>
      <c r="S178" s="341">
        <v>561.6</v>
      </c>
      <c r="T178" s="343">
        <v>5669913.6000000006</v>
      </c>
      <c r="U178" s="376" t="s">
        <v>726</v>
      </c>
    </row>
    <row r="179" spans="1:21" ht="36">
      <c r="A179" s="370">
        <v>178</v>
      </c>
      <c r="B179" s="384" t="str">
        <f>UPPER((TEXT(Tabla3[[#This Row],[Fecha llegada]],"MMM")))</f>
        <v>FEB</v>
      </c>
      <c r="C179" s="384">
        <f>YEAR(Tabla3[[#This Row],[Fecha llegada]])</f>
        <v>2025</v>
      </c>
      <c r="D179" s="348"/>
      <c r="E179" s="342">
        <v>45699</v>
      </c>
      <c r="F179" s="342">
        <v>45700</v>
      </c>
      <c r="G179" s="341">
        <v>2</v>
      </c>
      <c r="H179" s="341">
        <v>2</v>
      </c>
      <c r="I179" s="343">
        <v>1371419.4957983193</v>
      </c>
      <c r="J179" s="341">
        <v>14</v>
      </c>
      <c r="K179" s="343">
        <v>758057.70980392152</v>
      </c>
      <c r="L179" s="343">
        <v>2129477.2056022407</v>
      </c>
      <c r="M179" s="341">
        <v>390.5</v>
      </c>
      <c r="N179" s="341">
        <v>257</v>
      </c>
      <c r="O179" s="341">
        <v>100358.5</v>
      </c>
      <c r="P179" s="343">
        <v>922997.60622079996</v>
      </c>
      <c r="Q179" s="344" t="s">
        <v>734</v>
      </c>
      <c r="R179" s="341">
        <v>702</v>
      </c>
      <c r="S179" s="341">
        <v>561.6</v>
      </c>
      <c r="T179" s="343">
        <v>5669913.6000000006</v>
      </c>
      <c r="U179" s="376" t="s">
        <v>726</v>
      </c>
    </row>
    <row r="180" spans="1:21" ht="36">
      <c r="A180" s="362">
        <v>179</v>
      </c>
      <c r="B180" s="384" t="str">
        <f>UPPER((TEXT(Tabla3[[#This Row],[Fecha llegada]],"MMM")))</f>
        <v>FEB</v>
      </c>
      <c r="C180" s="384">
        <f>YEAR(Tabla3[[#This Row],[Fecha llegada]])</f>
        <v>2025</v>
      </c>
      <c r="D180" s="348"/>
      <c r="E180" s="342">
        <v>45701</v>
      </c>
      <c r="F180" s="342">
        <v>45702</v>
      </c>
      <c r="G180" s="341">
        <v>2</v>
      </c>
      <c r="H180" s="341">
        <v>2</v>
      </c>
      <c r="I180" s="343">
        <v>1371419.4957983193</v>
      </c>
      <c r="J180" s="341">
        <v>14</v>
      </c>
      <c r="K180" s="343">
        <v>758057.70980392152</v>
      </c>
      <c r="L180" s="343">
        <v>2129477.2056022407</v>
      </c>
      <c r="M180" s="341">
        <v>388.33</v>
      </c>
      <c r="N180" s="341">
        <v>257</v>
      </c>
      <c r="O180" s="341">
        <v>99800.81</v>
      </c>
      <c r="P180" s="343">
        <v>917868.52861388796</v>
      </c>
      <c r="Q180" s="344" t="s">
        <v>735</v>
      </c>
      <c r="R180" s="341">
        <v>702</v>
      </c>
      <c r="S180" s="341">
        <v>561.6</v>
      </c>
      <c r="T180" s="343">
        <v>5669913.6000000006</v>
      </c>
      <c r="U180" s="376" t="s">
        <v>726</v>
      </c>
    </row>
    <row r="181" spans="1:21">
      <c r="A181" s="370">
        <v>180</v>
      </c>
      <c r="B181" s="384" t="str">
        <f>UPPER((TEXT(Tabla3[[#This Row],[Fecha llegada]],"MMM")))</f>
        <v>FEB</v>
      </c>
      <c r="C181" s="384">
        <f>YEAR(Tabla3[[#This Row],[Fecha llegada]])</f>
        <v>2025</v>
      </c>
      <c r="D181" s="348"/>
      <c r="E181" s="342">
        <v>45705</v>
      </c>
      <c r="F181" s="342">
        <v>45705</v>
      </c>
      <c r="G181" s="341">
        <v>1</v>
      </c>
      <c r="H181" s="341">
        <v>1</v>
      </c>
      <c r="I181" s="343">
        <v>342854.87394957984</v>
      </c>
      <c r="J181" s="341">
        <v>20</v>
      </c>
      <c r="K181" s="343">
        <v>1200345.0980392159</v>
      </c>
      <c r="L181" s="343">
        <v>1543199.9719887958</v>
      </c>
      <c r="M181" s="341">
        <v>634.22199999999998</v>
      </c>
      <c r="N181" s="341">
        <v>29.400000000000006</v>
      </c>
      <c r="O181" s="341">
        <v>18646.126800000002</v>
      </c>
      <c r="P181" s="343">
        <v>171488.51768100867</v>
      </c>
      <c r="Q181" s="344" t="s">
        <v>736</v>
      </c>
      <c r="R181" s="341">
        <v>29.400000000000006</v>
      </c>
      <c r="S181" s="341">
        <v>23.520000000000007</v>
      </c>
      <c r="T181" s="343">
        <v>237457.92000000007</v>
      </c>
      <c r="U181" s="376" t="s">
        <v>726</v>
      </c>
    </row>
    <row r="182" spans="1:21">
      <c r="A182" s="362">
        <v>181</v>
      </c>
      <c r="B182" s="384" t="str">
        <f>UPPER((TEXT(Tabla3[[#This Row],[Fecha llegada]],"MMM")))</f>
        <v>FEB</v>
      </c>
      <c r="C182" s="384">
        <f>YEAR(Tabla3[[#This Row],[Fecha llegada]])</f>
        <v>2025</v>
      </c>
      <c r="D182" s="348"/>
      <c r="E182" s="342">
        <v>45706</v>
      </c>
      <c r="F182" s="342">
        <v>45706</v>
      </c>
      <c r="G182" s="341">
        <v>1</v>
      </c>
      <c r="H182" s="341">
        <v>1</v>
      </c>
      <c r="I182" s="343">
        <v>342854.87394957984</v>
      </c>
      <c r="J182" s="341">
        <v>9</v>
      </c>
      <c r="K182" s="343">
        <v>540155.29411764711</v>
      </c>
      <c r="L182" s="343">
        <v>883010.16806722688</v>
      </c>
      <c r="M182" s="341">
        <v>293.85000000000002</v>
      </c>
      <c r="N182" s="341">
        <v>29.400000000000006</v>
      </c>
      <c r="O182" s="341">
        <v>8639.1900000000023</v>
      </c>
      <c r="P182" s="343">
        <v>79454.671898112021</v>
      </c>
      <c r="Q182" s="344" t="s">
        <v>737</v>
      </c>
      <c r="R182" s="341">
        <v>29.400000000000006</v>
      </c>
      <c r="S182" s="341">
        <v>23.520000000000007</v>
      </c>
      <c r="T182" s="343">
        <v>237457.92000000007</v>
      </c>
      <c r="U182" s="376" t="s">
        <v>726</v>
      </c>
    </row>
    <row r="183" spans="1:21">
      <c r="A183" s="370">
        <v>182</v>
      </c>
      <c r="B183" s="384" t="str">
        <f>UPPER((TEXT(Tabla3[[#This Row],[Fecha llegada]],"MMM")))</f>
        <v>FEB</v>
      </c>
      <c r="C183" s="384">
        <f>YEAR(Tabla3[[#This Row],[Fecha llegada]])</f>
        <v>2025</v>
      </c>
      <c r="D183" s="348"/>
      <c r="E183" s="342">
        <v>45707</v>
      </c>
      <c r="F183" s="342">
        <v>45707</v>
      </c>
      <c r="G183" s="341">
        <v>1</v>
      </c>
      <c r="H183" s="341">
        <v>1</v>
      </c>
      <c r="I183" s="343">
        <v>342854.87394957984</v>
      </c>
      <c r="J183" s="341">
        <v>9</v>
      </c>
      <c r="K183" s="343">
        <v>540155.29411764711</v>
      </c>
      <c r="L183" s="343">
        <v>883010.16806722688</v>
      </c>
      <c r="M183" s="341">
        <v>271.55</v>
      </c>
      <c r="N183" s="341">
        <v>29.400000000000006</v>
      </c>
      <c r="O183" s="341">
        <v>7983.5700000000015</v>
      </c>
      <c r="P183" s="343">
        <v>73424.931611136009</v>
      </c>
      <c r="Q183" s="344" t="s">
        <v>738</v>
      </c>
      <c r="R183" s="341">
        <v>29.400000000000006</v>
      </c>
      <c r="S183" s="341">
        <v>23.520000000000007</v>
      </c>
      <c r="T183" s="343">
        <v>237457.92000000007</v>
      </c>
      <c r="U183" s="376" t="s">
        <v>726</v>
      </c>
    </row>
    <row r="184" spans="1:21" ht="36">
      <c r="A184" s="362">
        <v>183</v>
      </c>
      <c r="B184" s="385" t="str">
        <f>UPPER((TEXT(Tabla3[[#This Row],[Fecha llegada]],"MMM")))</f>
        <v>FEB</v>
      </c>
      <c r="C184" s="385">
        <f>YEAR(Tabla3[[#This Row],[Fecha llegada]])</f>
        <v>2025</v>
      </c>
      <c r="D184" s="371"/>
      <c r="E184" s="372">
        <v>45713</v>
      </c>
      <c r="F184" s="372">
        <v>45714</v>
      </c>
      <c r="G184" s="373">
        <v>2</v>
      </c>
      <c r="H184" s="373">
        <v>2</v>
      </c>
      <c r="I184" s="374">
        <v>1371419.4957983193</v>
      </c>
      <c r="J184" s="373">
        <v>14</v>
      </c>
      <c r="K184" s="374">
        <v>758057.70980392152</v>
      </c>
      <c r="L184" s="374">
        <v>2129477.2056022407</v>
      </c>
      <c r="M184" s="373">
        <v>386.33</v>
      </c>
      <c r="N184" s="373">
        <v>257</v>
      </c>
      <c r="O184" s="373">
        <v>99286.81</v>
      </c>
      <c r="P184" s="374">
        <v>913141.268146688</v>
      </c>
      <c r="Q184" s="375" t="s">
        <v>739</v>
      </c>
      <c r="R184" s="373">
        <v>702</v>
      </c>
      <c r="S184" s="373">
        <v>561.6</v>
      </c>
      <c r="T184" s="374">
        <v>5669913.6000000006</v>
      </c>
      <c r="U184" s="376" t="s">
        <v>726</v>
      </c>
    </row>
    <row r="185" spans="1:21" ht="36">
      <c r="A185" s="370">
        <v>184</v>
      </c>
      <c r="B185" s="385" t="str">
        <f>UPPER((TEXT(Tabla3[[#This Row],[Fecha llegada]],"MMM")))</f>
        <v>MAR</v>
      </c>
      <c r="C185" s="385">
        <f>YEAR(Tabla3[[#This Row],[Fecha llegada]])</f>
        <v>2025</v>
      </c>
      <c r="D185" s="371"/>
      <c r="E185" s="372">
        <v>45719</v>
      </c>
      <c r="F185" s="372">
        <v>45720</v>
      </c>
      <c r="G185" s="373">
        <v>2</v>
      </c>
      <c r="H185" s="373">
        <v>2</v>
      </c>
      <c r="I185" s="374">
        <v>1371419.4957983193</v>
      </c>
      <c r="J185" s="373">
        <v>14</v>
      </c>
      <c r="K185" s="374">
        <v>758057.70980392152</v>
      </c>
      <c r="L185" s="374">
        <v>2129477.2056022407</v>
      </c>
      <c r="M185" s="373">
        <v>388.33</v>
      </c>
      <c r="N185" s="373">
        <v>257</v>
      </c>
      <c r="O185" s="373">
        <v>99800.81</v>
      </c>
      <c r="P185" s="374">
        <v>917868.52861388796</v>
      </c>
      <c r="Q185" s="375" t="s">
        <v>758</v>
      </c>
      <c r="R185" s="373">
        <v>702</v>
      </c>
      <c r="S185" s="373">
        <v>561.6</v>
      </c>
      <c r="T185" s="374">
        <v>5669913.6000000006</v>
      </c>
      <c r="U185" s="376" t="s">
        <v>756</v>
      </c>
    </row>
    <row r="186" spans="1:21" ht="36">
      <c r="A186" s="362">
        <v>185</v>
      </c>
      <c r="B186" s="384" t="str">
        <f>UPPER((TEXT(Tabla3[[#This Row],[Fecha llegada]],"MMM")))</f>
        <v>MAR</v>
      </c>
      <c r="C186" s="384">
        <f>YEAR(Tabla3[[#This Row],[Fecha llegada]])</f>
        <v>2025</v>
      </c>
      <c r="D186" s="348"/>
      <c r="E186" s="342">
        <v>45721</v>
      </c>
      <c r="F186" s="342">
        <v>45722</v>
      </c>
      <c r="G186" s="341">
        <v>2</v>
      </c>
      <c r="H186" s="341">
        <v>2</v>
      </c>
      <c r="I186" s="343">
        <v>1371419.4957983193</v>
      </c>
      <c r="J186" s="341">
        <v>14</v>
      </c>
      <c r="K186" s="343">
        <v>758057.70980392152</v>
      </c>
      <c r="L186" s="343">
        <v>2129477.2056022407</v>
      </c>
      <c r="M186" s="341">
        <v>388.33</v>
      </c>
      <c r="N186" s="341">
        <v>257</v>
      </c>
      <c r="O186" s="341">
        <v>99800.81</v>
      </c>
      <c r="P186" s="343">
        <v>917868.52861388796</v>
      </c>
      <c r="Q186" s="344" t="s">
        <v>759</v>
      </c>
      <c r="R186" s="341">
        <v>702</v>
      </c>
      <c r="S186" s="341">
        <v>561.6</v>
      </c>
      <c r="T186" s="343">
        <v>5669913.6000000006</v>
      </c>
      <c r="U186" s="376" t="s">
        <v>756</v>
      </c>
    </row>
    <row r="187" spans="1:21" ht="36">
      <c r="A187" s="370">
        <v>186</v>
      </c>
      <c r="B187" s="384" t="str">
        <f>UPPER((TEXT(Tabla3[[#This Row],[Fecha llegada]],"MMM")))</f>
        <v>MAR</v>
      </c>
      <c r="C187" s="384">
        <f>YEAR(Tabla3[[#This Row],[Fecha llegada]])</f>
        <v>2025</v>
      </c>
      <c r="D187" s="348"/>
      <c r="E187" s="342">
        <v>45723</v>
      </c>
      <c r="F187" s="342">
        <v>45724</v>
      </c>
      <c r="G187" s="341">
        <v>2</v>
      </c>
      <c r="H187" s="341">
        <v>2</v>
      </c>
      <c r="I187" s="343">
        <v>1371419.4957983193</v>
      </c>
      <c r="J187" s="341">
        <v>14</v>
      </c>
      <c r="K187" s="343">
        <v>758057.70980392152</v>
      </c>
      <c r="L187" s="343">
        <v>2129477.2056022407</v>
      </c>
      <c r="M187" s="341">
        <v>386.83</v>
      </c>
      <c r="N187" s="341">
        <v>257</v>
      </c>
      <c r="O187" s="341">
        <v>99415.31</v>
      </c>
      <c r="P187" s="343">
        <v>914323.08326348802</v>
      </c>
      <c r="Q187" s="344" t="s">
        <v>760</v>
      </c>
      <c r="R187" s="341">
        <v>702</v>
      </c>
      <c r="S187" s="341">
        <v>561.6</v>
      </c>
      <c r="T187" s="343">
        <v>5669913.6000000006</v>
      </c>
      <c r="U187" s="376" t="s">
        <v>756</v>
      </c>
    </row>
    <row r="188" spans="1:21" ht="36">
      <c r="A188" s="362">
        <v>187</v>
      </c>
      <c r="B188" s="384" t="str">
        <f>UPPER((TEXT(Tabla3[[#This Row],[Fecha llegada]],"MMM")))</f>
        <v>MAR</v>
      </c>
      <c r="C188" s="384">
        <f>YEAR(Tabla3[[#This Row],[Fecha llegada]])</f>
        <v>2025</v>
      </c>
      <c r="D188" s="348"/>
      <c r="E188" s="342">
        <v>45726</v>
      </c>
      <c r="F188" s="342">
        <v>45727</v>
      </c>
      <c r="G188" s="341">
        <v>2</v>
      </c>
      <c r="H188" s="341">
        <v>2</v>
      </c>
      <c r="I188" s="343">
        <v>1371419.4957983193</v>
      </c>
      <c r="J188" s="341">
        <v>14</v>
      </c>
      <c r="K188" s="343">
        <v>758057.70980392152</v>
      </c>
      <c r="L188" s="343">
        <v>2129477.2056022407</v>
      </c>
      <c r="M188" s="341">
        <v>392</v>
      </c>
      <c r="N188" s="341">
        <v>257</v>
      </c>
      <c r="O188" s="341">
        <v>100744</v>
      </c>
      <c r="P188" s="343">
        <v>926543.05157120002</v>
      </c>
      <c r="Q188" s="344" t="s">
        <v>761</v>
      </c>
      <c r="R188" s="341">
        <v>702</v>
      </c>
      <c r="S188" s="341">
        <v>561.6</v>
      </c>
      <c r="T188" s="343">
        <v>5669913.6000000006</v>
      </c>
      <c r="U188" s="376" t="s">
        <v>756</v>
      </c>
    </row>
    <row r="189" spans="1:21" ht="36">
      <c r="A189" s="370">
        <v>188</v>
      </c>
      <c r="B189" s="384" t="str">
        <f>UPPER((TEXT(Tabla3[[#This Row],[Fecha llegada]],"MMM")))</f>
        <v>MAR</v>
      </c>
      <c r="C189" s="384">
        <f>YEAR(Tabla3[[#This Row],[Fecha llegada]])</f>
        <v>2025</v>
      </c>
      <c r="D189" s="348"/>
      <c r="E189" s="342">
        <v>45728</v>
      </c>
      <c r="F189" s="342">
        <v>45729</v>
      </c>
      <c r="G189" s="341">
        <v>2</v>
      </c>
      <c r="H189" s="341">
        <v>2</v>
      </c>
      <c r="I189" s="343">
        <v>1371419.4957983193</v>
      </c>
      <c r="J189" s="341">
        <v>14</v>
      </c>
      <c r="K189" s="343">
        <v>758057.70980392152</v>
      </c>
      <c r="L189" s="343">
        <v>2129477.2056022407</v>
      </c>
      <c r="M189" s="341">
        <v>388.33</v>
      </c>
      <c r="N189" s="341">
        <v>257</v>
      </c>
      <c r="O189" s="341">
        <v>99800.81</v>
      </c>
      <c r="P189" s="343">
        <v>917868.52861388796</v>
      </c>
      <c r="Q189" s="344" t="s">
        <v>762</v>
      </c>
      <c r="R189" s="341">
        <v>702</v>
      </c>
      <c r="S189" s="341">
        <v>561.6</v>
      </c>
      <c r="T189" s="343">
        <v>5669913.6000000006</v>
      </c>
      <c r="U189" s="376" t="s">
        <v>756</v>
      </c>
    </row>
    <row r="190" spans="1:21" ht="36">
      <c r="A190" s="362">
        <v>189</v>
      </c>
      <c r="B190" s="384" t="str">
        <f>UPPER((TEXT(Tabla3[[#This Row],[Fecha llegada]],"MMM")))</f>
        <v>MAR</v>
      </c>
      <c r="C190" s="384">
        <f>YEAR(Tabla3[[#This Row],[Fecha llegada]])</f>
        <v>2025</v>
      </c>
      <c r="D190" s="348"/>
      <c r="E190" s="342">
        <v>45730</v>
      </c>
      <c r="F190" s="342">
        <v>45731</v>
      </c>
      <c r="G190" s="341">
        <v>2</v>
      </c>
      <c r="H190" s="341">
        <v>2</v>
      </c>
      <c r="I190" s="343">
        <v>1371419.4957983193</v>
      </c>
      <c r="J190" s="341">
        <v>14</v>
      </c>
      <c r="K190" s="343">
        <v>758057.70980392152</v>
      </c>
      <c r="L190" s="343">
        <v>2129477.2056022407</v>
      </c>
      <c r="M190" s="341">
        <v>388.33</v>
      </c>
      <c r="N190" s="341">
        <v>257</v>
      </c>
      <c r="O190" s="341">
        <v>99800.81</v>
      </c>
      <c r="P190" s="343">
        <v>917868.52861388796</v>
      </c>
      <c r="Q190" s="344" t="s">
        <v>763</v>
      </c>
      <c r="R190" s="341">
        <v>702</v>
      </c>
      <c r="S190" s="341">
        <v>561.6</v>
      </c>
      <c r="T190" s="343">
        <v>5669913.6000000006</v>
      </c>
      <c r="U190" s="376" t="s">
        <v>756</v>
      </c>
    </row>
    <row r="191" spans="1:21" ht="36">
      <c r="A191" s="370">
        <v>190</v>
      </c>
      <c r="B191" s="384" t="str">
        <f>UPPER((TEXT(Tabla3[[#This Row],[Fecha llegada]],"MMM")))</f>
        <v>MAR</v>
      </c>
      <c r="C191" s="384">
        <f>YEAR(Tabla3[[#This Row],[Fecha llegada]])</f>
        <v>2025</v>
      </c>
      <c r="D191" s="348"/>
      <c r="E191" s="342">
        <v>45734</v>
      </c>
      <c r="F191" s="342">
        <v>45735</v>
      </c>
      <c r="G191" s="341">
        <v>2</v>
      </c>
      <c r="H191" s="341">
        <v>2</v>
      </c>
      <c r="I191" s="343">
        <v>1371419.4957983193</v>
      </c>
      <c r="J191" s="341">
        <v>14</v>
      </c>
      <c r="K191" s="343">
        <v>758057.70980392152</v>
      </c>
      <c r="L191" s="343">
        <v>2129477.2056022407</v>
      </c>
      <c r="M191" s="341">
        <v>386.33</v>
      </c>
      <c r="N191" s="341">
        <v>257</v>
      </c>
      <c r="O191" s="341">
        <v>99286.81</v>
      </c>
      <c r="P191" s="343">
        <v>913141.268146688</v>
      </c>
      <c r="Q191" s="344" t="s">
        <v>764</v>
      </c>
      <c r="R191" s="341">
        <v>702</v>
      </c>
      <c r="S191" s="341">
        <v>561.6</v>
      </c>
      <c r="T191" s="343">
        <v>5669913.6000000006</v>
      </c>
      <c r="U191" s="376" t="s">
        <v>756</v>
      </c>
    </row>
    <row r="192" spans="1:21" ht="36">
      <c r="A192" s="362">
        <v>191</v>
      </c>
      <c r="B192" s="384" t="str">
        <f>UPPER((TEXT(Tabla3[[#This Row],[Fecha llegada]],"MMM")))</f>
        <v>MAR</v>
      </c>
      <c r="C192" s="384">
        <f>YEAR(Tabla3[[#This Row],[Fecha llegada]])</f>
        <v>2025</v>
      </c>
      <c r="D192" s="348"/>
      <c r="E192" s="342">
        <v>45736</v>
      </c>
      <c r="F192" s="342">
        <v>45737</v>
      </c>
      <c r="G192" s="341">
        <v>2</v>
      </c>
      <c r="H192" s="341">
        <v>2</v>
      </c>
      <c r="I192" s="343">
        <v>1371419.4957983193</v>
      </c>
      <c r="J192" s="341">
        <v>14</v>
      </c>
      <c r="K192" s="343">
        <v>758057.70980392152</v>
      </c>
      <c r="L192" s="343">
        <v>2129477.2056022407</v>
      </c>
      <c r="M192" s="341">
        <v>388.33</v>
      </c>
      <c r="N192" s="341">
        <v>257</v>
      </c>
      <c r="O192" s="341">
        <v>99800.81</v>
      </c>
      <c r="P192" s="343">
        <v>917868.52861388796</v>
      </c>
      <c r="Q192" s="344" t="s">
        <v>765</v>
      </c>
      <c r="R192" s="341">
        <v>702</v>
      </c>
      <c r="S192" s="341">
        <v>561.6</v>
      </c>
      <c r="T192" s="343">
        <v>5669913.6000000006</v>
      </c>
      <c r="U192" s="376" t="s">
        <v>756</v>
      </c>
    </row>
    <row r="193" spans="1:21" ht="36">
      <c r="A193" s="370">
        <v>192</v>
      </c>
      <c r="B193" s="384" t="str">
        <f>UPPER((TEXT(Tabla3[[#This Row],[Fecha llegada]],"MMM")))</f>
        <v>MAR</v>
      </c>
      <c r="C193" s="384">
        <f>YEAR(Tabla3[[#This Row],[Fecha llegada]])</f>
        <v>2025</v>
      </c>
      <c r="D193" s="348"/>
      <c r="E193" s="342">
        <v>45738</v>
      </c>
      <c r="F193" s="342">
        <v>45739</v>
      </c>
      <c r="G193" s="341">
        <v>2</v>
      </c>
      <c r="H193" s="341">
        <v>2</v>
      </c>
      <c r="I193" s="343">
        <v>1371419.4957983193</v>
      </c>
      <c r="J193" s="341">
        <v>14</v>
      </c>
      <c r="K193" s="343">
        <v>758057.70980392152</v>
      </c>
      <c r="L193" s="343">
        <v>2129477.2056022407</v>
      </c>
      <c r="M193" s="341">
        <v>388.33</v>
      </c>
      <c r="N193" s="341">
        <v>257</v>
      </c>
      <c r="O193" s="341">
        <v>99800.81</v>
      </c>
      <c r="P193" s="343">
        <v>917868.52861388796</v>
      </c>
      <c r="Q193" s="344" t="s">
        <v>766</v>
      </c>
      <c r="R193" s="341">
        <v>702</v>
      </c>
      <c r="S193" s="341">
        <v>561.6</v>
      </c>
      <c r="T193" s="343">
        <v>5669913.6000000006</v>
      </c>
      <c r="U193" s="376" t="s">
        <v>756</v>
      </c>
    </row>
    <row r="194" spans="1:21" ht="36">
      <c r="A194" s="362">
        <v>193</v>
      </c>
      <c r="B194" s="384" t="str">
        <f>UPPER((TEXT(Tabla3[[#This Row],[Fecha llegada]],"MMM")))</f>
        <v>MAR</v>
      </c>
      <c r="C194" s="384">
        <f>YEAR(Tabla3[[#This Row],[Fecha llegada]])</f>
        <v>2025</v>
      </c>
      <c r="D194" s="348"/>
      <c r="E194" s="342">
        <v>45745</v>
      </c>
      <c r="F194" s="342">
        <v>45746</v>
      </c>
      <c r="G194" s="341">
        <v>2</v>
      </c>
      <c r="H194" s="341">
        <v>2</v>
      </c>
      <c r="I194" s="343">
        <v>1371419.4957983193</v>
      </c>
      <c r="J194" s="341">
        <v>14</v>
      </c>
      <c r="K194" s="343">
        <v>758057.70980392152</v>
      </c>
      <c r="L194" s="343">
        <v>2129477.2056022407</v>
      </c>
      <c r="M194" s="341">
        <v>383.43</v>
      </c>
      <c r="N194" s="341">
        <v>257</v>
      </c>
      <c r="O194" s="341">
        <v>98541.51</v>
      </c>
      <c r="P194" s="343">
        <v>906286.74046924792</v>
      </c>
      <c r="Q194" s="344" t="s">
        <v>767</v>
      </c>
      <c r="R194" s="341">
        <v>702</v>
      </c>
      <c r="S194" s="341">
        <v>561.6</v>
      </c>
      <c r="T194" s="343">
        <v>5669913.6000000006</v>
      </c>
      <c r="U194" s="376" t="s">
        <v>756</v>
      </c>
    </row>
    <row r="195" spans="1:21" ht="36">
      <c r="A195" s="370">
        <v>194</v>
      </c>
      <c r="B195" s="384" t="str">
        <f>UPPER((TEXT(Tabla3[[#This Row],[Fecha llegada]],"MMM")))</f>
        <v>ABR</v>
      </c>
      <c r="C195" s="384">
        <f>YEAR(Tabla3[[#This Row],[Fecha llegada]])</f>
        <v>2025</v>
      </c>
      <c r="D195" s="348"/>
      <c r="E195" s="342">
        <v>45749</v>
      </c>
      <c r="F195" s="342">
        <v>45750</v>
      </c>
      <c r="G195" s="341">
        <v>2</v>
      </c>
      <c r="H195" s="341">
        <v>2</v>
      </c>
      <c r="I195" s="343">
        <v>1371419.4957983193</v>
      </c>
      <c r="J195" s="341">
        <v>14</v>
      </c>
      <c r="K195" s="343">
        <v>758057.70980392152</v>
      </c>
      <c r="L195" s="343">
        <v>2129477.2056022407</v>
      </c>
      <c r="M195" s="341">
        <v>388.33</v>
      </c>
      <c r="N195" s="341">
        <v>257</v>
      </c>
      <c r="O195" s="341">
        <v>99800.81</v>
      </c>
      <c r="P195" s="343">
        <v>917868.52861388796</v>
      </c>
      <c r="Q195" s="344" t="s">
        <v>799</v>
      </c>
      <c r="R195" s="341">
        <v>702</v>
      </c>
      <c r="S195" s="341">
        <v>561.6</v>
      </c>
      <c r="T195" s="343">
        <v>5669913.6000000006</v>
      </c>
      <c r="U195" s="376" t="s">
        <v>795</v>
      </c>
    </row>
    <row r="196" spans="1:21" ht="36">
      <c r="A196" s="362">
        <v>195</v>
      </c>
      <c r="B196" s="384" t="str">
        <f>UPPER((TEXT(Tabla3[[#This Row],[Fecha llegada]],"MMM")))</f>
        <v>ABR</v>
      </c>
      <c r="C196" s="384">
        <f>YEAR(Tabla3[[#This Row],[Fecha llegada]])</f>
        <v>2025</v>
      </c>
      <c r="D196" s="348"/>
      <c r="E196" s="342">
        <v>45751</v>
      </c>
      <c r="F196" s="342">
        <v>45752</v>
      </c>
      <c r="G196" s="341">
        <v>2</v>
      </c>
      <c r="H196" s="341">
        <v>2</v>
      </c>
      <c r="I196" s="343">
        <v>1371419.4957983193</v>
      </c>
      <c r="J196" s="341">
        <v>14</v>
      </c>
      <c r="K196" s="343">
        <v>758057.70980392152</v>
      </c>
      <c r="L196" s="343">
        <v>2129477.2056022407</v>
      </c>
      <c r="M196" s="341">
        <v>386.33</v>
      </c>
      <c r="N196" s="341">
        <v>257</v>
      </c>
      <c r="O196" s="341">
        <v>99286.81</v>
      </c>
      <c r="P196" s="343">
        <v>913141.268146688</v>
      </c>
      <c r="Q196" s="344" t="s">
        <v>800</v>
      </c>
      <c r="R196" s="341">
        <v>702</v>
      </c>
      <c r="S196" s="341">
        <v>561.6</v>
      </c>
      <c r="T196" s="343">
        <v>5669913.6000000006</v>
      </c>
      <c r="U196" s="376" t="s">
        <v>795</v>
      </c>
    </row>
    <row r="197" spans="1:21" ht="36">
      <c r="A197" s="370">
        <v>196</v>
      </c>
      <c r="B197" s="384" t="str">
        <f>UPPER((TEXT(Tabla3[[#This Row],[Fecha llegada]],"MMM")))</f>
        <v>ABR</v>
      </c>
      <c r="C197" s="384">
        <f>YEAR(Tabla3[[#This Row],[Fecha llegada]])</f>
        <v>2025</v>
      </c>
      <c r="D197" s="348"/>
      <c r="E197" s="342">
        <v>45755</v>
      </c>
      <c r="F197" s="342">
        <v>45756</v>
      </c>
      <c r="G197" s="341">
        <v>2</v>
      </c>
      <c r="H197" s="341">
        <v>2</v>
      </c>
      <c r="I197" s="343">
        <v>1371419.4957983193</v>
      </c>
      <c r="J197" s="341">
        <v>14</v>
      </c>
      <c r="K197" s="343">
        <v>758057.70980392152</v>
      </c>
      <c r="L197" s="343">
        <v>2129477.2056022407</v>
      </c>
      <c r="M197" s="341">
        <v>388.33</v>
      </c>
      <c r="N197" s="341">
        <v>257</v>
      </c>
      <c r="O197" s="341">
        <v>99800.81</v>
      </c>
      <c r="P197" s="343">
        <v>917868.52861388796</v>
      </c>
      <c r="Q197" s="344" t="s">
        <v>801</v>
      </c>
      <c r="R197" s="341">
        <v>702</v>
      </c>
      <c r="S197" s="341">
        <v>561.6</v>
      </c>
      <c r="T197" s="343">
        <v>5669913.6000000006</v>
      </c>
      <c r="U197" s="376" t="s">
        <v>795</v>
      </c>
    </row>
    <row r="198" spans="1:21" ht="36">
      <c r="A198" s="362">
        <v>197</v>
      </c>
      <c r="B198" s="384" t="str">
        <f>UPPER((TEXT(Tabla3[[#This Row],[Fecha llegada]],"MMM")))</f>
        <v>ABR</v>
      </c>
      <c r="C198" s="384">
        <f>YEAR(Tabla3[[#This Row],[Fecha llegada]])</f>
        <v>2025</v>
      </c>
      <c r="D198" s="348"/>
      <c r="E198" s="342">
        <v>45757</v>
      </c>
      <c r="F198" s="342">
        <v>45758</v>
      </c>
      <c r="G198" s="341">
        <v>2</v>
      </c>
      <c r="H198" s="341">
        <v>2</v>
      </c>
      <c r="I198" s="343">
        <v>1371419.4957983193</v>
      </c>
      <c r="J198" s="341">
        <v>14</v>
      </c>
      <c r="K198" s="343">
        <v>758057.70980392152</v>
      </c>
      <c r="L198" s="343">
        <v>2129477.2056022407</v>
      </c>
      <c r="M198" s="341">
        <v>386.83</v>
      </c>
      <c r="N198" s="341">
        <v>257</v>
      </c>
      <c r="O198" s="341">
        <v>99415.31</v>
      </c>
      <c r="P198" s="343">
        <v>914323.08326348802</v>
      </c>
      <c r="Q198" s="344" t="s">
        <v>802</v>
      </c>
      <c r="R198" s="341">
        <v>702</v>
      </c>
      <c r="S198" s="341">
        <v>561.6</v>
      </c>
      <c r="T198" s="343">
        <v>5669913.6000000006</v>
      </c>
      <c r="U198" s="376" t="s">
        <v>795</v>
      </c>
    </row>
    <row r="199" spans="1:21" ht="36">
      <c r="A199" s="370">
        <v>198</v>
      </c>
      <c r="B199" s="384" t="str">
        <f>UPPER((TEXT(Tabla3[[#This Row],[Fecha llegada]],"MMM")))</f>
        <v>ABR</v>
      </c>
      <c r="C199" s="384">
        <f>YEAR(Tabla3[[#This Row],[Fecha llegada]])</f>
        <v>2025</v>
      </c>
      <c r="D199" s="348"/>
      <c r="E199" s="342">
        <v>45759</v>
      </c>
      <c r="F199" s="342">
        <v>45760</v>
      </c>
      <c r="G199" s="341">
        <v>2</v>
      </c>
      <c r="H199" s="341">
        <v>2</v>
      </c>
      <c r="I199" s="343">
        <v>1371419.4957983193</v>
      </c>
      <c r="J199" s="341">
        <v>14</v>
      </c>
      <c r="K199" s="343">
        <v>758057.70980392152</v>
      </c>
      <c r="L199" s="343">
        <v>2129477.2056022407</v>
      </c>
      <c r="M199" s="341">
        <v>388.33</v>
      </c>
      <c r="N199" s="341">
        <v>257</v>
      </c>
      <c r="O199" s="341">
        <v>99800.81</v>
      </c>
      <c r="P199" s="343">
        <v>917868.52861388796</v>
      </c>
      <c r="Q199" s="344" t="s">
        <v>803</v>
      </c>
      <c r="R199" s="341">
        <v>702</v>
      </c>
      <c r="S199" s="341">
        <v>561.6</v>
      </c>
      <c r="T199" s="343">
        <v>5669913.6000000006</v>
      </c>
      <c r="U199" s="376" t="s">
        <v>795</v>
      </c>
    </row>
    <row r="200" spans="1:21" ht="36">
      <c r="A200" s="362">
        <v>199</v>
      </c>
      <c r="B200" s="384" t="str">
        <f>UPPER((TEXT(Tabla3[[#This Row],[Fecha llegada]],"MMM")))</f>
        <v>ABR</v>
      </c>
      <c r="C200" s="384">
        <f>YEAR(Tabla3[[#This Row],[Fecha llegada]])</f>
        <v>2025</v>
      </c>
      <c r="D200" s="348"/>
      <c r="E200" s="342">
        <v>45761</v>
      </c>
      <c r="F200" s="342">
        <v>45762</v>
      </c>
      <c r="G200" s="341">
        <v>2</v>
      </c>
      <c r="H200" s="341">
        <v>2</v>
      </c>
      <c r="I200" s="343">
        <v>1371419.4957983193</v>
      </c>
      <c r="J200" s="341">
        <v>14</v>
      </c>
      <c r="K200" s="343">
        <v>758057.70980392152</v>
      </c>
      <c r="L200" s="343">
        <v>2129477.2056022407</v>
      </c>
      <c r="M200" s="341">
        <v>388.33</v>
      </c>
      <c r="N200" s="341">
        <v>257</v>
      </c>
      <c r="O200" s="341">
        <v>99800.81</v>
      </c>
      <c r="P200" s="343">
        <v>917868.52861388796</v>
      </c>
      <c r="Q200" s="344" t="s">
        <v>804</v>
      </c>
      <c r="R200" s="341">
        <v>702</v>
      </c>
      <c r="S200" s="341">
        <v>561.6</v>
      </c>
      <c r="T200" s="343">
        <v>5669913.6000000006</v>
      </c>
      <c r="U200" s="376" t="s">
        <v>795</v>
      </c>
    </row>
    <row r="201" spans="1:21" ht="36">
      <c r="A201" s="370">
        <v>200</v>
      </c>
      <c r="B201" s="384" t="str">
        <f>UPPER((TEXT(Tabla3[[#This Row],[Fecha llegada]],"MMM")))</f>
        <v>ABR</v>
      </c>
      <c r="C201" s="384">
        <f>YEAR(Tabla3[[#This Row],[Fecha llegada]])</f>
        <v>2025</v>
      </c>
      <c r="D201" s="348"/>
      <c r="E201" s="342">
        <v>45768</v>
      </c>
      <c r="F201" s="342">
        <v>45769</v>
      </c>
      <c r="G201" s="341">
        <v>2</v>
      </c>
      <c r="H201" s="341">
        <v>2</v>
      </c>
      <c r="I201" s="343">
        <v>1371419.4957983193</v>
      </c>
      <c r="J201" s="341">
        <v>14</v>
      </c>
      <c r="K201" s="343">
        <v>758057.70980392152</v>
      </c>
      <c r="L201" s="343">
        <v>2129477.2056022407</v>
      </c>
      <c r="M201" s="341">
        <v>387.1</v>
      </c>
      <c r="N201" s="341">
        <v>257</v>
      </c>
      <c r="O201" s="341">
        <v>99484.700000000012</v>
      </c>
      <c r="P201" s="343">
        <v>914961.26342656009</v>
      </c>
      <c r="Q201" s="344" t="s">
        <v>805</v>
      </c>
      <c r="R201" s="341">
        <v>702</v>
      </c>
      <c r="S201" s="341">
        <v>561.6</v>
      </c>
      <c r="T201" s="343">
        <v>5669913.6000000006</v>
      </c>
      <c r="U201" s="376" t="s">
        <v>795</v>
      </c>
    </row>
    <row r="202" spans="1:21" ht="36">
      <c r="A202" s="362">
        <v>201</v>
      </c>
      <c r="B202" s="385" t="str">
        <f>UPPER((TEXT(Tabla3[[#This Row],[Fecha llegada]],"MMM")))</f>
        <v>ABR</v>
      </c>
      <c r="C202" s="385">
        <f>YEAR(Tabla3[[#This Row],[Fecha llegada]])</f>
        <v>2025</v>
      </c>
      <c r="D202" s="371"/>
      <c r="E202" s="372">
        <v>45770</v>
      </c>
      <c r="F202" s="372">
        <v>45771</v>
      </c>
      <c r="G202" s="373">
        <v>2</v>
      </c>
      <c r="H202" s="373">
        <v>2</v>
      </c>
      <c r="I202" s="374">
        <v>1371419.4957983193</v>
      </c>
      <c r="J202" s="373">
        <v>14</v>
      </c>
      <c r="K202" s="374">
        <v>758057.70980392152</v>
      </c>
      <c r="L202" s="374">
        <v>2129477.2056022407</v>
      </c>
      <c r="M202" s="373">
        <v>388.33</v>
      </c>
      <c r="N202" s="373">
        <v>257</v>
      </c>
      <c r="O202" s="373">
        <v>99800.81</v>
      </c>
      <c r="P202" s="374">
        <v>917868.52861388796</v>
      </c>
      <c r="Q202" s="375" t="s">
        <v>806</v>
      </c>
      <c r="R202" s="373">
        <v>702</v>
      </c>
      <c r="S202" s="373">
        <v>561.6</v>
      </c>
      <c r="T202" s="374">
        <v>5669913.6000000006</v>
      </c>
      <c r="U202" s="376" t="s">
        <v>795</v>
      </c>
    </row>
    <row r="203" spans="1:21" ht="36">
      <c r="A203" s="370">
        <v>202</v>
      </c>
      <c r="B203" s="384" t="str">
        <f>UPPER((TEXT(Tabla3[[#This Row],[Fecha llegada]],"MMM")))</f>
        <v>MAY</v>
      </c>
      <c r="C203" s="384">
        <f>YEAR(Tabla3[[#This Row],[Fecha llegada]])</f>
        <v>2025</v>
      </c>
      <c r="D203" s="348"/>
      <c r="E203" s="342">
        <v>45780</v>
      </c>
      <c r="F203" s="342">
        <v>45781</v>
      </c>
      <c r="G203" s="341">
        <v>2</v>
      </c>
      <c r="H203" s="341">
        <v>2</v>
      </c>
      <c r="I203" s="343">
        <v>1371419.4957983193</v>
      </c>
      <c r="J203" s="341">
        <v>14</v>
      </c>
      <c r="K203" s="343">
        <v>758057.70980392152</v>
      </c>
      <c r="L203" s="343">
        <v>2129477.2056022407</v>
      </c>
      <c r="M203" s="341">
        <v>388.33</v>
      </c>
      <c r="N203" s="341">
        <v>257</v>
      </c>
      <c r="O203" s="341">
        <v>99800.81</v>
      </c>
      <c r="P203" s="343">
        <v>917868.52861388796</v>
      </c>
      <c r="Q203" s="344" t="s">
        <v>814</v>
      </c>
      <c r="R203" s="341">
        <v>702</v>
      </c>
      <c r="S203" s="341">
        <v>561.6</v>
      </c>
      <c r="T203" s="343">
        <v>5712033.6000000006</v>
      </c>
      <c r="U203" s="376" t="s">
        <v>811</v>
      </c>
    </row>
    <row r="204" spans="1:21" ht="36">
      <c r="A204" s="362">
        <v>203</v>
      </c>
      <c r="B204" s="384" t="str">
        <f>UPPER((TEXT(Tabla3[[#This Row],[Fecha llegada]],"MMM")))</f>
        <v>MAY</v>
      </c>
      <c r="C204" s="384">
        <f>YEAR(Tabla3[[#This Row],[Fecha llegada]])</f>
        <v>2025</v>
      </c>
      <c r="D204" s="348"/>
      <c r="E204" s="342">
        <v>45783</v>
      </c>
      <c r="F204" s="342">
        <v>45784</v>
      </c>
      <c r="G204" s="341">
        <v>2</v>
      </c>
      <c r="H204" s="341">
        <v>2</v>
      </c>
      <c r="I204" s="343">
        <v>1371419.4957983193</v>
      </c>
      <c r="J204" s="341">
        <v>14</v>
      </c>
      <c r="K204" s="343">
        <v>758057.70980392152</v>
      </c>
      <c r="L204" s="343">
        <v>2129477.2056022407</v>
      </c>
      <c r="M204" s="341">
        <v>386.33</v>
      </c>
      <c r="N204" s="341">
        <v>257</v>
      </c>
      <c r="O204" s="341">
        <v>99286.81</v>
      </c>
      <c r="P204" s="343">
        <v>913141.268146688</v>
      </c>
      <c r="Q204" s="344" t="s">
        <v>815</v>
      </c>
      <c r="R204" s="341">
        <v>702</v>
      </c>
      <c r="S204" s="341">
        <v>561.6</v>
      </c>
      <c r="T204" s="343">
        <v>5712033.6000000006</v>
      </c>
      <c r="U204" s="376" t="s">
        <v>811</v>
      </c>
    </row>
    <row r="205" spans="1:21" ht="36">
      <c r="A205" s="370">
        <v>204</v>
      </c>
      <c r="B205" s="384" t="str">
        <f>UPPER((TEXT(Tabla3[[#This Row],[Fecha llegada]],"MMM")))</f>
        <v>MAY</v>
      </c>
      <c r="C205" s="384">
        <f>YEAR(Tabla3[[#This Row],[Fecha llegada]])</f>
        <v>2025</v>
      </c>
      <c r="D205" s="348"/>
      <c r="E205" s="342">
        <v>45785</v>
      </c>
      <c r="F205" s="342">
        <v>45786</v>
      </c>
      <c r="G205" s="341">
        <v>2</v>
      </c>
      <c r="H205" s="341">
        <v>2</v>
      </c>
      <c r="I205" s="343">
        <v>1371419.4957983193</v>
      </c>
      <c r="J205" s="341">
        <v>14</v>
      </c>
      <c r="K205" s="343">
        <v>758057.70980392152</v>
      </c>
      <c r="L205" s="343">
        <v>2129477.2056022407</v>
      </c>
      <c r="M205" s="341">
        <v>387.1</v>
      </c>
      <c r="N205" s="341">
        <v>257</v>
      </c>
      <c r="O205" s="341">
        <v>99484.700000000012</v>
      </c>
      <c r="P205" s="343">
        <v>914961.26342656009</v>
      </c>
      <c r="Q205" s="344" t="s">
        <v>816</v>
      </c>
      <c r="R205" s="341">
        <v>702</v>
      </c>
      <c r="S205" s="341">
        <v>561.6</v>
      </c>
      <c r="T205" s="343">
        <v>5712033.6000000006</v>
      </c>
      <c r="U205" s="376" t="s">
        <v>811</v>
      </c>
    </row>
    <row r="206" spans="1:21" ht="24">
      <c r="A206" s="362">
        <v>205</v>
      </c>
      <c r="B206" s="384" t="str">
        <f>UPPER((TEXT(Tabla3[[#This Row],[Fecha llegada]],"MMM")))</f>
        <v>MAY</v>
      </c>
      <c r="C206" s="384">
        <f>YEAR(Tabla3[[#This Row],[Fecha llegada]])</f>
        <v>2025</v>
      </c>
      <c r="D206" s="348"/>
      <c r="E206" s="342">
        <v>45787</v>
      </c>
      <c r="F206" s="342">
        <v>45788</v>
      </c>
      <c r="G206" s="341">
        <v>2</v>
      </c>
      <c r="H206" s="341">
        <v>2</v>
      </c>
      <c r="I206" s="343">
        <v>1371419.4957983193</v>
      </c>
      <c r="J206" s="341">
        <v>14</v>
      </c>
      <c r="K206" s="343">
        <v>758057.70980392152</v>
      </c>
      <c r="L206" s="343">
        <v>2129477.2056022407</v>
      </c>
      <c r="M206" s="341">
        <v>388.33</v>
      </c>
      <c r="N206" s="341">
        <v>257</v>
      </c>
      <c r="O206" s="341">
        <v>99800.81</v>
      </c>
      <c r="P206" s="343">
        <v>917868.52861388796</v>
      </c>
      <c r="Q206" s="344" t="s">
        <v>817</v>
      </c>
      <c r="R206" s="341">
        <v>702</v>
      </c>
      <c r="S206" s="341">
        <v>561.6</v>
      </c>
      <c r="T206" s="343">
        <v>5712033.6000000006</v>
      </c>
      <c r="U206" s="376" t="s">
        <v>811</v>
      </c>
    </row>
    <row r="207" spans="1:21" ht="24">
      <c r="A207" s="370">
        <v>206</v>
      </c>
      <c r="B207" s="384" t="str">
        <f>UPPER((TEXT(Tabla3[[#This Row],[Fecha llegada]],"MMM")))</f>
        <v>MAY</v>
      </c>
      <c r="C207" s="384">
        <f>YEAR(Tabla3[[#This Row],[Fecha llegada]])</f>
        <v>2025</v>
      </c>
      <c r="D207" s="348"/>
      <c r="E207" s="342">
        <v>45790</v>
      </c>
      <c r="F207" s="342">
        <v>45791</v>
      </c>
      <c r="G207" s="341">
        <v>2</v>
      </c>
      <c r="H207" s="341">
        <v>2</v>
      </c>
      <c r="I207" s="343">
        <v>1371419.4957983193</v>
      </c>
      <c r="J207" s="341">
        <v>14</v>
      </c>
      <c r="K207" s="343">
        <v>758057.70980392152</v>
      </c>
      <c r="L207" s="343">
        <v>2129477.2056022407</v>
      </c>
      <c r="M207" s="341">
        <v>388.33</v>
      </c>
      <c r="N207" s="341">
        <v>257</v>
      </c>
      <c r="O207" s="341">
        <v>99800.81</v>
      </c>
      <c r="P207" s="343">
        <v>917868.52861388796</v>
      </c>
      <c r="Q207" s="344" t="s">
        <v>818</v>
      </c>
      <c r="R207" s="341">
        <v>702</v>
      </c>
      <c r="S207" s="341">
        <v>561.6</v>
      </c>
      <c r="T207" s="343">
        <v>5712033.6000000006</v>
      </c>
      <c r="U207" s="376" t="s">
        <v>811</v>
      </c>
    </row>
    <row r="208" spans="1:21" ht="36">
      <c r="A208" s="362">
        <v>207</v>
      </c>
      <c r="B208" s="384" t="str">
        <f>UPPER((TEXT(Tabla3[[#This Row],[Fecha llegada]],"MMM")))</f>
        <v>MAY</v>
      </c>
      <c r="C208" s="384">
        <f>YEAR(Tabla3[[#This Row],[Fecha llegada]])</f>
        <v>2025</v>
      </c>
      <c r="D208" s="348"/>
      <c r="E208" s="342">
        <v>45793</v>
      </c>
      <c r="F208" s="342">
        <v>45794</v>
      </c>
      <c r="G208" s="341">
        <v>2</v>
      </c>
      <c r="H208" s="341">
        <v>2</v>
      </c>
      <c r="I208" s="343">
        <v>1371419.4957983193</v>
      </c>
      <c r="J208" s="341">
        <v>14</v>
      </c>
      <c r="K208" s="343">
        <v>758057.70980392152</v>
      </c>
      <c r="L208" s="343">
        <v>2129477.2056022407</v>
      </c>
      <c r="M208" s="341">
        <v>387.6</v>
      </c>
      <c r="N208" s="341">
        <v>257</v>
      </c>
      <c r="O208" s="341">
        <v>99613.200000000012</v>
      </c>
      <c r="P208" s="343">
        <v>916143.07854336011</v>
      </c>
      <c r="Q208" s="344" t="s">
        <v>819</v>
      </c>
      <c r="R208" s="341">
        <v>702</v>
      </c>
      <c r="S208" s="341">
        <v>561.6</v>
      </c>
      <c r="T208" s="343">
        <v>5712033.6000000006</v>
      </c>
      <c r="U208" s="376" t="s">
        <v>811</v>
      </c>
    </row>
    <row r="209" spans="1:21" ht="24">
      <c r="A209" s="370">
        <v>208</v>
      </c>
      <c r="B209" s="384" t="str">
        <f>UPPER((TEXT(Tabla3[[#This Row],[Fecha llegada]],"MMM")))</f>
        <v>MAY</v>
      </c>
      <c r="C209" s="384">
        <f>YEAR(Tabla3[[#This Row],[Fecha llegada]])</f>
        <v>2025</v>
      </c>
      <c r="D209" s="348"/>
      <c r="E209" s="342">
        <v>45795</v>
      </c>
      <c r="F209" s="342">
        <v>45797</v>
      </c>
      <c r="G209" s="341">
        <v>2</v>
      </c>
      <c r="H209" s="341">
        <v>2</v>
      </c>
      <c r="I209" s="343">
        <v>1371419.4957983193</v>
      </c>
      <c r="J209" s="341">
        <v>14</v>
      </c>
      <c r="K209" s="343">
        <v>758057.70980392152</v>
      </c>
      <c r="L209" s="343">
        <v>2129477.2056022407</v>
      </c>
      <c r="M209" s="341">
        <v>388.33</v>
      </c>
      <c r="N209" s="341">
        <v>257</v>
      </c>
      <c r="O209" s="341">
        <v>99800.81</v>
      </c>
      <c r="P209" s="343">
        <v>917868.52861388796</v>
      </c>
      <c r="Q209" s="344" t="s">
        <v>820</v>
      </c>
      <c r="R209" s="341">
        <v>702</v>
      </c>
      <c r="S209" s="341">
        <v>561.6</v>
      </c>
      <c r="T209" s="343">
        <v>5712033.6000000006</v>
      </c>
      <c r="U209" s="376" t="s">
        <v>811</v>
      </c>
    </row>
    <row r="210" spans="1:21" ht="36">
      <c r="A210" s="362">
        <v>209</v>
      </c>
      <c r="B210" s="384" t="str">
        <f>UPPER((TEXT(Tabla3[[#This Row],[Fecha llegada]],"MMM")))</f>
        <v>MAY</v>
      </c>
      <c r="C210" s="384">
        <f>YEAR(Tabla3[[#This Row],[Fecha llegada]])</f>
        <v>2025</v>
      </c>
      <c r="D210" s="348"/>
      <c r="E210" s="342">
        <v>45797</v>
      </c>
      <c r="F210" s="342">
        <v>45798</v>
      </c>
      <c r="G210" s="341">
        <v>2</v>
      </c>
      <c r="H210" s="341">
        <v>2</v>
      </c>
      <c r="I210" s="343">
        <v>1371419.4957983193</v>
      </c>
      <c r="J210" s="341">
        <v>14</v>
      </c>
      <c r="K210" s="343">
        <v>758057.70980392152</v>
      </c>
      <c r="L210" s="343">
        <v>2129477.2056022407</v>
      </c>
      <c r="M210" s="341">
        <v>388.33</v>
      </c>
      <c r="N210" s="341">
        <v>257</v>
      </c>
      <c r="O210" s="341">
        <v>99800.81</v>
      </c>
      <c r="P210" s="343">
        <v>917868.52861388796</v>
      </c>
      <c r="Q210" s="344" t="s">
        <v>821</v>
      </c>
      <c r="R210" s="341">
        <v>702</v>
      </c>
      <c r="S210" s="341">
        <v>561.6</v>
      </c>
      <c r="T210" s="343">
        <v>5712033.6000000006</v>
      </c>
      <c r="U210" s="376" t="s">
        <v>811</v>
      </c>
    </row>
    <row r="211" spans="1:21" ht="36">
      <c r="A211" s="370">
        <v>210</v>
      </c>
      <c r="B211" s="384" t="str">
        <f>UPPER((TEXT(Tabla3[[#This Row],[Fecha llegada]],"MMM")))</f>
        <v>MAY</v>
      </c>
      <c r="C211" s="384">
        <f>YEAR(Tabla3[[#This Row],[Fecha llegada]])</f>
        <v>2025</v>
      </c>
      <c r="D211" s="348"/>
      <c r="E211" s="342">
        <v>45799</v>
      </c>
      <c r="F211" s="342">
        <v>45800</v>
      </c>
      <c r="G211" s="341">
        <v>2</v>
      </c>
      <c r="H211" s="341">
        <v>2</v>
      </c>
      <c r="I211" s="343">
        <v>1371419.4957983193</v>
      </c>
      <c r="J211" s="341">
        <v>14</v>
      </c>
      <c r="K211" s="343">
        <v>758057.70980392152</v>
      </c>
      <c r="L211" s="343">
        <v>2129477.2056022407</v>
      </c>
      <c r="M211" s="341">
        <v>387.1</v>
      </c>
      <c r="N211" s="341">
        <v>257</v>
      </c>
      <c r="O211" s="341">
        <v>99484.700000000012</v>
      </c>
      <c r="P211" s="343">
        <v>914961.26342656009</v>
      </c>
      <c r="Q211" s="344" t="s">
        <v>822</v>
      </c>
      <c r="R211" s="341">
        <v>702</v>
      </c>
      <c r="S211" s="341">
        <v>561.6</v>
      </c>
      <c r="T211" s="343">
        <v>5712033.6000000006</v>
      </c>
      <c r="U211" s="376" t="s">
        <v>811</v>
      </c>
    </row>
    <row r="212" spans="1:21" ht="24">
      <c r="A212" s="362">
        <v>211</v>
      </c>
      <c r="B212" s="384" t="str">
        <f>UPPER((TEXT(Tabla3[[#This Row],[Fecha llegada]],"MMM")))</f>
        <v>MAY</v>
      </c>
      <c r="C212" s="384">
        <f>YEAR(Tabla3[[#This Row],[Fecha llegada]])</f>
        <v>2025</v>
      </c>
      <c r="D212" s="348"/>
      <c r="E212" s="342">
        <v>45801</v>
      </c>
      <c r="F212" s="342">
        <v>45802</v>
      </c>
      <c r="G212" s="341">
        <v>2</v>
      </c>
      <c r="H212" s="341">
        <v>2</v>
      </c>
      <c r="I212" s="343">
        <v>1371419.4957983193</v>
      </c>
      <c r="J212" s="341">
        <v>14</v>
      </c>
      <c r="K212" s="343">
        <v>758057.70980392152</v>
      </c>
      <c r="L212" s="343">
        <v>2129477.2056022407</v>
      </c>
      <c r="M212" s="341">
        <v>388.33</v>
      </c>
      <c r="N212" s="341">
        <v>257</v>
      </c>
      <c r="O212" s="341">
        <v>99800.81</v>
      </c>
      <c r="P212" s="343">
        <v>917868.52861388796</v>
      </c>
      <c r="Q212" s="344" t="s">
        <v>823</v>
      </c>
      <c r="R212" s="341">
        <v>702</v>
      </c>
      <c r="S212" s="341">
        <v>561.6</v>
      </c>
      <c r="T212" s="343">
        <v>5712033.6000000006</v>
      </c>
      <c r="U212" s="376" t="s">
        <v>811</v>
      </c>
    </row>
    <row r="213" spans="1:21">
      <c r="A213" s="370">
        <v>212</v>
      </c>
      <c r="B213" s="385" t="str">
        <f>UPPER((TEXT(Tabla3[[#This Row],[Fecha llegada]],"MMM")))</f>
        <v>MAY</v>
      </c>
      <c r="C213" s="385">
        <f>YEAR(Tabla3[[#This Row],[Fecha llegada]])</f>
        <v>2025</v>
      </c>
      <c r="D213" s="371"/>
      <c r="E213" s="372">
        <v>45807</v>
      </c>
      <c r="F213" s="372">
        <v>45807</v>
      </c>
      <c r="G213" s="373">
        <v>1</v>
      </c>
      <c r="H213" s="373">
        <v>1</v>
      </c>
      <c r="I213" s="374">
        <v>342854.87394957984</v>
      </c>
      <c r="J213" s="373">
        <v>10</v>
      </c>
      <c r="K213" s="374">
        <v>600172.54901960795</v>
      </c>
      <c r="L213" s="374">
        <v>943027.42296918784</v>
      </c>
      <c r="M213" s="373">
        <v>250</v>
      </c>
      <c r="N213" s="373">
        <v>18.47</v>
      </c>
      <c r="O213" s="373">
        <v>4617.5</v>
      </c>
      <c r="P213" s="374">
        <v>42467.169664000001</v>
      </c>
      <c r="Q213" s="375" t="s">
        <v>824</v>
      </c>
      <c r="R213" s="373">
        <v>36.94</v>
      </c>
      <c r="S213" s="373">
        <v>29.552</v>
      </c>
      <c r="T213" s="374">
        <v>300573.39199999999</v>
      </c>
      <c r="U213" s="376" t="s">
        <v>811</v>
      </c>
    </row>
    <row r="214" spans="1:21">
      <c r="A214" s="362">
        <v>213</v>
      </c>
      <c r="B214" s="384" t="str">
        <f>UPPER((TEXT(Tabla3[[#This Row],[Fecha llegada]],"MMM")))</f>
        <v>JUN</v>
      </c>
      <c r="C214" s="384">
        <f>YEAR(Tabla3[[#This Row],[Fecha llegada]])</f>
        <v>2025</v>
      </c>
      <c r="D214" s="348"/>
      <c r="E214" s="342">
        <v>45809</v>
      </c>
      <c r="F214" s="342">
        <v>45809</v>
      </c>
      <c r="G214" s="341">
        <v>1</v>
      </c>
      <c r="H214" s="341">
        <v>1</v>
      </c>
      <c r="I214" s="343">
        <v>106085.12605042016</v>
      </c>
      <c r="J214" s="341">
        <v>8</v>
      </c>
      <c r="K214" s="343">
        <v>281127.61904761905</v>
      </c>
      <c r="L214" s="343">
        <v>387212.74509803922</v>
      </c>
      <c r="M214" s="341">
        <v>204.47</v>
      </c>
      <c r="N214" s="341">
        <v>30</v>
      </c>
      <c r="O214" s="341">
        <v>6134.1</v>
      </c>
      <c r="P214" s="343">
        <v>56415.347143680003</v>
      </c>
      <c r="Q214" s="344" t="s">
        <v>824</v>
      </c>
      <c r="R214" s="341">
        <v>60</v>
      </c>
      <c r="S214" s="341">
        <v>48</v>
      </c>
      <c r="T214" s="343"/>
      <c r="U214" s="376" t="s">
        <v>832</v>
      </c>
    </row>
    <row r="215" spans="1:21">
      <c r="A215" s="370">
        <v>214</v>
      </c>
      <c r="B215" s="384" t="str">
        <f>UPPER((TEXT(Tabla3[[#This Row],[Fecha llegada]],"MMM")))</f>
        <v>JUN</v>
      </c>
      <c r="C215" s="384">
        <f>YEAR(Tabla3[[#This Row],[Fecha llegada]])</f>
        <v>2025</v>
      </c>
      <c r="D215" s="348"/>
      <c r="E215" s="342">
        <v>45811</v>
      </c>
      <c r="F215" s="342">
        <v>45811</v>
      </c>
      <c r="G215" s="341">
        <v>1</v>
      </c>
      <c r="H215" s="341">
        <v>1</v>
      </c>
      <c r="I215" s="343">
        <v>106085.12605042016</v>
      </c>
      <c r="J215" s="341">
        <v>10</v>
      </c>
      <c r="K215" s="343">
        <v>351409.52380952379</v>
      </c>
      <c r="L215" s="343">
        <v>457494.64985994395</v>
      </c>
      <c r="M215" s="341">
        <v>250</v>
      </c>
      <c r="N215" s="341">
        <v>18.650000000000006</v>
      </c>
      <c r="O215" s="341">
        <v>4662.5000000000018</v>
      </c>
      <c r="P215" s="343">
        <v>42881.034880000021</v>
      </c>
      <c r="Q215" s="344" t="s">
        <v>845</v>
      </c>
      <c r="R215" s="341">
        <v>37.300000000000011</v>
      </c>
      <c r="S215" s="341">
        <v>29.840000000000011</v>
      </c>
      <c r="T215" s="343"/>
      <c r="U215" s="376" t="s">
        <v>832</v>
      </c>
    </row>
    <row r="216" spans="1:21" ht="36">
      <c r="A216" s="362">
        <v>215</v>
      </c>
      <c r="B216" s="384" t="str">
        <f>UPPER((TEXT(Tabla3[[#This Row],[Fecha llegada]],"MMM")))</f>
        <v>JUN</v>
      </c>
      <c r="C216" s="384">
        <f>YEAR(Tabla3[[#This Row],[Fecha llegada]])</f>
        <v>2025</v>
      </c>
      <c r="D216" s="348"/>
      <c r="E216" s="342">
        <v>45811</v>
      </c>
      <c r="F216" s="342">
        <v>45812</v>
      </c>
      <c r="G216" s="341">
        <v>2</v>
      </c>
      <c r="H216" s="341">
        <v>2</v>
      </c>
      <c r="I216" s="343">
        <v>424340.50420168065</v>
      </c>
      <c r="J216" s="341">
        <v>14</v>
      </c>
      <c r="K216" s="343">
        <v>443789.7490196079</v>
      </c>
      <c r="L216" s="343">
        <v>868130.25322128856</v>
      </c>
      <c r="M216" s="341">
        <v>390.78</v>
      </c>
      <c r="N216" s="341">
        <v>257</v>
      </c>
      <c r="O216" s="341">
        <v>100430.45999999999</v>
      </c>
      <c r="P216" s="343">
        <v>923659.42268620792</v>
      </c>
      <c r="Q216" s="344" t="s">
        <v>846</v>
      </c>
      <c r="R216" s="341">
        <v>702</v>
      </c>
      <c r="S216" s="341">
        <v>561.6</v>
      </c>
      <c r="T216" s="343"/>
      <c r="U216" s="376" t="s">
        <v>832</v>
      </c>
    </row>
    <row r="217" spans="1:21">
      <c r="A217" s="370">
        <v>216</v>
      </c>
      <c r="B217" s="384" t="str">
        <f>UPPER((TEXT(Tabla3[[#This Row],[Fecha llegada]],"MMM")))</f>
        <v>JUN</v>
      </c>
      <c r="C217" s="384">
        <f>YEAR(Tabla3[[#This Row],[Fecha llegada]])</f>
        <v>2025</v>
      </c>
      <c r="D217" s="348"/>
      <c r="E217" s="342">
        <v>45812</v>
      </c>
      <c r="F217" s="342">
        <v>45812</v>
      </c>
      <c r="G217" s="341">
        <v>1</v>
      </c>
      <c r="H217" s="341">
        <v>1</v>
      </c>
      <c r="I217" s="343">
        <v>106085.12605042016</v>
      </c>
      <c r="J217" s="341">
        <v>10</v>
      </c>
      <c r="K217" s="343">
        <v>351409.52380952379</v>
      </c>
      <c r="L217" s="343">
        <v>457494.64985994395</v>
      </c>
      <c r="M217" s="341">
        <v>250</v>
      </c>
      <c r="N217" s="341">
        <v>18.800000000000011</v>
      </c>
      <c r="O217" s="341">
        <v>4700.0000000000027</v>
      </c>
      <c r="P217" s="343">
        <v>43225.922560000028</v>
      </c>
      <c r="Q217" s="344" t="s">
        <v>847</v>
      </c>
      <c r="R217" s="341">
        <v>37.600000000000023</v>
      </c>
      <c r="S217" s="341">
        <v>30.08000000000002</v>
      </c>
      <c r="T217" s="343"/>
      <c r="U217" s="376" t="s">
        <v>832</v>
      </c>
    </row>
    <row r="218" spans="1:21" ht="24">
      <c r="A218" s="362">
        <v>217</v>
      </c>
      <c r="B218" s="384" t="str">
        <f>UPPER((TEXT(Tabla3[[#This Row],[Fecha llegada]],"MMM")))</f>
        <v>JUN</v>
      </c>
      <c r="C218" s="384">
        <f>YEAR(Tabla3[[#This Row],[Fecha llegada]])</f>
        <v>2025</v>
      </c>
      <c r="D218" s="348"/>
      <c r="E218" s="342">
        <v>45813</v>
      </c>
      <c r="F218" s="342">
        <v>45814</v>
      </c>
      <c r="G218" s="341">
        <v>2</v>
      </c>
      <c r="H218" s="341">
        <v>2</v>
      </c>
      <c r="I218" s="343">
        <v>424340.50420168065</v>
      </c>
      <c r="J218" s="341">
        <v>14</v>
      </c>
      <c r="K218" s="343">
        <v>443789.7490196079</v>
      </c>
      <c r="L218" s="343">
        <v>868130.25322128856</v>
      </c>
      <c r="M218" s="341">
        <v>386.33</v>
      </c>
      <c r="N218" s="341">
        <v>257</v>
      </c>
      <c r="O218" s="341">
        <v>99286.81</v>
      </c>
      <c r="P218" s="343">
        <v>913141.268146688</v>
      </c>
      <c r="Q218" s="344" t="s">
        <v>848</v>
      </c>
      <c r="R218" s="341">
        <v>702</v>
      </c>
      <c r="S218" s="341">
        <v>561.6</v>
      </c>
      <c r="T218" s="343"/>
      <c r="U218" s="376" t="s">
        <v>832</v>
      </c>
    </row>
    <row r="219" spans="1:21">
      <c r="A219" s="370">
        <v>218</v>
      </c>
      <c r="B219" s="384" t="str">
        <f>UPPER((TEXT(Tabla3[[#This Row],[Fecha llegada]],"MMM")))</f>
        <v>JUN</v>
      </c>
      <c r="C219" s="384">
        <f>YEAR(Tabla3[[#This Row],[Fecha llegada]])</f>
        <v>2025</v>
      </c>
      <c r="D219" s="348"/>
      <c r="E219" s="342">
        <v>45813</v>
      </c>
      <c r="F219" s="342">
        <v>45813</v>
      </c>
      <c r="G219" s="341">
        <v>1</v>
      </c>
      <c r="H219" s="341">
        <v>1</v>
      </c>
      <c r="I219" s="343">
        <v>106085.12605042016</v>
      </c>
      <c r="J219" s="341">
        <v>11</v>
      </c>
      <c r="K219" s="343">
        <v>386550.47619047621</v>
      </c>
      <c r="L219" s="343">
        <v>492635.60224089638</v>
      </c>
      <c r="M219" s="341">
        <v>500</v>
      </c>
      <c r="N219" s="341">
        <v>38.288000000000011</v>
      </c>
      <c r="O219" s="341">
        <v>19144.000000000007</v>
      </c>
      <c r="P219" s="343">
        <v>176067.45989120007</v>
      </c>
      <c r="Q219" s="344" t="s">
        <v>849</v>
      </c>
      <c r="R219" s="341">
        <v>76.576000000000022</v>
      </c>
      <c r="S219" s="341">
        <v>61.260800000000017</v>
      </c>
      <c r="T219" s="343"/>
      <c r="U219" s="376" t="s">
        <v>832</v>
      </c>
    </row>
    <row r="220" spans="1:21">
      <c r="A220" s="362">
        <v>219</v>
      </c>
      <c r="B220" s="384" t="str">
        <f>UPPER((TEXT(Tabla3[[#This Row],[Fecha llegada]],"MMM")))</f>
        <v>JUN</v>
      </c>
      <c r="C220" s="384">
        <f>YEAR(Tabla3[[#This Row],[Fecha llegada]])</f>
        <v>2025</v>
      </c>
      <c r="D220" s="348"/>
      <c r="E220" s="342">
        <v>45814</v>
      </c>
      <c r="F220" s="342">
        <v>45814</v>
      </c>
      <c r="G220" s="341">
        <v>1</v>
      </c>
      <c r="H220" s="341">
        <v>1</v>
      </c>
      <c r="I220" s="343">
        <v>106085.12605042016</v>
      </c>
      <c r="J220" s="341">
        <v>10</v>
      </c>
      <c r="K220" s="343">
        <v>351409.52380952379</v>
      </c>
      <c r="L220" s="343">
        <v>457494.64985994395</v>
      </c>
      <c r="M220" s="341">
        <v>425</v>
      </c>
      <c r="N220" s="341">
        <v>38.850000000000023</v>
      </c>
      <c r="O220" s="341">
        <v>16511.250000000011</v>
      </c>
      <c r="P220" s="343">
        <v>151854.0455040001</v>
      </c>
      <c r="Q220" s="344" t="s">
        <v>850</v>
      </c>
      <c r="R220" s="341">
        <v>77.700000000000045</v>
      </c>
      <c r="S220" s="341">
        <v>62.160000000000039</v>
      </c>
      <c r="T220" s="343"/>
      <c r="U220" s="376" t="s">
        <v>832</v>
      </c>
    </row>
    <row r="221" spans="1:21" ht="36">
      <c r="A221" s="370">
        <v>220</v>
      </c>
      <c r="B221" s="384" t="str">
        <f>UPPER((TEXT(Tabla3[[#This Row],[Fecha llegada]],"MMM")))</f>
        <v>JUN</v>
      </c>
      <c r="C221" s="384">
        <f>YEAR(Tabla3[[#This Row],[Fecha llegada]])</f>
        <v>2025</v>
      </c>
      <c r="D221" s="348"/>
      <c r="E221" s="342">
        <v>45815</v>
      </c>
      <c r="F221" s="342">
        <v>45816</v>
      </c>
      <c r="G221" s="341">
        <v>2</v>
      </c>
      <c r="H221" s="341">
        <v>2</v>
      </c>
      <c r="I221" s="343">
        <v>424340.50420168065</v>
      </c>
      <c r="J221" s="341">
        <v>14</v>
      </c>
      <c r="K221" s="343">
        <v>443789.7490196079</v>
      </c>
      <c r="L221" s="343">
        <v>868130.25322128856</v>
      </c>
      <c r="M221" s="341">
        <v>388.33</v>
      </c>
      <c r="N221" s="341">
        <v>257</v>
      </c>
      <c r="O221" s="341">
        <v>99800.81</v>
      </c>
      <c r="P221" s="343">
        <v>917868.52861388796</v>
      </c>
      <c r="Q221" s="344" t="s">
        <v>851</v>
      </c>
      <c r="R221" s="341">
        <v>702</v>
      </c>
      <c r="S221" s="341">
        <v>561.6</v>
      </c>
      <c r="T221" s="343"/>
      <c r="U221" s="376" t="s">
        <v>832</v>
      </c>
    </row>
    <row r="222" spans="1:21">
      <c r="A222" s="362">
        <v>221</v>
      </c>
      <c r="B222" s="384" t="str">
        <f>UPPER((TEXT(Tabla3[[#This Row],[Fecha llegada]],"MMM")))</f>
        <v>JUN</v>
      </c>
      <c r="C222" s="384">
        <f>YEAR(Tabla3[[#This Row],[Fecha llegada]])</f>
        <v>2025</v>
      </c>
      <c r="D222" s="348"/>
      <c r="E222" s="342">
        <v>45817</v>
      </c>
      <c r="F222" s="342">
        <v>45817</v>
      </c>
      <c r="G222" s="341">
        <v>1</v>
      </c>
      <c r="H222" s="341">
        <v>1</v>
      </c>
      <c r="I222" s="343">
        <v>106085.12605042016</v>
      </c>
      <c r="J222" s="341">
        <v>10</v>
      </c>
      <c r="K222" s="343">
        <v>351409.52380952379</v>
      </c>
      <c r="L222" s="343">
        <v>457494.64985994395</v>
      </c>
      <c r="M222" s="341">
        <v>250</v>
      </c>
      <c r="N222" s="341">
        <v>19.669999999999987</v>
      </c>
      <c r="O222" s="341">
        <v>4917.4999999999973</v>
      </c>
      <c r="P222" s="343">
        <v>45226.271103999978</v>
      </c>
      <c r="Q222" s="344" t="s">
        <v>852</v>
      </c>
      <c r="R222" s="341">
        <v>39.339999999999975</v>
      </c>
      <c r="S222" s="341">
        <v>31.47199999999998</v>
      </c>
      <c r="T222" s="343"/>
      <c r="U222" s="376" t="s">
        <v>832</v>
      </c>
    </row>
    <row r="223" spans="1:21">
      <c r="A223" s="370">
        <v>222</v>
      </c>
      <c r="B223" s="384" t="str">
        <f>UPPER((TEXT(Tabla3[[#This Row],[Fecha llegada]],"MMM")))</f>
        <v>JUN</v>
      </c>
      <c r="C223" s="384">
        <f>YEAR(Tabla3[[#This Row],[Fecha llegada]])</f>
        <v>2025</v>
      </c>
      <c r="D223" s="348"/>
      <c r="E223" s="342">
        <v>45818</v>
      </c>
      <c r="F223" s="342">
        <v>45818</v>
      </c>
      <c r="G223" s="341">
        <v>1</v>
      </c>
      <c r="H223" s="341">
        <v>1</v>
      </c>
      <c r="I223" s="343">
        <v>106085.12605042016</v>
      </c>
      <c r="J223" s="341">
        <v>10</v>
      </c>
      <c r="K223" s="343">
        <v>351409.52380952379</v>
      </c>
      <c r="L223" s="343">
        <v>457494.64985994395</v>
      </c>
      <c r="M223" s="341">
        <v>500</v>
      </c>
      <c r="N223" s="341">
        <v>40.04000000000002</v>
      </c>
      <c r="O223" s="341">
        <v>20020.000000000011</v>
      </c>
      <c r="P223" s="343">
        <v>184124.03609600011</v>
      </c>
      <c r="Q223" s="344" t="s">
        <v>853</v>
      </c>
      <c r="R223" s="341">
        <v>80.080000000000041</v>
      </c>
      <c r="S223" s="341">
        <v>64.064000000000036</v>
      </c>
      <c r="T223" s="343"/>
      <c r="U223" s="376" t="s">
        <v>832</v>
      </c>
    </row>
    <row r="224" spans="1:21" ht="36">
      <c r="A224" s="362">
        <v>223</v>
      </c>
      <c r="B224" s="384" t="str">
        <f>UPPER((TEXT(Tabla3[[#This Row],[Fecha llegada]],"MMM")))</f>
        <v>JUN</v>
      </c>
      <c r="C224" s="384">
        <f>YEAR(Tabla3[[#This Row],[Fecha llegada]])</f>
        <v>2025</v>
      </c>
      <c r="D224" s="348"/>
      <c r="E224" s="342">
        <v>45818</v>
      </c>
      <c r="F224" s="342">
        <v>45819</v>
      </c>
      <c r="G224" s="341">
        <v>2</v>
      </c>
      <c r="H224" s="341">
        <v>2</v>
      </c>
      <c r="I224" s="343">
        <v>424340.50420168065</v>
      </c>
      <c r="J224" s="341">
        <v>14</v>
      </c>
      <c r="K224" s="343">
        <v>443789.7490196079</v>
      </c>
      <c r="L224" s="343">
        <v>868130.25322128856</v>
      </c>
      <c r="M224" s="341">
        <v>388.33</v>
      </c>
      <c r="N224" s="341">
        <v>257</v>
      </c>
      <c r="O224" s="341">
        <v>99800.81</v>
      </c>
      <c r="P224" s="343">
        <v>917868.52861388796</v>
      </c>
      <c r="Q224" s="344" t="s">
        <v>854</v>
      </c>
      <c r="R224" s="341">
        <v>702</v>
      </c>
      <c r="S224" s="341">
        <v>561.6</v>
      </c>
      <c r="T224" s="343"/>
      <c r="U224" s="376" t="s">
        <v>832</v>
      </c>
    </row>
    <row r="225" spans="1:21">
      <c r="A225" s="370">
        <v>224</v>
      </c>
      <c r="B225" s="384" t="str">
        <f>UPPER((TEXT(Tabla3[[#This Row],[Fecha llegada]],"MMM")))</f>
        <v>JUN</v>
      </c>
      <c r="C225" s="384">
        <f>YEAR(Tabla3[[#This Row],[Fecha llegada]])</f>
        <v>2025</v>
      </c>
      <c r="D225" s="348"/>
      <c r="E225" s="342">
        <v>45819</v>
      </c>
      <c r="F225" s="342">
        <v>45819</v>
      </c>
      <c r="G225" s="341">
        <v>1</v>
      </c>
      <c r="H225" s="341">
        <v>1</v>
      </c>
      <c r="I225" s="343">
        <v>106085.12605042016</v>
      </c>
      <c r="J225" s="341">
        <v>10</v>
      </c>
      <c r="K225" s="343">
        <v>351409.52380952379</v>
      </c>
      <c r="L225" s="343">
        <v>457494.64985994395</v>
      </c>
      <c r="M225" s="341">
        <v>250</v>
      </c>
      <c r="N225" s="341">
        <v>20.199999999999989</v>
      </c>
      <c r="O225" s="341">
        <v>5049.9999999999973</v>
      </c>
      <c r="P225" s="343">
        <v>46444.874239999976</v>
      </c>
      <c r="Q225" s="344" t="s">
        <v>855</v>
      </c>
      <c r="R225" s="341">
        <v>40.399999999999977</v>
      </c>
      <c r="S225" s="341">
        <v>32.319999999999986</v>
      </c>
      <c r="T225" s="343"/>
      <c r="U225" s="376" t="s">
        <v>832</v>
      </c>
    </row>
    <row r="226" spans="1:21">
      <c r="A226" s="362">
        <v>225</v>
      </c>
      <c r="B226" s="384" t="str">
        <f>UPPER((TEXT(Tabla3[[#This Row],[Fecha llegada]],"MMM")))</f>
        <v>JUN</v>
      </c>
      <c r="C226" s="384">
        <f>YEAR(Tabla3[[#This Row],[Fecha llegada]])</f>
        <v>2025</v>
      </c>
      <c r="D226" s="348"/>
      <c r="E226" s="342">
        <v>45822</v>
      </c>
      <c r="F226" s="342">
        <v>45822</v>
      </c>
      <c r="G226" s="341">
        <v>1</v>
      </c>
      <c r="H226" s="341">
        <v>1</v>
      </c>
      <c r="I226" s="343">
        <v>106085.12605042016</v>
      </c>
      <c r="J226" s="341">
        <v>10</v>
      </c>
      <c r="K226" s="343">
        <v>351409.52380952379</v>
      </c>
      <c r="L226" s="343">
        <v>457494.64985994395</v>
      </c>
      <c r="M226" s="341">
        <v>250</v>
      </c>
      <c r="N226" s="341">
        <v>18.47</v>
      </c>
      <c r="O226" s="341">
        <v>4617.5</v>
      </c>
      <c r="P226" s="343">
        <v>42467.169664000001</v>
      </c>
      <c r="Q226" s="344" t="s">
        <v>856</v>
      </c>
      <c r="R226" s="341">
        <v>36.94</v>
      </c>
      <c r="S226" s="341">
        <v>29.552</v>
      </c>
      <c r="T226" s="343"/>
      <c r="U226" s="376" t="s">
        <v>832</v>
      </c>
    </row>
    <row r="227" spans="1:21" ht="36">
      <c r="A227" s="370">
        <v>226</v>
      </c>
      <c r="B227" s="384" t="str">
        <f>UPPER((TEXT(Tabla3[[#This Row],[Fecha llegada]],"MMM")))</f>
        <v>JUN</v>
      </c>
      <c r="C227" s="384">
        <f>YEAR(Tabla3[[#This Row],[Fecha llegada]])</f>
        <v>2025</v>
      </c>
      <c r="D227" s="348"/>
      <c r="E227" s="342">
        <v>45822</v>
      </c>
      <c r="F227" s="342">
        <v>45823</v>
      </c>
      <c r="G227" s="341">
        <v>2</v>
      </c>
      <c r="H227" s="341">
        <v>2</v>
      </c>
      <c r="I227" s="343">
        <v>424340.50420168065</v>
      </c>
      <c r="J227" s="341">
        <v>14</v>
      </c>
      <c r="K227" s="343">
        <v>443789.7490196079</v>
      </c>
      <c r="L227" s="343">
        <v>868130.25322128856</v>
      </c>
      <c r="M227" s="341">
        <v>388.33</v>
      </c>
      <c r="N227" s="341">
        <v>257</v>
      </c>
      <c r="O227" s="341">
        <v>99800.81</v>
      </c>
      <c r="P227" s="343">
        <v>917868.52861388796</v>
      </c>
      <c r="Q227" s="344" t="s">
        <v>857</v>
      </c>
      <c r="R227" s="341">
        <v>702</v>
      </c>
      <c r="S227" s="341">
        <v>561.6</v>
      </c>
      <c r="T227" s="343"/>
      <c r="U227" s="376" t="s">
        <v>832</v>
      </c>
    </row>
    <row r="228" spans="1:21">
      <c r="A228" s="362">
        <v>227</v>
      </c>
      <c r="B228" s="384" t="str">
        <f>UPPER((TEXT(Tabla3[[#This Row],[Fecha llegada]],"MMM")))</f>
        <v>JUN</v>
      </c>
      <c r="C228" s="384">
        <f>YEAR(Tabla3[[#This Row],[Fecha llegada]])</f>
        <v>2025</v>
      </c>
      <c r="D228" s="348"/>
      <c r="E228" s="342">
        <v>45823</v>
      </c>
      <c r="F228" s="342">
        <v>45823</v>
      </c>
      <c r="G228" s="341">
        <v>1</v>
      </c>
      <c r="H228" s="341">
        <v>1</v>
      </c>
      <c r="I228" s="343">
        <v>106085.12605042016</v>
      </c>
      <c r="J228" s="341">
        <v>10</v>
      </c>
      <c r="K228" s="343">
        <v>351409.52380952379</v>
      </c>
      <c r="L228" s="343">
        <v>457494.64985994395</v>
      </c>
      <c r="M228" s="341">
        <v>500</v>
      </c>
      <c r="N228" s="341">
        <v>41.45999999999998</v>
      </c>
      <c r="O228" s="341">
        <v>20729.999999999989</v>
      </c>
      <c r="P228" s="343">
        <v>190653.90950399989</v>
      </c>
      <c r="Q228" s="344" t="s">
        <v>858</v>
      </c>
      <c r="R228" s="341">
        <v>82.919999999999959</v>
      </c>
      <c r="S228" s="341">
        <v>66.33599999999997</v>
      </c>
      <c r="T228" s="343"/>
      <c r="U228" s="376" t="s">
        <v>832</v>
      </c>
    </row>
    <row r="229" spans="1:21">
      <c r="A229" s="370">
        <v>228</v>
      </c>
      <c r="B229" s="384" t="str">
        <f>UPPER((TEXT(Tabla3[[#This Row],[Fecha llegada]],"MMM")))</f>
        <v>JUN</v>
      </c>
      <c r="C229" s="384">
        <f>YEAR(Tabla3[[#This Row],[Fecha llegada]])</f>
        <v>2025</v>
      </c>
      <c r="D229" s="348"/>
      <c r="E229" s="342">
        <v>45825</v>
      </c>
      <c r="F229" s="342">
        <v>45825</v>
      </c>
      <c r="G229" s="341">
        <v>1</v>
      </c>
      <c r="H229" s="341">
        <v>1</v>
      </c>
      <c r="I229" s="343">
        <v>106085.12605042016</v>
      </c>
      <c r="J229" s="341">
        <v>7</v>
      </c>
      <c r="K229" s="343">
        <v>245986.66666666669</v>
      </c>
      <c r="L229" s="343">
        <v>352071.79271708685</v>
      </c>
      <c r="M229" s="341">
        <v>350</v>
      </c>
      <c r="N229" s="341">
        <v>41.660000000000025</v>
      </c>
      <c r="O229" s="341">
        <v>14581.000000000009</v>
      </c>
      <c r="P229" s="343">
        <v>134101.52698880009</v>
      </c>
      <c r="Q229" s="344" t="s">
        <v>859</v>
      </c>
      <c r="R229" s="341">
        <v>83.32000000000005</v>
      </c>
      <c r="S229" s="341">
        <v>66.656000000000049</v>
      </c>
      <c r="T229" s="343"/>
      <c r="U229" s="376" t="s">
        <v>832</v>
      </c>
    </row>
    <row r="230" spans="1:21" ht="36">
      <c r="A230" s="362">
        <v>229</v>
      </c>
      <c r="B230" s="384" t="str">
        <f>UPPER((TEXT(Tabla3[[#This Row],[Fecha llegada]],"MMM")))</f>
        <v>JUN</v>
      </c>
      <c r="C230" s="384">
        <f>YEAR(Tabla3[[#This Row],[Fecha llegada]])</f>
        <v>2025</v>
      </c>
      <c r="D230" s="348"/>
      <c r="E230" s="342">
        <v>45825</v>
      </c>
      <c r="F230" s="342">
        <v>45826</v>
      </c>
      <c r="G230" s="341">
        <v>2</v>
      </c>
      <c r="H230" s="341">
        <v>1</v>
      </c>
      <c r="I230" s="343">
        <v>212170.25210084033</v>
      </c>
      <c r="J230" s="341">
        <v>14</v>
      </c>
      <c r="K230" s="343">
        <v>443789.7490196079</v>
      </c>
      <c r="L230" s="343">
        <v>655960.00112044823</v>
      </c>
      <c r="M230" s="341">
        <v>388.33</v>
      </c>
      <c r="N230" s="341">
        <v>257</v>
      </c>
      <c r="O230" s="341">
        <v>99800.81</v>
      </c>
      <c r="P230" s="343">
        <v>917868.52861388796</v>
      </c>
      <c r="Q230" s="344" t="s">
        <v>860</v>
      </c>
      <c r="R230" s="341">
        <v>702</v>
      </c>
      <c r="S230" s="341">
        <v>561.6</v>
      </c>
      <c r="T230" s="343"/>
      <c r="U230" s="376" t="s">
        <v>832</v>
      </c>
    </row>
    <row r="231" spans="1:21">
      <c r="A231" s="370">
        <v>230</v>
      </c>
      <c r="B231" s="384" t="str">
        <f>UPPER((TEXT(Tabla3[[#This Row],[Fecha llegada]],"MMM")))</f>
        <v>JUN</v>
      </c>
      <c r="C231" s="384">
        <f>YEAR(Tabla3[[#This Row],[Fecha llegada]])</f>
        <v>2025</v>
      </c>
      <c r="D231" s="348"/>
      <c r="E231" s="342">
        <v>45828</v>
      </c>
      <c r="F231" s="342">
        <v>45828</v>
      </c>
      <c r="G231" s="341">
        <v>1</v>
      </c>
      <c r="H231" s="341">
        <v>1</v>
      </c>
      <c r="I231" s="343">
        <v>106085.12605042016</v>
      </c>
      <c r="J231" s="341">
        <v>7</v>
      </c>
      <c r="K231" s="343">
        <v>245986.66666666669</v>
      </c>
      <c r="L231" s="343">
        <v>352071.79271708685</v>
      </c>
      <c r="M231" s="341">
        <v>350</v>
      </c>
      <c r="N231" s="341">
        <v>42.084000000000003</v>
      </c>
      <c r="O231" s="341">
        <v>14729.400000000001</v>
      </c>
      <c r="P231" s="343">
        <v>135466.36250112002</v>
      </c>
      <c r="Q231" s="344" t="s">
        <v>861</v>
      </c>
      <c r="R231" s="341">
        <v>84.168000000000006</v>
      </c>
      <c r="S231" s="341">
        <v>67.334400000000002</v>
      </c>
      <c r="T231" s="343"/>
      <c r="U231" s="376" t="s">
        <v>832</v>
      </c>
    </row>
    <row r="232" spans="1:21" ht="36">
      <c r="A232" s="362">
        <v>231</v>
      </c>
      <c r="B232" s="384" t="str">
        <f>UPPER((TEXT(Tabla3[[#This Row],[Fecha llegada]],"MMM")))</f>
        <v>JUN</v>
      </c>
      <c r="C232" s="384">
        <f>YEAR(Tabla3[[#This Row],[Fecha llegada]])</f>
        <v>2025</v>
      </c>
      <c r="D232" s="348"/>
      <c r="E232" s="342">
        <v>45828</v>
      </c>
      <c r="F232" s="342">
        <v>45829</v>
      </c>
      <c r="G232" s="341">
        <v>2</v>
      </c>
      <c r="H232" s="341">
        <v>1</v>
      </c>
      <c r="I232" s="343">
        <v>212170.25210084033</v>
      </c>
      <c r="J232" s="341">
        <v>14</v>
      </c>
      <c r="K232" s="343">
        <v>443789.7490196079</v>
      </c>
      <c r="L232" s="343">
        <v>655960.00112044823</v>
      </c>
      <c r="M232" s="341">
        <v>387.1</v>
      </c>
      <c r="N232" s="341">
        <v>257</v>
      </c>
      <c r="O232" s="341">
        <v>99484.700000000012</v>
      </c>
      <c r="P232" s="343">
        <v>914961.26342656009</v>
      </c>
      <c r="Q232" s="344" t="s">
        <v>862</v>
      </c>
      <c r="R232" s="341">
        <v>702</v>
      </c>
      <c r="S232" s="341">
        <v>561.6</v>
      </c>
      <c r="T232" s="343"/>
      <c r="U232" s="376" t="s">
        <v>832</v>
      </c>
    </row>
    <row r="233" spans="1:21">
      <c r="A233" s="370">
        <v>232</v>
      </c>
      <c r="B233" s="384" t="str">
        <f>UPPER((TEXT(Tabla3[[#This Row],[Fecha llegada]],"MMM")))</f>
        <v>JUN</v>
      </c>
      <c r="C233" s="384">
        <f>YEAR(Tabla3[[#This Row],[Fecha llegada]])</f>
        <v>2025</v>
      </c>
      <c r="D233" s="348"/>
      <c r="E233" s="342">
        <v>45833</v>
      </c>
      <c r="F233" s="342">
        <v>45833</v>
      </c>
      <c r="G233" s="341">
        <v>1</v>
      </c>
      <c r="H233" s="341">
        <v>1</v>
      </c>
      <c r="I233" s="343">
        <v>106085.12605042016</v>
      </c>
      <c r="J233" s="341">
        <v>7</v>
      </c>
      <c r="K233" s="343">
        <v>245986.66666666669</v>
      </c>
      <c r="L233" s="343">
        <v>352071.79271708685</v>
      </c>
      <c r="M233" s="341">
        <v>350</v>
      </c>
      <c r="N233" s="341">
        <v>42.54000000000002</v>
      </c>
      <c r="O233" s="341">
        <v>14889.000000000007</v>
      </c>
      <c r="P233" s="343">
        <v>136934.20446720006</v>
      </c>
      <c r="Q233" s="344" t="s">
        <v>863</v>
      </c>
      <c r="R233" s="341">
        <v>85.080000000000041</v>
      </c>
      <c r="S233" s="341">
        <v>68.064000000000036</v>
      </c>
      <c r="T233" s="343"/>
      <c r="U233" s="376" t="s">
        <v>832</v>
      </c>
    </row>
    <row r="234" spans="1:21">
      <c r="A234" s="362">
        <v>233</v>
      </c>
      <c r="B234" s="384" t="str">
        <f>UPPER((TEXT(Tabla3[[#This Row],[Fecha llegada]],"MMM")))</f>
        <v>JUN</v>
      </c>
      <c r="C234" s="384">
        <f>YEAR(Tabla3[[#This Row],[Fecha llegada]])</f>
        <v>2025</v>
      </c>
      <c r="D234" s="348"/>
      <c r="E234" s="342">
        <v>45803</v>
      </c>
      <c r="F234" s="342">
        <v>45834</v>
      </c>
      <c r="G234" s="341">
        <v>1</v>
      </c>
      <c r="H234" s="341">
        <v>1</v>
      </c>
      <c r="I234" s="343">
        <v>106085.12605042016</v>
      </c>
      <c r="J234" s="341">
        <v>7</v>
      </c>
      <c r="K234" s="343">
        <v>245986.66666666669</v>
      </c>
      <c r="L234" s="343">
        <v>352071.79271708685</v>
      </c>
      <c r="M234" s="341">
        <v>175</v>
      </c>
      <c r="N234" s="341">
        <v>21.430000000000007</v>
      </c>
      <c r="O234" s="341">
        <v>3750.2500000000014</v>
      </c>
      <c r="P234" s="343">
        <v>34491.067251200016</v>
      </c>
      <c r="Q234" s="344" t="s">
        <v>864</v>
      </c>
      <c r="R234" s="341">
        <v>42.860000000000014</v>
      </c>
      <c r="S234" s="341">
        <v>34.288000000000011</v>
      </c>
      <c r="T234" s="343"/>
      <c r="U234" s="376" t="s">
        <v>832</v>
      </c>
    </row>
    <row r="235" spans="1:21">
      <c r="A235" s="370">
        <v>234</v>
      </c>
      <c r="B235" s="384" t="str">
        <f>UPPER((TEXT(Tabla3[[#This Row],[Fecha llegada]],"MMM")))</f>
        <v>JUN</v>
      </c>
      <c r="C235" s="384">
        <f>YEAR(Tabla3[[#This Row],[Fecha llegada]])</f>
        <v>2025</v>
      </c>
      <c r="D235" s="348"/>
      <c r="E235" s="342">
        <v>45835</v>
      </c>
      <c r="F235" s="342">
        <v>45835</v>
      </c>
      <c r="G235" s="341">
        <v>1</v>
      </c>
      <c r="H235" s="341">
        <v>1</v>
      </c>
      <c r="I235" s="343">
        <v>106085.12605042016</v>
      </c>
      <c r="J235" s="341">
        <v>7</v>
      </c>
      <c r="K235" s="343">
        <v>245986.66666666669</v>
      </c>
      <c r="L235" s="343">
        <v>352071.79271708685</v>
      </c>
      <c r="M235" s="341">
        <v>350</v>
      </c>
      <c r="N235" s="341">
        <v>45.199999999999989</v>
      </c>
      <c r="O235" s="341">
        <v>15819.999999999996</v>
      </c>
      <c r="P235" s="343">
        <v>145496.61593599996</v>
      </c>
      <c r="Q235" s="344" t="s">
        <v>865</v>
      </c>
      <c r="R235" s="341">
        <v>90.399999999999977</v>
      </c>
      <c r="S235" s="341">
        <v>72.319999999999979</v>
      </c>
      <c r="T235" s="343"/>
      <c r="U235" s="376" t="s">
        <v>832</v>
      </c>
    </row>
    <row r="236" spans="1:21">
      <c r="A236" s="362">
        <v>235</v>
      </c>
      <c r="B236" s="385" t="str">
        <f>UPPER((TEXT(Tabla3[[#This Row],[Fecha llegada]],"MMM")))</f>
        <v>JUN</v>
      </c>
      <c r="C236" s="385">
        <f>YEAR(Tabla3[[#This Row],[Fecha llegada]])</f>
        <v>2025</v>
      </c>
      <c r="D236" s="371"/>
      <c r="E236" s="372">
        <v>45836</v>
      </c>
      <c r="F236" s="372">
        <v>45836</v>
      </c>
      <c r="G236" s="373">
        <v>1</v>
      </c>
      <c r="H236" s="373">
        <v>1</v>
      </c>
      <c r="I236" s="374">
        <v>106085.12605042016</v>
      </c>
      <c r="J236" s="373">
        <v>7</v>
      </c>
      <c r="K236" s="374">
        <v>245986.66666666669</v>
      </c>
      <c r="L236" s="374">
        <v>352071.79271708685</v>
      </c>
      <c r="M236" s="373">
        <v>350</v>
      </c>
      <c r="N236" s="373">
        <v>44.220000000000027</v>
      </c>
      <c r="O236" s="373">
        <v>15477.000000000009</v>
      </c>
      <c r="P236" s="374">
        <v>142342.04328960009</v>
      </c>
      <c r="Q236" s="375" t="s">
        <v>866</v>
      </c>
      <c r="R236" s="373">
        <v>88.440000000000055</v>
      </c>
      <c r="S236" s="373">
        <v>70.752000000000052</v>
      </c>
      <c r="T236" s="374"/>
      <c r="U236" s="376" t="s">
        <v>832</v>
      </c>
    </row>
    <row r="237" spans="1:21">
      <c r="A237" s="370">
        <v>236</v>
      </c>
      <c r="B237" s="384" t="str">
        <f>UPPER((TEXT(Tabla3[[#This Row],[Fecha llegada]],"MMM")))</f>
        <v>JUL</v>
      </c>
      <c r="C237" s="384">
        <f>YEAR(Tabla3[[#This Row],[Fecha llegada]])</f>
        <v>2025</v>
      </c>
      <c r="D237" s="348"/>
      <c r="E237" s="342">
        <v>45839</v>
      </c>
      <c r="F237" s="342">
        <v>45839</v>
      </c>
      <c r="G237" s="341">
        <v>1</v>
      </c>
      <c r="H237" s="341">
        <v>1</v>
      </c>
      <c r="I237" s="343">
        <v>106085.12605042016</v>
      </c>
      <c r="J237" s="341">
        <v>7</v>
      </c>
      <c r="K237" s="343">
        <v>245986.66666666669</v>
      </c>
      <c r="L237" s="343">
        <v>352071.79271708685</v>
      </c>
      <c r="M237" s="341">
        <v>175</v>
      </c>
      <c r="N237" s="341">
        <v>16.240000000000009</v>
      </c>
      <c r="O237" s="341">
        <v>2842.0000000000018</v>
      </c>
      <c r="P237" s="343">
        <v>26137.887641600017</v>
      </c>
      <c r="Q237" s="344" t="s">
        <v>873</v>
      </c>
      <c r="R237" s="341">
        <v>32.480000000000018</v>
      </c>
      <c r="S237" s="341">
        <v>25.984000000000016</v>
      </c>
      <c r="T237" s="343">
        <v>264283.26400000014</v>
      </c>
      <c r="U237" s="376" t="s">
        <v>869</v>
      </c>
    </row>
    <row r="238" spans="1:21">
      <c r="A238" s="362">
        <v>237</v>
      </c>
      <c r="B238" s="384" t="str">
        <f>UPPER((TEXT(Tabla3[[#This Row],[Fecha llegada]],"MMM")))</f>
        <v>JUL</v>
      </c>
      <c r="C238" s="384">
        <f>YEAR(Tabla3[[#This Row],[Fecha llegada]])</f>
        <v>2025</v>
      </c>
      <c r="D238" s="348"/>
      <c r="E238" s="342">
        <v>45840</v>
      </c>
      <c r="F238" s="342">
        <v>45840</v>
      </c>
      <c r="G238" s="341">
        <v>1</v>
      </c>
      <c r="H238" s="341">
        <v>1</v>
      </c>
      <c r="I238" s="343">
        <v>106085.12605042016</v>
      </c>
      <c r="J238" s="341">
        <v>7</v>
      </c>
      <c r="K238" s="343">
        <v>245986.66666666669</v>
      </c>
      <c r="L238" s="343">
        <v>352071.79271708685</v>
      </c>
      <c r="M238" s="341">
        <v>175</v>
      </c>
      <c r="N238" s="341">
        <v>16.996000000000009</v>
      </c>
      <c r="O238" s="341">
        <v>2974.3000000000015</v>
      </c>
      <c r="P238" s="343">
        <v>27354.651376640013</v>
      </c>
      <c r="Q238" s="344" t="s">
        <v>874</v>
      </c>
      <c r="R238" s="341">
        <v>33.992000000000019</v>
      </c>
      <c r="S238" s="341">
        <v>27.193600000000018</v>
      </c>
      <c r="T238" s="343">
        <v>276586.10560000018</v>
      </c>
      <c r="U238" s="376" t="s">
        <v>869</v>
      </c>
    </row>
    <row r="239" spans="1:21">
      <c r="A239" s="370">
        <v>238</v>
      </c>
      <c r="B239" s="384" t="str">
        <f>UPPER((TEXT(Tabla3[[#This Row],[Fecha llegada]],"MMM")))</f>
        <v>JUL</v>
      </c>
      <c r="C239" s="384">
        <f>YEAR(Tabla3[[#This Row],[Fecha llegada]])</f>
        <v>2025</v>
      </c>
      <c r="D239" s="348"/>
      <c r="E239" s="342">
        <v>45841</v>
      </c>
      <c r="F239" s="342">
        <v>45841</v>
      </c>
      <c r="G239" s="341">
        <v>1</v>
      </c>
      <c r="H239" s="341">
        <v>1</v>
      </c>
      <c r="I239" s="343">
        <v>106085.12605042016</v>
      </c>
      <c r="J239" s="341">
        <v>7</v>
      </c>
      <c r="K239" s="343">
        <v>245986.66666666669</v>
      </c>
      <c r="L239" s="343">
        <v>352071.79271708685</v>
      </c>
      <c r="M239" s="341">
        <v>175</v>
      </c>
      <c r="N239" s="341">
        <v>22.854000000000013</v>
      </c>
      <c r="O239" s="341">
        <v>3999.4500000000025</v>
      </c>
      <c r="P239" s="343">
        <v>36782.960847360024</v>
      </c>
      <c r="Q239" s="344" t="s">
        <v>875</v>
      </c>
      <c r="R239" s="341">
        <v>45.708000000000027</v>
      </c>
      <c r="S239" s="341">
        <v>36.566400000000023</v>
      </c>
      <c r="T239" s="343">
        <v>371916.85440000024</v>
      </c>
      <c r="U239" s="376" t="s">
        <v>869</v>
      </c>
    </row>
    <row r="240" spans="1:21">
      <c r="A240" s="362">
        <v>239</v>
      </c>
      <c r="B240" s="384" t="str">
        <f>UPPER((TEXT(Tabla3[[#This Row],[Fecha llegada]],"MMM")))</f>
        <v>JUL</v>
      </c>
      <c r="C240" s="384">
        <f>YEAR(Tabla3[[#This Row],[Fecha llegada]])</f>
        <v>2025</v>
      </c>
      <c r="D240" s="348"/>
      <c r="E240" s="342">
        <v>45841</v>
      </c>
      <c r="F240" s="342">
        <v>45841</v>
      </c>
      <c r="G240" s="341"/>
      <c r="H240" s="341"/>
      <c r="I240" s="343"/>
      <c r="J240" s="341"/>
      <c r="K240" s="343"/>
      <c r="L240" s="343"/>
      <c r="M240" s="341">
        <v>175</v>
      </c>
      <c r="N240" s="341">
        <v>16.240000000000009</v>
      </c>
      <c r="O240" s="341">
        <v>2842.0000000000018</v>
      </c>
      <c r="P240" s="343">
        <v>26137.887641600017</v>
      </c>
      <c r="Q240" s="344"/>
      <c r="R240" s="341">
        <v>32.480000000000018</v>
      </c>
      <c r="S240" s="341">
        <v>25.984000000000016</v>
      </c>
      <c r="T240" s="343">
        <v>264283.26400000014</v>
      </c>
      <c r="U240" s="376" t="s">
        <v>869</v>
      </c>
    </row>
    <row r="241" spans="1:21" ht="24">
      <c r="A241" s="370">
        <v>240</v>
      </c>
      <c r="B241" s="384" t="str">
        <f>UPPER((TEXT(Tabla3[[#This Row],[Fecha llegada]],"MMM")))</f>
        <v>JUL</v>
      </c>
      <c r="C241" s="384">
        <f>YEAR(Tabla3[[#This Row],[Fecha llegada]])</f>
        <v>2025</v>
      </c>
      <c r="D241" s="348"/>
      <c r="E241" s="342">
        <v>45841</v>
      </c>
      <c r="F241" s="342">
        <v>45842</v>
      </c>
      <c r="G241" s="341">
        <v>2</v>
      </c>
      <c r="H241" s="341">
        <v>1</v>
      </c>
      <c r="I241" s="343">
        <v>212170.25210084033</v>
      </c>
      <c r="J241" s="341">
        <v>14</v>
      </c>
      <c r="K241" s="343">
        <v>443789.7490196079</v>
      </c>
      <c r="L241" s="343">
        <v>655960.00112044823</v>
      </c>
      <c r="M241" s="341">
        <v>388.33</v>
      </c>
      <c r="N241" s="341">
        <v>257</v>
      </c>
      <c r="O241" s="341">
        <v>99800.81</v>
      </c>
      <c r="P241" s="343">
        <v>917868.52861388796</v>
      </c>
      <c r="Q241" s="344" t="s">
        <v>876</v>
      </c>
      <c r="R241" s="341">
        <v>702</v>
      </c>
      <c r="S241" s="341">
        <v>561.6</v>
      </c>
      <c r="T241" s="343">
        <v>5712033.6000000006</v>
      </c>
      <c r="U241" s="376" t="s">
        <v>869</v>
      </c>
    </row>
    <row r="242" spans="1:21">
      <c r="A242" s="362">
        <v>241</v>
      </c>
      <c r="B242" s="384" t="str">
        <f>UPPER((TEXT(Tabla3[[#This Row],[Fecha llegada]],"MMM")))</f>
        <v>JUL</v>
      </c>
      <c r="C242" s="384">
        <f>YEAR(Tabla3[[#This Row],[Fecha llegada]])</f>
        <v>2025</v>
      </c>
      <c r="D242" s="348"/>
      <c r="E242" s="342">
        <v>45845</v>
      </c>
      <c r="F242" s="342">
        <v>45845</v>
      </c>
      <c r="G242" s="341">
        <v>1</v>
      </c>
      <c r="H242" s="341">
        <v>1</v>
      </c>
      <c r="I242" s="343">
        <v>106085.12605042016</v>
      </c>
      <c r="J242" s="341">
        <v>7</v>
      </c>
      <c r="K242" s="343">
        <v>245986.66666666669</v>
      </c>
      <c r="L242" s="343">
        <v>352071.79271708685</v>
      </c>
      <c r="M242" s="341">
        <v>175</v>
      </c>
      <c r="N242" s="341">
        <v>17.240000000000009</v>
      </c>
      <c r="O242" s="341">
        <v>3017.0000000000018</v>
      </c>
      <c r="P242" s="343">
        <v>27747.363481600016</v>
      </c>
      <c r="Q242" s="344" t="s">
        <v>877</v>
      </c>
      <c r="R242" s="341">
        <v>34.480000000000018</v>
      </c>
      <c r="S242" s="341">
        <v>27.584000000000017</v>
      </c>
      <c r="T242" s="343">
        <v>280556.86400000018</v>
      </c>
      <c r="U242" s="376" t="s">
        <v>869</v>
      </c>
    </row>
    <row r="243" spans="1:21">
      <c r="A243" s="370">
        <v>242</v>
      </c>
      <c r="B243" s="384" t="str">
        <f>UPPER((TEXT(Tabla3[[#This Row],[Fecha llegada]],"MMM")))</f>
        <v>JUL</v>
      </c>
      <c r="C243" s="384">
        <f>YEAR(Tabla3[[#This Row],[Fecha llegada]])</f>
        <v>2025</v>
      </c>
      <c r="D243" s="348"/>
      <c r="E243" s="342">
        <v>45845</v>
      </c>
      <c r="F243" s="342">
        <v>45845</v>
      </c>
      <c r="G243" s="341"/>
      <c r="H243" s="341"/>
      <c r="I243" s="343"/>
      <c r="J243" s="341"/>
      <c r="K243" s="343"/>
      <c r="L243" s="343"/>
      <c r="M243" s="341">
        <v>175</v>
      </c>
      <c r="N243" s="341">
        <v>17.379999999999995</v>
      </c>
      <c r="O243" s="341">
        <v>3041.4999999999991</v>
      </c>
      <c r="P243" s="343">
        <v>27972.690099199994</v>
      </c>
      <c r="Q243" s="344"/>
      <c r="R243" s="341">
        <v>34.759999999999991</v>
      </c>
      <c r="S243" s="341">
        <v>27.807999999999993</v>
      </c>
      <c r="T243" s="343">
        <v>282835.16799999995</v>
      </c>
      <c r="U243" s="376" t="s">
        <v>869</v>
      </c>
    </row>
    <row r="244" spans="1:21" ht="24">
      <c r="A244" s="362">
        <v>243</v>
      </c>
      <c r="B244" s="384" t="str">
        <f>UPPER((TEXT(Tabla3[[#This Row],[Fecha llegada]],"MMM")))</f>
        <v>JUL</v>
      </c>
      <c r="C244" s="384">
        <f>YEAR(Tabla3[[#This Row],[Fecha llegada]])</f>
        <v>2025</v>
      </c>
      <c r="D244" s="348"/>
      <c r="E244" s="342">
        <v>45845</v>
      </c>
      <c r="F244" s="342">
        <v>45847</v>
      </c>
      <c r="G244" s="341">
        <v>2</v>
      </c>
      <c r="H244" s="341">
        <v>1</v>
      </c>
      <c r="I244" s="343">
        <v>212170.25210084033</v>
      </c>
      <c r="J244" s="341">
        <v>14</v>
      </c>
      <c r="K244" s="343">
        <v>443789.7490196079</v>
      </c>
      <c r="L244" s="343">
        <v>655960.00112044823</v>
      </c>
      <c r="M244" s="341">
        <v>389.55</v>
      </c>
      <c r="N244" s="341">
        <v>257</v>
      </c>
      <c r="O244" s="341">
        <v>100114.35</v>
      </c>
      <c r="P244" s="343">
        <v>920752.15749888006</v>
      </c>
      <c r="Q244" s="344" t="s">
        <v>878</v>
      </c>
      <c r="R244" s="341">
        <v>702</v>
      </c>
      <c r="S244" s="341">
        <v>561.6</v>
      </c>
      <c r="T244" s="343">
        <v>5712033.6000000006</v>
      </c>
      <c r="U244" s="376" t="s">
        <v>869</v>
      </c>
    </row>
    <row r="245" spans="1:21">
      <c r="A245" s="370">
        <v>244</v>
      </c>
      <c r="B245" s="384" t="str">
        <f>UPPER((TEXT(Tabla3[[#This Row],[Fecha llegada]],"MMM")))</f>
        <v>JUL</v>
      </c>
      <c r="C245" s="384">
        <f>YEAR(Tabla3[[#This Row],[Fecha llegada]])</f>
        <v>2025</v>
      </c>
      <c r="D245" s="348"/>
      <c r="E245" s="342">
        <v>45849</v>
      </c>
      <c r="F245" s="342">
        <v>45849</v>
      </c>
      <c r="G245" s="341">
        <v>1</v>
      </c>
      <c r="H245" s="341">
        <v>1</v>
      </c>
      <c r="I245" s="343">
        <v>106085.12605042016</v>
      </c>
      <c r="J245" s="341">
        <v>7</v>
      </c>
      <c r="K245" s="343">
        <v>245986.66666666669</v>
      </c>
      <c r="L245" s="343">
        <v>352071.79271708685</v>
      </c>
      <c r="M245" s="341">
        <v>175</v>
      </c>
      <c r="N245" s="341">
        <v>16.096000000000004</v>
      </c>
      <c r="O245" s="341">
        <v>2816.8000000000006</v>
      </c>
      <c r="P245" s="343">
        <v>25906.123120640008</v>
      </c>
      <c r="Q245" s="344" t="s">
        <v>879</v>
      </c>
      <c r="R245" s="341">
        <v>32.192000000000007</v>
      </c>
      <c r="S245" s="341">
        <v>25.753600000000006</v>
      </c>
      <c r="T245" s="343">
        <v>261939.86560000005</v>
      </c>
      <c r="U245" s="376" t="s">
        <v>869</v>
      </c>
    </row>
    <row r="246" spans="1:21" ht="24">
      <c r="A246" s="362">
        <v>245</v>
      </c>
      <c r="B246" s="384" t="str">
        <f>UPPER((TEXT(Tabla3[[#This Row],[Fecha llegada]],"MMM")))</f>
        <v>JUL</v>
      </c>
      <c r="C246" s="384">
        <f>YEAR(Tabla3[[#This Row],[Fecha llegada]])</f>
        <v>2025</v>
      </c>
      <c r="D246" s="348"/>
      <c r="E246" s="342">
        <v>45849</v>
      </c>
      <c r="F246" s="342">
        <v>45850</v>
      </c>
      <c r="G246" s="341">
        <v>2</v>
      </c>
      <c r="H246" s="341">
        <v>1</v>
      </c>
      <c r="I246" s="343">
        <v>212170.25210084033</v>
      </c>
      <c r="J246" s="341">
        <v>14</v>
      </c>
      <c r="K246" s="343">
        <v>443789.7490196079</v>
      </c>
      <c r="L246" s="343">
        <v>655960.00112044823</v>
      </c>
      <c r="M246" s="341">
        <v>388.33</v>
      </c>
      <c r="N246" s="341">
        <v>257</v>
      </c>
      <c r="O246" s="341">
        <v>99800.81</v>
      </c>
      <c r="P246" s="343">
        <v>917868.52861388796</v>
      </c>
      <c r="Q246" s="344" t="s">
        <v>880</v>
      </c>
      <c r="R246" s="341">
        <v>702</v>
      </c>
      <c r="S246" s="341">
        <v>561.6</v>
      </c>
      <c r="T246" s="343">
        <v>5712033.6000000006</v>
      </c>
      <c r="U246" s="376" t="s">
        <v>869</v>
      </c>
    </row>
    <row r="247" spans="1:21">
      <c r="A247" s="370">
        <v>246</v>
      </c>
      <c r="B247" s="384" t="str">
        <f>UPPER((TEXT(Tabla3[[#This Row],[Fecha llegada]],"MMM")))</f>
        <v>JUL</v>
      </c>
      <c r="C247" s="384">
        <f>YEAR(Tabla3[[#This Row],[Fecha llegada]])</f>
        <v>2025</v>
      </c>
      <c r="D247" s="348"/>
      <c r="E247" s="342">
        <v>45851</v>
      </c>
      <c r="F247" s="342">
        <v>45851</v>
      </c>
      <c r="G247" s="341">
        <v>1</v>
      </c>
      <c r="H247" s="341">
        <v>1</v>
      </c>
      <c r="I247" s="343">
        <v>106085.12605042016</v>
      </c>
      <c r="J247" s="341">
        <v>7</v>
      </c>
      <c r="K247" s="343">
        <v>245986.66666666669</v>
      </c>
      <c r="L247" s="343">
        <v>352071.79271708685</v>
      </c>
      <c r="M247" s="341">
        <v>175</v>
      </c>
      <c r="N247" s="341">
        <v>16.084000000000003</v>
      </c>
      <c r="O247" s="341">
        <v>2814.7000000000007</v>
      </c>
      <c r="P247" s="343">
        <v>25886.809410560007</v>
      </c>
      <c r="Q247" s="344" t="s">
        <v>881</v>
      </c>
      <c r="R247" s="341">
        <v>32.168000000000006</v>
      </c>
      <c r="S247" s="341">
        <v>25.734400000000008</v>
      </c>
      <c r="T247" s="343">
        <v>261744.58240000007</v>
      </c>
      <c r="U247" s="376" t="s">
        <v>869</v>
      </c>
    </row>
    <row r="248" spans="1:21" ht="24">
      <c r="A248" s="362">
        <v>247</v>
      </c>
      <c r="B248" s="384" t="str">
        <f>UPPER((TEXT(Tabla3[[#This Row],[Fecha llegada]],"MMM")))</f>
        <v>JUL</v>
      </c>
      <c r="C248" s="384">
        <f>YEAR(Tabla3[[#This Row],[Fecha llegada]])</f>
        <v>2025</v>
      </c>
      <c r="D248" s="348"/>
      <c r="E248" s="342">
        <v>45851</v>
      </c>
      <c r="F248" s="342">
        <v>45852</v>
      </c>
      <c r="G248" s="341">
        <v>2</v>
      </c>
      <c r="H248" s="341">
        <v>1</v>
      </c>
      <c r="I248" s="343">
        <v>212170.25210084033</v>
      </c>
      <c r="J248" s="341">
        <v>14</v>
      </c>
      <c r="K248" s="343">
        <v>443789.7490196079</v>
      </c>
      <c r="L248" s="343">
        <v>655960.00112044823</v>
      </c>
      <c r="M248" s="341">
        <v>388.33</v>
      </c>
      <c r="N248" s="341">
        <v>257</v>
      </c>
      <c r="O248" s="341">
        <v>99800.81</v>
      </c>
      <c r="P248" s="343">
        <v>917868.52861388796</v>
      </c>
      <c r="Q248" s="344" t="s">
        <v>882</v>
      </c>
      <c r="R248" s="341">
        <v>702</v>
      </c>
      <c r="S248" s="341">
        <v>561.6</v>
      </c>
      <c r="T248" s="343">
        <v>5712033.6000000006</v>
      </c>
      <c r="U248" s="376" t="s">
        <v>869</v>
      </c>
    </row>
    <row r="249" spans="1:21">
      <c r="A249" s="370">
        <v>248</v>
      </c>
      <c r="B249" s="384" t="str">
        <f>UPPER((TEXT(Tabla3[[#This Row],[Fecha llegada]],"MMM")))</f>
        <v>JUL</v>
      </c>
      <c r="C249" s="384">
        <f>YEAR(Tabla3[[#This Row],[Fecha llegada]])</f>
        <v>2025</v>
      </c>
      <c r="D249" s="348"/>
      <c r="E249" s="342">
        <v>45853</v>
      </c>
      <c r="F249" s="342">
        <v>45853</v>
      </c>
      <c r="G249" s="341">
        <v>1</v>
      </c>
      <c r="H249" s="341">
        <v>1</v>
      </c>
      <c r="I249" s="343">
        <v>106085.12605042016</v>
      </c>
      <c r="J249" s="341">
        <v>7</v>
      </c>
      <c r="K249" s="343">
        <v>245986.66666666669</v>
      </c>
      <c r="L249" s="343">
        <v>352071.79271708685</v>
      </c>
      <c r="M249" s="341">
        <v>175</v>
      </c>
      <c r="N249" s="341">
        <v>14.789999999999992</v>
      </c>
      <c r="O249" s="341">
        <v>2588.2499999999986</v>
      </c>
      <c r="P249" s="343">
        <v>23804.14767359999</v>
      </c>
      <c r="Q249" s="344" t="s">
        <v>883</v>
      </c>
      <c r="R249" s="341">
        <v>29.579999999999984</v>
      </c>
      <c r="S249" s="341">
        <v>23.663999999999987</v>
      </c>
      <c r="T249" s="343">
        <v>240686.54399999988</v>
      </c>
      <c r="U249" s="376" t="s">
        <v>869</v>
      </c>
    </row>
    <row r="250" spans="1:21" ht="24">
      <c r="A250" s="362">
        <v>249</v>
      </c>
      <c r="B250" s="384" t="str">
        <f>UPPER((TEXT(Tabla3[[#This Row],[Fecha llegada]],"MMM")))</f>
        <v>JUL</v>
      </c>
      <c r="C250" s="384">
        <f>YEAR(Tabla3[[#This Row],[Fecha llegada]])</f>
        <v>2025</v>
      </c>
      <c r="D250" s="348"/>
      <c r="E250" s="342">
        <v>45853</v>
      </c>
      <c r="F250" s="342">
        <v>45854</v>
      </c>
      <c r="G250" s="341">
        <v>2</v>
      </c>
      <c r="H250" s="341">
        <v>1</v>
      </c>
      <c r="I250" s="343">
        <v>212170.25210084033</v>
      </c>
      <c r="J250" s="341">
        <v>14</v>
      </c>
      <c r="K250" s="343">
        <v>443789.7490196079</v>
      </c>
      <c r="L250" s="343">
        <v>655960.00112044823</v>
      </c>
      <c r="M250" s="341">
        <v>388.33</v>
      </c>
      <c r="N250" s="341">
        <v>257</v>
      </c>
      <c r="O250" s="341">
        <v>99800.81</v>
      </c>
      <c r="P250" s="343">
        <v>917868.52861388796</v>
      </c>
      <c r="Q250" s="344" t="s">
        <v>884</v>
      </c>
      <c r="R250" s="341">
        <v>702</v>
      </c>
      <c r="S250" s="341">
        <v>561.6</v>
      </c>
      <c r="T250" s="343">
        <v>5712033.6000000006</v>
      </c>
      <c r="U250" s="376" t="s">
        <v>869</v>
      </c>
    </row>
    <row r="251" spans="1:21">
      <c r="A251" s="370">
        <v>250</v>
      </c>
      <c r="B251" s="384" t="str">
        <f>UPPER((TEXT(Tabla3[[#This Row],[Fecha llegada]],"MMM")))</f>
        <v>JUL</v>
      </c>
      <c r="C251" s="384">
        <f>YEAR(Tabla3[[#This Row],[Fecha llegada]])</f>
        <v>2025</v>
      </c>
      <c r="D251" s="348"/>
      <c r="E251" s="342">
        <v>45855</v>
      </c>
      <c r="F251" s="342">
        <v>45855</v>
      </c>
      <c r="G251" s="341">
        <v>1</v>
      </c>
      <c r="H251" s="341">
        <v>1</v>
      </c>
      <c r="I251" s="343">
        <v>106085.12605042016</v>
      </c>
      <c r="J251" s="341">
        <v>7</v>
      </c>
      <c r="K251" s="343">
        <v>245986.66666666669</v>
      </c>
      <c r="L251" s="343">
        <v>352071.79271708685</v>
      </c>
      <c r="M251" s="341">
        <v>175</v>
      </c>
      <c r="N251" s="341">
        <v>13.092000000000013</v>
      </c>
      <c r="O251" s="341">
        <v>2291.1000000000022</v>
      </c>
      <c r="P251" s="343">
        <v>21071.25769728002</v>
      </c>
      <c r="Q251" s="344" t="s">
        <v>885</v>
      </c>
      <c r="R251" s="341">
        <v>26.184000000000026</v>
      </c>
      <c r="S251" s="341">
        <v>20.947200000000024</v>
      </c>
      <c r="T251" s="343">
        <v>213053.97120000023</v>
      </c>
      <c r="U251" s="376" t="s">
        <v>869</v>
      </c>
    </row>
    <row r="252" spans="1:21">
      <c r="A252" s="362">
        <v>251</v>
      </c>
      <c r="B252" s="384" t="str">
        <f>UPPER((TEXT(Tabla3[[#This Row],[Fecha llegada]],"MMM")))</f>
        <v>JUL</v>
      </c>
      <c r="C252" s="384">
        <f>YEAR(Tabla3[[#This Row],[Fecha llegada]])</f>
        <v>2025</v>
      </c>
      <c r="D252" s="348"/>
      <c r="E252" s="342">
        <v>45855</v>
      </c>
      <c r="F252" s="342">
        <v>45855</v>
      </c>
      <c r="G252" s="341"/>
      <c r="H252" s="341"/>
      <c r="I252" s="343"/>
      <c r="J252" s="341"/>
      <c r="K252" s="343"/>
      <c r="L252" s="343"/>
      <c r="M252" s="341">
        <v>175</v>
      </c>
      <c r="N252" s="341">
        <v>17.498999999999995</v>
      </c>
      <c r="O252" s="341">
        <v>3062.3249999999994</v>
      </c>
      <c r="P252" s="343">
        <v>28164.217724159997</v>
      </c>
      <c r="Q252" s="344"/>
      <c r="R252" s="341">
        <v>34.99799999999999</v>
      </c>
      <c r="S252" s="341">
        <v>27.998399999999993</v>
      </c>
      <c r="T252" s="343">
        <v>284771.72639999993</v>
      </c>
      <c r="U252" s="376" t="s">
        <v>869</v>
      </c>
    </row>
    <row r="253" spans="1:21" ht="24">
      <c r="A253" s="370">
        <v>252</v>
      </c>
      <c r="B253" s="384" t="str">
        <f>UPPER((TEXT(Tabla3[[#This Row],[Fecha llegada]],"MMM")))</f>
        <v>JUL</v>
      </c>
      <c r="C253" s="384">
        <f>YEAR(Tabla3[[#This Row],[Fecha llegada]])</f>
        <v>2025</v>
      </c>
      <c r="D253" s="348"/>
      <c r="E253" s="342">
        <v>45855</v>
      </c>
      <c r="F253" s="342">
        <v>45856</v>
      </c>
      <c r="G253" s="341">
        <v>2</v>
      </c>
      <c r="H253" s="341">
        <v>1</v>
      </c>
      <c r="I253" s="343">
        <v>212170.25210084033</v>
      </c>
      <c r="J253" s="341">
        <v>14</v>
      </c>
      <c r="K253" s="343">
        <v>443789.7490196079</v>
      </c>
      <c r="L253" s="343">
        <v>655960.00112044823</v>
      </c>
      <c r="M253" s="341">
        <v>388.33</v>
      </c>
      <c r="N253" s="341">
        <v>257</v>
      </c>
      <c r="O253" s="341">
        <v>99800.81</v>
      </c>
      <c r="P253" s="343">
        <v>917868.52861388796</v>
      </c>
      <c r="Q253" s="344" t="s">
        <v>886</v>
      </c>
      <c r="R253" s="341">
        <v>702</v>
      </c>
      <c r="S253" s="341">
        <v>561.6</v>
      </c>
      <c r="T253" s="343">
        <v>5712033.6000000006</v>
      </c>
      <c r="U253" s="376" t="s">
        <v>869</v>
      </c>
    </row>
    <row r="254" spans="1:21">
      <c r="A254" s="362">
        <v>253</v>
      </c>
      <c r="B254" s="384" t="str">
        <f>UPPER((TEXT(Tabla3[[#This Row],[Fecha llegada]],"MMM")))</f>
        <v>JUL</v>
      </c>
      <c r="C254" s="384">
        <f>YEAR(Tabla3[[#This Row],[Fecha llegada]])</f>
        <v>2025</v>
      </c>
      <c r="D254" s="348"/>
      <c r="E254" s="342">
        <v>45857</v>
      </c>
      <c r="F254" s="342">
        <v>45857</v>
      </c>
      <c r="G254" s="341">
        <v>1</v>
      </c>
      <c r="H254" s="341">
        <v>1</v>
      </c>
      <c r="I254" s="343">
        <v>106085.12605042016</v>
      </c>
      <c r="J254" s="341">
        <v>7</v>
      </c>
      <c r="K254" s="343">
        <v>245986.66666666669</v>
      </c>
      <c r="L254" s="343">
        <v>352071.79271708685</v>
      </c>
      <c r="M254" s="341">
        <v>175</v>
      </c>
      <c r="N254" s="341">
        <v>17.632000000000005</v>
      </c>
      <c r="O254" s="341">
        <v>3085.6000000000008</v>
      </c>
      <c r="P254" s="343">
        <v>28378.278010880007</v>
      </c>
      <c r="Q254" s="344" t="s">
        <v>887</v>
      </c>
      <c r="R254" s="341">
        <v>35.26400000000001</v>
      </c>
      <c r="S254" s="341">
        <v>28.211200000000009</v>
      </c>
      <c r="T254" s="343">
        <v>286936.11520000012</v>
      </c>
      <c r="U254" s="376" t="s">
        <v>869</v>
      </c>
    </row>
    <row r="255" spans="1:21">
      <c r="A255" s="370">
        <v>254</v>
      </c>
      <c r="B255" s="384" t="str">
        <f>UPPER((TEXT(Tabla3[[#This Row],[Fecha llegada]],"MMM")))</f>
        <v>JUL</v>
      </c>
      <c r="C255" s="384">
        <f>YEAR(Tabla3[[#This Row],[Fecha llegada]])</f>
        <v>2025</v>
      </c>
      <c r="D255" s="348"/>
      <c r="E255" s="342">
        <v>45857</v>
      </c>
      <c r="F255" s="342">
        <v>45857</v>
      </c>
      <c r="G255" s="341"/>
      <c r="H255" s="341"/>
      <c r="I255" s="343"/>
      <c r="J255" s="341"/>
      <c r="K255" s="343"/>
      <c r="L255" s="343"/>
      <c r="M255" s="341">
        <v>175</v>
      </c>
      <c r="N255" s="341">
        <v>17.75</v>
      </c>
      <c r="O255" s="341">
        <v>3106.25</v>
      </c>
      <c r="P255" s="343">
        <v>28568.19616</v>
      </c>
      <c r="Q255" s="344"/>
      <c r="R255" s="341">
        <v>35.5</v>
      </c>
      <c r="S255" s="341">
        <v>28.400000000000002</v>
      </c>
      <c r="T255" s="343">
        <v>288856.40000000002</v>
      </c>
      <c r="U255" s="376" t="s">
        <v>869</v>
      </c>
    </row>
    <row r="256" spans="1:21">
      <c r="A256" s="362">
        <v>255</v>
      </c>
      <c r="B256" s="384" t="str">
        <f>UPPER((TEXT(Tabla3[[#This Row],[Fecha llegada]],"MMM")))</f>
        <v>JUL</v>
      </c>
      <c r="C256" s="384">
        <f>YEAR(Tabla3[[#This Row],[Fecha llegada]])</f>
        <v>2025</v>
      </c>
      <c r="D256" s="348"/>
      <c r="E256" s="342">
        <v>45858</v>
      </c>
      <c r="F256" s="342">
        <v>45858</v>
      </c>
      <c r="G256" s="341">
        <v>1</v>
      </c>
      <c r="H256" s="341">
        <v>1</v>
      </c>
      <c r="I256" s="343">
        <v>106085.12605042016</v>
      </c>
      <c r="J256" s="341">
        <v>7</v>
      </c>
      <c r="K256" s="343">
        <v>245986.66666666669</v>
      </c>
      <c r="L256" s="343">
        <v>352071.79271708685</v>
      </c>
      <c r="M256" s="341">
        <v>175</v>
      </c>
      <c r="N256" s="341">
        <v>17.883999999999986</v>
      </c>
      <c r="O256" s="341">
        <v>3129.6999999999975</v>
      </c>
      <c r="P256" s="343">
        <v>28783.865922559977</v>
      </c>
      <c r="Q256" s="344" t="s">
        <v>888</v>
      </c>
      <c r="R256" s="341">
        <v>35.767999999999972</v>
      </c>
      <c r="S256" s="341">
        <v>28.614399999999979</v>
      </c>
      <c r="T256" s="343">
        <v>291037.06239999976</v>
      </c>
      <c r="U256" s="376" t="s">
        <v>869</v>
      </c>
    </row>
    <row r="257" spans="1:21">
      <c r="A257" s="370">
        <v>256</v>
      </c>
      <c r="B257" s="384" t="str">
        <f>UPPER((TEXT(Tabla3[[#This Row],[Fecha llegada]],"MMM")))</f>
        <v>JUL</v>
      </c>
      <c r="C257" s="384">
        <f>YEAR(Tabla3[[#This Row],[Fecha llegada]])</f>
        <v>2025</v>
      </c>
      <c r="D257" s="348"/>
      <c r="E257" s="342">
        <v>45858</v>
      </c>
      <c r="F257" s="342">
        <v>45858</v>
      </c>
      <c r="G257" s="341"/>
      <c r="H257" s="341"/>
      <c r="I257" s="343"/>
      <c r="J257" s="341"/>
      <c r="K257" s="343"/>
      <c r="L257" s="343"/>
      <c r="M257" s="341">
        <v>175</v>
      </c>
      <c r="N257" s="341">
        <v>18.003999999999991</v>
      </c>
      <c r="O257" s="341">
        <v>3150.6999999999985</v>
      </c>
      <c r="P257" s="343">
        <v>28977.003023359986</v>
      </c>
      <c r="Q257" s="344"/>
      <c r="R257" s="341">
        <v>36.007999999999981</v>
      </c>
      <c r="S257" s="341">
        <v>28.806399999999986</v>
      </c>
      <c r="T257" s="343">
        <v>292989.89439999987</v>
      </c>
      <c r="U257" s="376" t="s">
        <v>869</v>
      </c>
    </row>
    <row r="258" spans="1:21">
      <c r="A258" s="362">
        <v>257</v>
      </c>
      <c r="B258" s="384" t="str">
        <f>UPPER((TEXT(Tabla3[[#This Row],[Fecha llegada]],"MMM")))</f>
        <v>JUL</v>
      </c>
      <c r="C258" s="384">
        <f>YEAR(Tabla3[[#This Row],[Fecha llegada]])</f>
        <v>2025</v>
      </c>
      <c r="D258" s="348"/>
      <c r="E258" s="342">
        <v>45859</v>
      </c>
      <c r="F258" s="342">
        <v>45859</v>
      </c>
      <c r="G258" s="341">
        <v>1</v>
      </c>
      <c r="H258" s="341">
        <v>1</v>
      </c>
      <c r="I258" s="343">
        <v>106085.12605042016</v>
      </c>
      <c r="J258" s="341">
        <v>7</v>
      </c>
      <c r="K258" s="343">
        <v>245986.66666666669</v>
      </c>
      <c r="L258" s="343">
        <v>352071.79271708685</v>
      </c>
      <c r="M258" s="341">
        <v>175</v>
      </c>
      <c r="N258" s="341">
        <v>18.123999999999995</v>
      </c>
      <c r="O258" s="341">
        <v>3171.6999999999994</v>
      </c>
      <c r="P258" s="343">
        <v>29170.140124159996</v>
      </c>
      <c r="Q258" s="344" t="s">
        <v>889</v>
      </c>
      <c r="R258" s="341">
        <v>36.24799999999999</v>
      </c>
      <c r="S258" s="341">
        <v>28.998399999999993</v>
      </c>
      <c r="T258" s="343">
        <v>294942.72639999993</v>
      </c>
      <c r="U258" s="376" t="s">
        <v>869</v>
      </c>
    </row>
    <row r="259" spans="1:21" ht="24">
      <c r="A259" s="370">
        <v>258</v>
      </c>
      <c r="B259" s="384" t="str">
        <f>UPPER((TEXT(Tabla3[[#This Row],[Fecha llegada]],"MMM")))</f>
        <v>JUL</v>
      </c>
      <c r="C259" s="384">
        <f>YEAR(Tabla3[[#This Row],[Fecha llegada]])</f>
        <v>2025</v>
      </c>
      <c r="D259" s="348"/>
      <c r="E259" s="342">
        <v>45859</v>
      </c>
      <c r="F259" s="342">
        <v>45860</v>
      </c>
      <c r="G259" s="341">
        <v>2</v>
      </c>
      <c r="H259" s="341">
        <v>1</v>
      </c>
      <c r="I259" s="343">
        <v>212170.25210084033</v>
      </c>
      <c r="J259" s="341">
        <v>14</v>
      </c>
      <c r="K259" s="343">
        <v>443789.7490196079</v>
      </c>
      <c r="L259" s="343">
        <v>655960.00112044823</v>
      </c>
      <c r="M259" s="341">
        <v>388.33</v>
      </c>
      <c r="N259" s="341">
        <v>257</v>
      </c>
      <c r="O259" s="341">
        <v>99800.81</v>
      </c>
      <c r="P259" s="343">
        <v>917868.52861388796</v>
      </c>
      <c r="Q259" s="344" t="s">
        <v>890</v>
      </c>
      <c r="R259" s="341">
        <v>702</v>
      </c>
      <c r="S259" s="341">
        <v>561.6</v>
      </c>
      <c r="T259" s="343">
        <v>5712033.6000000006</v>
      </c>
      <c r="U259" s="376" t="s">
        <v>869</v>
      </c>
    </row>
    <row r="260" spans="1:21">
      <c r="A260" s="362">
        <v>259</v>
      </c>
      <c r="B260" s="384" t="str">
        <f>UPPER((TEXT(Tabla3[[#This Row],[Fecha llegada]],"MMM")))</f>
        <v>JUL</v>
      </c>
      <c r="C260" s="384">
        <f>YEAR(Tabla3[[#This Row],[Fecha llegada]])</f>
        <v>2025</v>
      </c>
      <c r="D260" s="348"/>
      <c r="E260" s="342">
        <v>45862</v>
      </c>
      <c r="F260" s="342">
        <v>45862</v>
      </c>
      <c r="G260" s="341">
        <v>1</v>
      </c>
      <c r="H260" s="341">
        <v>1</v>
      </c>
      <c r="I260" s="343">
        <v>106085.12605042016</v>
      </c>
      <c r="J260" s="341">
        <v>13</v>
      </c>
      <c r="K260" s="343">
        <v>456832.38095238095</v>
      </c>
      <c r="L260" s="343">
        <v>562917.50700280117</v>
      </c>
      <c r="M260" s="341">
        <v>325</v>
      </c>
      <c r="N260" s="341">
        <v>18.003999999999991</v>
      </c>
      <c r="O260" s="341">
        <v>5851.2999999999965</v>
      </c>
      <c r="P260" s="343">
        <v>53814.434186239967</v>
      </c>
      <c r="Q260" s="344" t="s">
        <v>891</v>
      </c>
      <c r="R260" s="341">
        <v>36.007999999999981</v>
      </c>
      <c r="S260" s="341">
        <v>28.806399999999986</v>
      </c>
      <c r="T260" s="343">
        <v>292989.89439999987</v>
      </c>
      <c r="U260" s="376" t="s">
        <v>869</v>
      </c>
    </row>
    <row r="261" spans="1:21">
      <c r="A261" s="370">
        <v>260</v>
      </c>
      <c r="B261" s="384" t="str">
        <f>UPPER((TEXT(Tabla3[[#This Row],[Fecha llegada]],"MMM")))</f>
        <v>JUL</v>
      </c>
      <c r="C261" s="384">
        <f>YEAR(Tabla3[[#This Row],[Fecha llegada]])</f>
        <v>2025</v>
      </c>
      <c r="D261" s="348"/>
      <c r="E261" s="342">
        <v>45862</v>
      </c>
      <c r="F261" s="342">
        <v>45862</v>
      </c>
      <c r="G261" s="341"/>
      <c r="H261" s="341"/>
      <c r="I261" s="343"/>
      <c r="J261" s="341"/>
      <c r="K261" s="343"/>
      <c r="L261" s="343"/>
      <c r="M261" s="341">
        <v>325</v>
      </c>
      <c r="N261" s="341">
        <v>18.596000000000004</v>
      </c>
      <c r="O261" s="341">
        <v>6043.7000000000007</v>
      </c>
      <c r="P261" s="343">
        <v>55583.93790976001</v>
      </c>
      <c r="Q261" s="344"/>
      <c r="R261" s="341">
        <v>37.192000000000007</v>
      </c>
      <c r="S261" s="341">
        <v>29.753600000000006</v>
      </c>
      <c r="T261" s="343">
        <v>302623.86560000008</v>
      </c>
      <c r="U261" s="376" t="s">
        <v>869</v>
      </c>
    </row>
    <row r="262" spans="1:21">
      <c r="A262" s="362">
        <v>261</v>
      </c>
      <c r="B262" s="384" t="str">
        <f>UPPER((TEXT(Tabla3[[#This Row],[Fecha llegada]],"MMM")))</f>
        <v>JUL</v>
      </c>
      <c r="C262" s="384">
        <f>YEAR(Tabla3[[#This Row],[Fecha llegada]])</f>
        <v>2025</v>
      </c>
      <c r="D262" s="348"/>
      <c r="E262" s="342">
        <v>45863</v>
      </c>
      <c r="F262" s="342">
        <v>45863</v>
      </c>
      <c r="G262" s="341">
        <v>1</v>
      </c>
      <c r="H262" s="341">
        <v>1</v>
      </c>
      <c r="I262" s="343">
        <v>106085.12605042016</v>
      </c>
      <c r="J262" s="341">
        <v>9</v>
      </c>
      <c r="K262" s="343">
        <v>316268.57142857142</v>
      </c>
      <c r="L262" s="343">
        <v>422353.69747899158</v>
      </c>
      <c r="M262" s="341">
        <v>225</v>
      </c>
      <c r="N262" s="341">
        <v>19.370000000000005</v>
      </c>
      <c r="O262" s="341">
        <v>4358.2500000000009</v>
      </c>
      <c r="P262" s="343">
        <v>40082.846169600009</v>
      </c>
      <c r="Q262" s="344" t="s">
        <v>892</v>
      </c>
      <c r="R262" s="341">
        <v>226.74</v>
      </c>
      <c r="S262" s="341">
        <v>181.39200000000002</v>
      </c>
      <c r="T262" s="343">
        <v>1844938.0320000004</v>
      </c>
      <c r="U262" s="376" t="s">
        <v>869</v>
      </c>
    </row>
    <row r="263" spans="1:21" ht="24">
      <c r="A263" s="370">
        <v>262</v>
      </c>
      <c r="B263" s="384" t="str">
        <f>UPPER((TEXT(Tabla3[[#This Row],[Fecha llegada]],"MMM")))</f>
        <v>JUL</v>
      </c>
      <c r="C263" s="384">
        <f>YEAR(Tabla3[[#This Row],[Fecha llegada]])</f>
        <v>2025</v>
      </c>
      <c r="D263" s="348"/>
      <c r="E263" s="342">
        <v>45863</v>
      </c>
      <c r="F263" s="342">
        <v>45864</v>
      </c>
      <c r="G263" s="341">
        <v>2</v>
      </c>
      <c r="H263" s="341">
        <v>1</v>
      </c>
      <c r="I263" s="343">
        <v>212170.25210084033</v>
      </c>
      <c r="J263" s="341">
        <v>14</v>
      </c>
      <c r="K263" s="343">
        <v>443789.7490196079</v>
      </c>
      <c r="L263" s="343">
        <v>655960.00112044823</v>
      </c>
      <c r="M263" s="341">
        <v>388.33</v>
      </c>
      <c r="N263" s="341">
        <v>257</v>
      </c>
      <c r="O263" s="341">
        <v>99800.81</v>
      </c>
      <c r="P263" s="343">
        <v>917868.52861388796</v>
      </c>
      <c r="Q263" s="344" t="s">
        <v>893</v>
      </c>
      <c r="R263" s="341">
        <v>702</v>
      </c>
      <c r="S263" s="341">
        <v>561.6</v>
      </c>
      <c r="T263" s="343">
        <v>5712033.6000000006</v>
      </c>
      <c r="U263" s="376" t="s">
        <v>869</v>
      </c>
    </row>
    <row r="264" spans="1:21">
      <c r="A264" s="362">
        <v>263</v>
      </c>
      <c r="B264" s="384" t="str">
        <f>UPPER((TEXT(Tabla3[[#This Row],[Fecha llegada]],"MMM")))</f>
        <v>JUL</v>
      </c>
      <c r="C264" s="384">
        <f>YEAR(Tabla3[[#This Row],[Fecha llegada]])</f>
        <v>2025</v>
      </c>
      <c r="D264" s="348"/>
      <c r="E264" s="342">
        <v>45865</v>
      </c>
      <c r="F264" s="342">
        <v>45865</v>
      </c>
      <c r="G264" s="341">
        <v>1</v>
      </c>
      <c r="H264" s="341">
        <v>1</v>
      </c>
      <c r="I264" s="343">
        <v>106085.12605042016</v>
      </c>
      <c r="J264" s="341">
        <v>9</v>
      </c>
      <c r="K264" s="343">
        <v>316268.57142857142</v>
      </c>
      <c r="L264" s="343">
        <v>422353.69747899158</v>
      </c>
      <c r="M264" s="341">
        <v>225</v>
      </c>
      <c r="N264" s="341">
        <v>18.774000000000001</v>
      </c>
      <c r="O264" s="341">
        <v>4224.1500000000005</v>
      </c>
      <c r="P264" s="343">
        <v>38849.527825920006</v>
      </c>
      <c r="Q264" s="344" t="s">
        <v>894</v>
      </c>
      <c r="R264" s="341">
        <v>37.548000000000002</v>
      </c>
      <c r="S264" s="341">
        <v>30.038400000000003</v>
      </c>
      <c r="T264" s="343">
        <v>305520.56640000001</v>
      </c>
      <c r="U264" s="376" t="s">
        <v>869</v>
      </c>
    </row>
    <row r="265" spans="1:21">
      <c r="A265" s="370">
        <v>264</v>
      </c>
      <c r="B265" s="384" t="str">
        <f>UPPER((TEXT(Tabla3[[#This Row],[Fecha llegada]],"MMM")))</f>
        <v>JUL</v>
      </c>
      <c r="C265" s="384">
        <f>YEAR(Tabla3[[#This Row],[Fecha llegada]])</f>
        <v>2025</v>
      </c>
      <c r="D265" s="348"/>
      <c r="E265" s="342">
        <v>45865</v>
      </c>
      <c r="F265" s="342">
        <v>45865</v>
      </c>
      <c r="G265" s="341"/>
      <c r="H265" s="341"/>
      <c r="I265" s="343"/>
      <c r="J265" s="341"/>
      <c r="K265" s="343"/>
      <c r="L265" s="343"/>
      <c r="M265" s="341">
        <v>225</v>
      </c>
      <c r="N265" s="341">
        <v>18.930000000000007</v>
      </c>
      <c r="O265" s="341">
        <v>4259.2500000000018</v>
      </c>
      <c r="P265" s="343">
        <v>39172.342694400017</v>
      </c>
      <c r="Q265" s="344"/>
      <c r="R265" s="341">
        <v>37.860000000000014</v>
      </c>
      <c r="S265" s="341">
        <v>30.288000000000011</v>
      </c>
      <c r="T265" s="343">
        <v>308059.24800000014</v>
      </c>
      <c r="U265" s="376" t="s">
        <v>869</v>
      </c>
    </row>
    <row r="266" spans="1:21" ht="24">
      <c r="A266" s="362">
        <v>265</v>
      </c>
      <c r="B266" s="384" t="str">
        <f>UPPER((TEXT(Tabla3[[#This Row],[Fecha llegada]],"MMM")))</f>
        <v>JUL</v>
      </c>
      <c r="C266" s="384">
        <f>YEAR(Tabla3[[#This Row],[Fecha llegada]])</f>
        <v>2025</v>
      </c>
      <c r="D266" s="348"/>
      <c r="E266" s="342">
        <v>45865</v>
      </c>
      <c r="F266" s="342">
        <v>45866</v>
      </c>
      <c r="G266" s="341">
        <v>2</v>
      </c>
      <c r="H266" s="341">
        <v>2</v>
      </c>
      <c r="I266" s="343">
        <v>424340.50420168065</v>
      </c>
      <c r="J266" s="341">
        <v>14</v>
      </c>
      <c r="K266" s="343">
        <v>443789.7490196079</v>
      </c>
      <c r="L266" s="343">
        <v>868130.25322128856</v>
      </c>
      <c r="M266" s="341">
        <v>388.33</v>
      </c>
      <c r="N266" s="341">
        <v>257</v>
      </c>
      <c r="O266" s="341">
        <v>99800.81</v>
      </c>
      <c r="P266" s="343">
        <v>917868.52861388796</v>
      </c>
      <c r="Q266" s="344" t="s">
        <v>895</v>
      </c>
      <c r="R266" s="341">
        <v>702</v>
      </c>
      <c r="S266" s="341">
        <v>561.6</v>
      </c>
      <c r="T266" s="343">
        <v>5712033.6000000006</v>
      </c>
      <c r="U266" s="376" t="s">
        <v>869</v>
      </c>
    </row>
    <row r="267" spans="1:21">
      <c r="A267" s="370">
        <v>266</v>
      </c>
      <c r="B267" s="384" t="str">
        <f>UPPER((TEXT(Tabla3[[#This Row],[Fecha llegada]],"MMM")))</f>
        <v>JUL</v>
      </c>
      <c r="C267" s="384">
        <f>YEAR(Tabla3[[#This Row],[Fecha llegada]])</f>
        <v>2025</v>
      </c>
      <c r="D267" s="348"/>
      <c r="E267" s="342">
        <v>45868</v>
      </c>
      <c r="F267" s="342">
        <v>45868</v>
      </c>
      <c r="G267" s="341">
        <v>1</v>
      </c>
      <c r="H267" s="341">
        <v>1</v>
      </c>
      <c r="I267" s="343">
        <v>106085.12605042016</v>
      </c>
      <c r="J267" s="341">
        <v>9</v>
      </c>
      <c r="K267" s="343">
        <v>316268.57142857142</v>
      </c>
      <c r="L267" s="343">
        <v>422353.69747899158</v>
      </c>
      <c r="M267" s="341">
        <v>225</v>
      </c>
      <c r="N267" s="341">
        <v>13.259999999999991</v>
      </c>
      <c r="O267" s="341">
        <v>2983.4999999999982</v>
      </c>
      <c r="P267" s="343">
        <v>27439.263820799984</v>
      </c>
      <c r="Q267" s="344" t="s">
        <v>896</v>
      </c>
      <c r="R267" s="341">
        <v>26.519999999999982</v>
      </c>
      <c r="S267" s="341">
        <v>21.215999999999987</v>
      </c>
      <c r="T267" s="343">
        <v>215787.93599999987</v>
      </c>
      <c r="U267" s="376" t="s">
        <v>869</v>
      </c>
    </row>
    <row r="268" spans="1:21">
      <c r="A268" s="362">
        <v>267</v>
      </c>
      <c r="B268" s="385" t="str">
        <f>UPPER((TEXT(Tabla3[[#This Row],[Fecha llegada]],"MMM")))</f>
        <v>JUL</v>
      </c>
      <c r="C268" s="385">
        <f>YEAR(Tabla3[[#This Row],[Fecha llegada]])</f>
        <v>2025</v>
      </c>
      <c r="D268" s="371"/>
      <c r="E268" s="372">
        <v>45868</v>
      </c>
      <c r="F268" s="372">
        <v>45868</v>
      </c>
      <c r="G268" s="373"/>
      <c r="H268" s="373"/>
      <c r="I268" s="374"/>
      <c r="J268" s="373"/>
      <c r="K268" s="374"/>
      <c r="L268" s="374"/>
      <c r="M268" s="373">
        <v>225</v>
      </c>
      <c r="N268" s="373">
        <v>19.086000000000013</v>
      </c>
      <c r="O268" s="373">
        <v>4294.3500000000031</v>
      </c>
      <c r="P268" s="374">
        <v>39495.157562880027</v>
      </c>
      <c r="Q268" s="375"/>
      <c r="R268" s="373">
        <v>38.172000000000025</v>
      </c>
      <c r="S268" s="373">
        <v>30.537600000000023</v>
      </c>
      <c r="T268" s="374">
        <v>310597.92960000021</v>
      </c>
      <c r="U268" s="376" t="s">
        <v>869</v>
      </c>
    </row>
    <row r="269" spans="1:21">
      <c r="A269" s="362"/>
      <c r="B269" s="384" t="str">
        <f>UPPER((TEXT(Tabla3[[#This Row],[Fecha llegada]],"MMM")))</f>
        <v>AGO</v>
      </c>
      <c r="C269" s="384">
        <f>YEAR(Tabla3[[#This Row],[Fecha llegada]])</f>
        <v>2025</v>
      </c>
      <c r="D269" s="348"/>
      <c r="E269" s="342">
        <v>45869</v>
      </c>
      <c r="F269" s="342">
        <v>45870</v>
      </c>
      <c r="G269" s="341">
        <v>1</v>
      </c>
      <c r="H269" s="341">
        <v>1</v>
      </c>
      <c r="I269" s="343">
        <v>106085.12605042016</v>
      </c>
      <c r="J269" s="341">
        <v>9</v>
      </c>
      <c r="K269" s="343">
        <v>316268.57142857142</v>
      </c>
      <c r="L269" s="343">
        <v>422353.69747899158</v>
      </c>
      <c r="M269" s="341">
        <v>225</v>
      </c>
      <c r="N269" s="341">
        <v>13.569999999999993</v>
      </c>
      <c r="O269" s="341">
        <v>3053.2499999999986</v>
      </c>
      <c r="P269" s="343">
        <v>28080.754905599988</v>
      </c>
      <c r="Q269" s="344" t="s">
        <v>921</v>
      </c>
      <c r="R269" s="341">
        <v>27.139999999999986</v>
      </c>
      <c r="S269" s="341">
        <v>21.711999999999989</v>
      </c>
      <c r="T269" s="343">
        <v>220832.75199999989</v>
      </c>
      <c r="U269" s="376" t="s">
        <v>919</v>
      </c>
    </row>
    <row r="270" spans="1:21">
      <c r="A270" s="362"/>
      <c r="B270" s="384" t="str">
        <f>UPPER((TEXT(Tabla3[[#This Row],[Fecha llegada]],"MMM")))</f>
        <v>AGO</v>
      </c>
      <c r="C270" s="384">
        <f>YEAR(Tabla3[[#This Row],[Fecha llegada]])</f>
        <v>2025</v>
      </c>
      <c r="D270" s="348"/>
      <c r="E270" s="342">
        <v>45869</v>
      </c>
      <c r="F270" s="342">
        <v>45870</v>
      </c>
      <c r="G270" s="341"/>
      <c r="H270" s="341"/>
      <c r="I270" s="343"/>
      <c r="J270" s="341"/>
      <c r="K270" s="343"/>
      <c r="L270" s="343"/>
      <c r="M270" s="341">
        <v>225</v>
      </c>
      <c r="N270" s="341">
        <v>14.090000000000003</v>
      </c>
      <c r="O270" s="341">
        <v>3170.2500000000009</v>
      </c>
      <c r="P270" s="343">
        <v>29156.804467200011</v>
      </c>
      <c r="Q270" s="344"/>
      <c r="R270" s="341">
        <v>28.180000000000007</v>
      </c>
      <c r="S270" s="341">
        <v>22.544000000000008</v>
      </c>
      <c r="T270" s="343">
        <v>229295.02400000006</v>
      </c>
      <c r="U270" s="376" t="s">
        <v>919</v>
      </c>
    </row>
    <row r="271" spans="1:21">
      <c r="A271" s="362"/>
      <c r="B271" s="384" t="str">
        <f>UPPER((TEXT(Tabla3[[#This Row],[Fecha llegada]],"MMM")))</f>
        <v>AGO</v>
      </c>
      <c r="C271" s="384">
        <f>YEAR(Tabla3[[#This Row],[Fecha llegada]])</f>
        <v>2025</v>
      </c>
      <c r="D271" s="348"/>
      <c r="E271" s="342">
        <v>45869</v>
      </c>
      <c r="F271" s="342">
        <v>45870</v>
      </c>
      <c r="G271" s="341"/>
      <c r="H271" s="341"/>
      <c r="I271" s="343"/>
      <c r="J271" s="341"/>
      <c r="K271" s="343"/>
      <c r="L271" s="343"/>
      <c r="M271" s="341">
        <v>225</v>
      </c>
      <c r="N271" s="341">
        <v>19.240000000000009</v>
      </c>
      <c r="O271" s="341">
        <v>4329.0000000000018</v>
      </c>
      <c r="P271" s="343">
        <v>39813.833779200017</v>
      </c>
      <c r="Q271" s="344"/>
      <c r="R271" s="341">
        <v>38.480000000000018</v>
      </c>
      <c r="S271" s="341">
        <v>30.784000000000017</v>
      </c>
      <c r="T271" s="343">
        <v>313104.06400000019</v>
      </c>
      <c r="U271" s="376" t="s">
        <v>919</v>
      </c>
    </row>
    <row r="272" spans="1:21">
      <c r="A272" s="362"/>
      <c r="B272" s="384" t="str">
        <f>UPPER((TEXT(Tabla3[[#This Row],[Fecha llegada]],"MMM")))</f>
        <v>AGO</v>
      </c>
      <c r="C272" s="384">
        <f>YEAR(Tabla3[[#This Row],[Fecha llegada]])</f>
        <v>2025</v>
      </c>
      <c r="D272" s="348"/>
      <c r="E272" s="342">
        <v>45869</v>
      </c>
      <c r="F272" s="342">
        <v>45870</v>
      </c>
      <c r="G272" s="341"/>
      <c r="H272" s="341"/>
      <c r="I272" s="343"/>
      <c r="J272" s="341"/>
      <c r="K272" s="343"/>
      <c r="L272" s="343"/>
      <c r="M272" s="341">
        <v>225</v>
      </c>
      <c r="N272" s="341">
        <v>19.52000000000001</v>
      </c>
      <c r="O272" s="341">
        <v>4392.0000000000027</v>
      </c>
      <c r="P272" s="343">
        <v>40393.245081600027</v>
      </c>
      <c r="Q272" s="344"/>
      <c r="R272" s="341">
        <v>39.04000000000002</v>
      </c>
      <c r="S272" s="341">
        <v>31.232000000000017</v>
      </c>
      <c r="T272" s="343">
        <v>317660.6720000002</v>
      </c>
      <c r="U272" s="376" t="s">
        <v>919</v>
      </c>
    </row>
    <row r="273" spans="1:21">
      <c r="A273" s="362"/>
      <c r="B273" s="384" t="str">
        <f>UPPER((TEXT(Tabla3[[#This Row],[Fecha llegada]],"MMM")))</f>
        <v>AGO</v>
      </c>
      <c r="C273" s="384">
        <f>YEAR(Tabla3[[#This Row],[Fecha llegada]])</f>
        <v>2025</v>
      </c>
      <c r="D273" s="348"/>
      <c r="E273" s="342">
        <v>45870</v>
      </c>
      <c r="F273" s="342">
        <v>45870</v>
      </c>
      <c r="G273" s="341">
        <v>1</v>
      </c>
      <c r="H273" s="341">
        <v>1</v>
      </c>
      <c r="I273" s="343">
        <v>106085.12605042016</v>
      </c>
      <c r="J273" s="341">
        <v>9</v>
      </c>
      <c r="K273" s="343">
        <v>316268.57142857142</v>
      </c>
      <c r="L273" s="343">
        <v>422353.69747899158</v>
      </c>
      <c r="M273" s="341">
        <v>275</v>
      </c>
      <c r="N273" s="341">
        <v>19.699999999999989</v>
      </c>
      <c r="O273" s="341">
        <v>5417.4999999999973</v>
      </c>
      <c r="P273" s="343">
        <v>49824.773503999975</v>
      </c>
      <c r="Q273" s="344" t="s">
        <v>922</v>
      </c>
      <c r="R273" s="341">
        <v>39.399999999999977</v>
      </c>
      <c r="S273" s="341">
        <v>31.519999999999982</v>
      </c>
      <c r="T273" s="343">
        <v>320589.91999999981</v>
      </c>
      <c r="U273" s="376" t="s">
        <v>919</v>
      </c>
    </row>
    <row r="274" spans="1:21">
      <c r="A274" s="362"/>
      <c r="B274" s="384" t="str">
        <f>UPPER((TEXT(Tabla3[[#This Row],[Fecha llegada]],"MMM")))</f>
        <v>AGO</v>
      </c>
      <c r="C274" s="384">
        <f>YEAR(Tabla3[[#This Row],[Fecha llegada]])</f>
        <v>2025</v>
      </c>
      <c r="D274" s="348"/>
      <c r="E274" s="342">
        <v>45870</v>
      </c>
      <c r="F274" s="342">
        <v>45870</v>
      </c>
      <c r="G274" s="341"/>
      <c r="H274" s="341"/>
      <c r="I274" s="343"/>
      <c r="J274" s="341"/>
      <c r="K274" s="343"/>
      <c r="L274" s="343"/>
      <c r="M274" s="341">
        <v>275</v>
      </c>
      <c r="N274" s="341">
        <v>19.854000000000013</v>
      </c>
      <c r="O274" s="341">
        <v>5459.850000000004</v>
      </c>
      <c r="P274" s="343">
        <v>50214.266657280037</v>
      </c>
      <c r="Q274" s="344"/>
      <c r="R274" s="341">
        <v>39.708000000000027</v>
      </c>
      <c r="S274" s="341">
        <v>31.766400000000022</v>
      </c>
      <c r="T274" s="343">
        <v>323096.0544000002</v>
      </c>
      <c r="U274" s="376" t="s">
        <v>919</v>
      </c>
    </row>
    <row r="275" spans="1:21">
      <c r="A275" s="362"/>
      <c r="B275" s="384" t="str">
        <f>UPPER((TEXT(Tabla3[[#This Row],[Fecha llegada]],"MMM")))</f>
        <v>AGO</v>
      </c>
      <c r="C275" s="384">
        <f>YEAR(Tabla3[[#This Row],[Fecha llegada]])</f>
        <v>2025</v>
      </c>
      <c r="D275" s="348"/>
      <c r="E275" s="342">
        <v>45871</v>
      </c>
      <c r="F275" s="342">
        <v>45872</v>
      </c>
      <c r="G275" s="341">
        <v>1</v>
      </c>
      <c r="H275" s="341">
        <v>2</v>
      </c>
      <c r="I275" s="343">
        <v>212170.25210084033</v>
      </c>
      <c r="J275" s="341">
        <v>13</v>
      </c>
      <c r="K275" s="343">
        <v>456832.38095238095</v>
      </c>
      <c r="L275" s="343">
        <v>669002.63305322127</v>
      </c>
      <c r="M275" s="341">
        <v>325</v>
      </c>
      <c r="N275" s="341">
        <v>14.419999999999987</v>
      </c>
      <c r="O275" s="341">
        <v>4686.4999999999964</v>
      </c>
      <c r="P275" s="343">
        <v>43101.76299519997</v>
      </c>
      <c r="Q275" s="344" t="s">
        <v>923</v>
      </c>
      <c r="R275" s="341">
        <v>28.839999999999975</v>
      </c>
      <c r="S275" s="341">
        <v>23.071999999999981</v>
      </c>
      <c r="T275" s="343">
        <v>234665.3119999998</v>
      </c>
      <c r="U275" s="376" t="s">
        <v>919</v>
      </c>
    </row>
    <row r="276" spans="1:21">
      <c r="A276" s="362"/>
      <c r="B276" s="384" t="str">
        <f>UPPER((TEXT(Tabla3[[#This Row],[Fecha llegada]],"MMM")))</f>
        <v>AGO</v>
      </c>
      <c r="C276" s="384">
        <f>YEAR(Tabla3[[#This Row],[Fecha llegada]])</f>
        <v>2025</v>
      </c>
      <c r="D276" s="348"/>
      <c r="E276" s="342">
        <v>45871</v>
      </c>
      <c r="F276" s="342">
        <v>45871</v>
      </c>
      <c r="G276" s="341"/>
      <c r="H276" s="341"/>
      <c r="I276" s="343"/>
      <c r="J276" s="341"/>
      <c r="K276" s="343"/>
      <c r="L276" s="343"/>
      <c r="M276" s="341">
        <v>325</v>
      </c>
      <c r="N276" s="341">
        <v>20.141999999999996</v>
      </c>
      <c r="O276" s="341">
        <v>6546.1499999999987</v>
      </c>
      <c r="P276" s="343">
        <v>60204.972971519986</v>
      </c>
      <c r="Q276" s="344"/>
      <c r="R276" s="341">
        <v>40.283999999999992</v>
      </c>
      <c r="S276" s="341">
        <v>32.227199999999996</v>
      </c>
      <c r="T276" s="343">
        <v>327782.85119999998</v>
      </c>
      <c r="U276" s="376" t="s">
        <v>919</v>
      </c>
    </row>
    <row r="277" spans="1:21">
      <c r="A277" s="362"/>
      <c r="B277" s="384" t="str">
        <f>UPPER((TEXT(Tabla3[[#This Row],[Fecha llegada]],"MMM")))</f>
        <v>AGO</v>
      </c>
      <c r="C277" s="384">
        <f>YEAR(Tabla3[[#This Row],[Fecha llegada]])</f>
        <v>2025</v>
      </c>
      <c r="D277" s="348"/>
      <c r="E277" s="342">
        <v>45872</v>
      </c>
      <c r="F277" s="342">
        <v>45872</v>
      </c>
      <c r="G277" s="341">
        <v>1</v>
      </c>
      <c r="H277" s="341">
        <v>2</v>
      </c>
      <c r="I277" s="343">
        <v>212170.25210084033</v>
      </c>
      <c r="J277" s="341">
        <v>13</v>
      </c>
      <c r="K277" s="343">
        <v>456832.38095238095</v>
      </c>
      <c r="L277" s="343">
        <v>669002.63305322127</v>
      </c>
      <c r="M277" s="341">
        <v>325</v>
      </c>
      <c r="N277" s="341">
        <v>20.346000000000004</v>
      </c>
      <c r="O277" s="341">
        <v>6612.4500000000007</v>
      </c>
      <c r="P277" s="343">
        <v>60814.734389760008</v>
      </c>
      <c r="Q277" s="344" t="s">
        <v>924</v>
      </c>
      <c r="R277" s="341">
        <v>40.692000000000007</v>
      </c>
      <c r="S277" s="341">
        <v>32.55360000000001</v>
      </c>
      <c r="T277" s="343">
        <v>331102.66560000012</v>
      </c>
      <c r="U277" s="376" t="s">
        <v>919</v>
      </c>
    </row>
    <row r="278" spans="1:21">
      <c r="A278" s="362"/>
      <c r="B278" s="384" t="str">
        <f>UPPER((TEXT(Tabla3[[#This Row],[Fecha llegada]],"MMM")))</f>
        <v>AGO</v>
      </c>
      <c r="C278" s="384">
        <f>YEAR(Tabla3[[#This Row],[Fecha llegada]])</f>
        <v>2025</v>
      </c>
      <c r="D278" s="348"/>
      <c r="E278" s="342">
        <v>45872</v>
      </c>
      <c r="F278" s="342">
        <v>45872</v>
      </c>
      <c r="G278" s="341"/>
      <c r="H278" s="341"/>
      <c r="I278" s="343"/>
      <c r="J278" s="341"/>
      <c r="K278" s="343"/>
      <c r="L278" s="343"/>
      <c r="M278" s="341">
        <v>325</v>
      </c>
      <c r="N278" s="341">
        <v>20.574000000000012</v>
      </c>
      <c r="O278" s="341">
        <v>6686.5500000000038</v>
      </c>
      <c r="P278" s="343">
        <v>61496.232445440037</v>
      </c>
      <c r="Q278" s="344"/>
      <c r="R278" s="341">
        <v>41.148000000000025</v>
      </c>
      <c r="S278" s="341">
        <v>32.91840000000002</v>
      </c>
      <c r="T278" s="343">
        <v>334813.04640000022</v>
      </c>
      <c r="U278" s="376" t="s">
        <v>919</v>
      </c>
    </row>
    <row r="279" spans="1:21">
      <c r="A279" s="362"/>
      <c r="B279" s="384" t="str">
        <f>UPPER((TEXT(Tabla3[[#This Row],[Fecha llegada]],"MMM")))</f>
        <v>AGO</v>
      </c>
      <c r="C279" s="384">
        <f>YEAR(Tabla3[[#This Row],[Fecha llegada]])</f>
        <v>2025</v>
      </c>
      <c r="D279" s="348"/>
      <c r="E279" s="342">
        <v>45873</v>
      </c>
      <c r="F279" s="342">
        <v>45873</v>
      </c>
      <c r="G279" s="341">
        <v>1</v>
      </c>
      <c r="H279" s="341">
        <v>1</v>
      </c>
      <c r="I279" s="343">
        <v>106085.12605042016</v>
      </c>
      <c r="J279" s="341">
        <v>9</v>
      </c>
      <c r="K279" s="343">
        <v>316268.57142857142</v>
      </c>
      <c r="L279" s="343">
        <v>422353.69747899158</v>
      </c>
      <c r="M279" s="341">
        <v>225</v>
      </c>
      <c r="N279" s="341">
        <v>20.650000000000006</v>
      </c>
      <c r="O279" s="341">
        <v>4646.2500000000009</v>
      </c>
      <c r="P279" s="343">
        <v>42731.583552000011</v>
      </c>
      <c r="Q279" s="344" t="s">
        <v>925</v>
      </c>
      <c r="R279" s="341">
        <v>41.300000000000011</v>
      </c>
      <c r="S279" s="341">
        <v>33.040000000000013</v>
      </c>
      <c r="T279" s="343">
        <v>336049.84000000014</v>
      </c>
      <c r="U279" s="376" t="s">
        <v>919</v>
      </c>
    </row>
    <row r="280" spans="1:21">
      <c r="A280" s="362"/>
      <c r="B280" s="384" t="str">
        <f>UPPER((TEXT(Tabla3[[#This Row],[Fecha llegada]],"MMM")))</f>
        <v>AGO</v>
      </c>
      <c r="C280" s="384">
        <f>YEAR(Tabla3[[#This Row],[Fecha llegada]])</f>
        <v>2025</v>
      </c>
      <c r="D280" s="348"/>
      <c r="E280" s="342">
        <v>45876</v>
      </c>
      <c r="F280" s="342">
        <v>45876</v>
      </c>
      <c r="G280" s="341">
        <v>1</v>
      </c>
      <c r="H280" s="341">
        <v>1</v>
      </c>
      <c r="I280" s="343">
        <v>106085.12605042016</v>
      </c>
      <c r="J280" s="341">
        <v>9</v>
      </c>
      <c r="K280" s="343">
        <v>316268.57142857142</v>
      </c>
      <c r="L280" s="343">
        <v>422353.69747899158</v>
      </c>
      <c r="M280" s="341">
        <v>200</v>
      </c>
      <c r="N280" s="341">
        <v>20.889999999999986</v>
      </c>
      <c r="O280" s="341">
        <v>4177.9999999999973</v>
      </c>
      <c r="P280" s="343">
        <v>38425.086054399973</v>
      </c>
      <c r="Q280" s="344" t="s">
        <v>926</v>
      </c>
      <c r="R280" s="341">
        <v>41.779999999999973</v>
      </c>
      <c r="S280" s="341">
        <v>33.423999999999978</v>
      </c>
      <c r="T280" s="343">
        <v>339955.50399999978</v>
      </c>
      <c r="U280" s="376" t="s">
        <v>919</v>
      </c>
    </row>
    <row r="281" spans="1:21">
      <c r="A281" s="362"/>
      <c r="B281" s="384" t="str">
        <f>UPPER((TEXT(Tabla3[[#This Row],[Fecha llegada]],"MMM")))</f>
        <v>AGO</v>
      </c>
      <c r="C281" s="384">
        <f>YEAR(Tabla3[[#This Row],[Fecha llegada]])</f>
        <v>2025</v>
      </c>
      <c r="D281" s="348"/>
      <c r="E281" s="342">
        <v>45876</v>
      </c>
      <c r="F281" s="342">
        <v>45876</v>
      </c>
      <c r="G281" s="341"/>
      <c r="H281" s="341"/>
      <c r="I281" s="343"/>
      <c r="J281" s="341"/>
      <c r="K281" s="343"/>
      <c r="L281" s="343"/>
      <c r="M281" s="341">
        <v>200</v>
      </c>
      <c r="N281" s="341">
        <v>23.144000000000005</v>
      </c>
      <c r="O281" s="341">
        <v>4628.8000000000011</v>
      </c>
      <c r="P281" s="343">
        <v>42571.095818240014</v>
      </c>
      <c r="Q281" s="344"/>
      <c r="R281" s="341">
        <v>46.288000000000011</v>
      </c>
      <c r="S281" s="341">
        <v>37.030400000000007</v>
      </c>
      <c r="T281" s="343">
        <v>376636.19840000005</v>
      </c>
      <c r="U281" s="376" t="s">
        <v>919</v>
      </c>
    </row>
    <row r="282" spans="1:21">
      <c r="A282" s="362"/>
      <c r="B282" s="384" t="str">
        <f>UPPER((TEXT(Tabla3[[#This Row],[Fecha llegada]],"MMM")))</f>
        <v>AGO</v>
      </c>
      <c r="C282" s="384">
        <f>YEAR(Tabla3[[#This Row],[Fecha llegada]])</f>
        <v>2025</v>
      </c>
      <c r="D282" s="348"/>
      <c r="E282" s="342">
        <v>45877</v>
      </c>
      <c r="F282" s="342">
        <v>45877</v>
      </c>
      <c r="G282" s="341">
        <v>1</v>
      </c>
      <c r="H282" s="341">
        <v>1</v>
      </c>
      <c r="I282" s="343">
        <v>106085.12605042016</v>
      </c>
      <c r="J282" s="341">
        <v>9</v>
      </c>
      <c r="K282" s="343">
        <v>316268.57142857142</v>
      </c>
      <c r="L282" s="343">
        <v>422353.69747899158</v>
      </c>
      <c r="M282" s="341">
        <v>225</v>
      </c>
      <c r="N282" s="341">
        <v>21.439999999999998</v>
      </c>
      <c r="O282" s="341">
        <v>4823.9999999999991</v>
      </c>
      <c r="P282" s="343">
        <v>44366.351155199991</v>
      </c>
      <c r="Q282" s="344" t="s">
        <v>927</v>
      </c>
      <c r="R282" s="341">
        <v>42.879999999999995</v>
      </c>
      <c r="S282" s="341">
        <v>34.303999999999995</v>
      </c>
      <c r="T282" s="343">
        <v>348905.98399999994</v>
      </c>
      <c r="U282" s="376" t="s">
        <v>919</v>
      </c>
    </row>
    <row r="283" spans="1:21">
      <c r="A283" s="362"/>
      <c r="B283" s="384" t="str">
        <f>UPPER((TEXT(Tabla3[[#This Row],[Fecha llegada]],"MMM")))</f>
        <v>AGO</v>
      </c>
      <c r="C283" s="384">
        <f>YEAR(Tabla3[[#This Row],[Fecha llegada]])</f>
        <v>2025</v>
      </c>
      <c r="D283" s="348"/>
      <c r="E283" s="342">
        <v>45878</v>
      </c>
      <c r="F283" s="342">
        <v>45878</v>
      </c>
      <c r="G283" s="341">
        <v>1</v>
      </c>
      <c r="H283" s="341">
        <v>1</v>
      </c>
      <c r="I283" s="343">
        <v>106085.12605042016</v>
      </c>
      <c r="J283" s="341">
        <v>9</v>
      </c>
      <c r="K283" s="343">
        <v>316268.57142857142</v>
      </c>
      <c r="L283" s="343">
        <v>422353.69747899158</v>
      </c>
      <c r="M283" s="341">
        <v>225</v>
      </c>
      <c r="N283" s="341">
        <v>17.300000000000011</v>
      </c>
      <c r="O283" s="341">
        <v>3892.5000000000027</v>
      </c>
      <c r="P283" s="343">
        <v>35799.341184000026</v>
      </c>
      <c r="Q283" s="344" t="s">
        <v>928</v>
      </c>
      <c r="R283" s="341">
        <v>34.600000000000023</v>
      </c>
      <c r="S283" s="341">
        <v>27.680000000000021</v>
      </c>
      <c r="T283" s="343">
        <v>281533.2800000002</v>
      </c>
      <c r="U283" s="376" t="s">
        <v>919</v>
      </c>
    </row>
    <row r="284" spans="1:21">
      <c r="A284" s="362"/>
      <c r="B284" s="384" t="str">
        <f>UPPER((TEXT(Tabla3[[#This Row],[Fecha llegada]],"MMM")))</f>
        <v>AGO</v>
      </c>
      <c r="C284" s="384">
        <f>YEAR(Tabla3[[#This Row],[Fecha llegada]])</f>
        <v>2025</v>
      </c>
      <c r="D284" s="348"/>
      <c r="E284" s="342">
        <v>45879</v>
      </c>
      <c r="F284" s="342">
        <v>45879</v>
      </c>
      <c r="G284" s="341">
        <v>1</v>
      </c>
      <c r="H284" s="341">
        <v>1</v>
      </c>
      <c r="I284" s="343">
        <v>106085.12605042016</v>
      </c>
      <c r="J284" s="341">
        <v>9</v>
      </c>
      <c r="K284" s="343">
        <v>316268.57142857142</v>
      </c>
      <c r="L284" s="343">
        <v>422353.69747899158</v>
      </c>
      <c r="M284" s="341">
        <v>225</v>
      </c>
      <c r="N284" s="341">
        <v>17.451999999999998</v>
      </c>
      <c r="O284" s="341">
        <v>3926.7</v>
      </c>
      <c r="P284" s="343">
        <v>36113.878748160001</v>
      </c>
      <c r="Q284" s="344" t="s">
        <v>929</v>
      </c>
      <c r="R284" s="341">
        <v>34.903999999999996</v>
      </c>
      <c r="S284" s="341">
        <v>27.923199999999998</v>
      </c>
      <c r="T284" s="343">
        <v>284006.86719999998</v>
      </c>
      <c r="U284" s="376" t="s">
        <v>919</v>
      </c>
    </row>
    <row r="285" spans="1:21">
      <c r="A285" s="362"/>
      <c r="B285" s="384" t="str">
        <f>UPPER((TEXT(Tabla3[[#This Row],[Fecha llegada]],"MMM")))</f>
        <v>AGO</v>
      </c>
      <c r="C285" s="384">
        <f>YEAR(Tabla3[[#This Row],[Fecha llegada]])</f>
        <v>2025</v>
      </c>
      <c r="D285" s="348"/>
      <c r="E285" s="342">
        <v>45879</v>
      </c>
      <c r="F285" s="342">
        <v>45879</v>
      </c>
      <c r="G285" s="341"/>
      <c r="H285" s="341"/>
      <c r="I285" s="343"/>
      <c r="J285" s="341"/>
      <c r="K285" s="343"/>
      <c r="L285" s="343"/>
      <c r="M285" s="341">
        <v>225</v>
      </c>
      <c r="N285" s="341">
        <v>17.77000000000001</v>
      </c>
      <c r="O285" s="341">
        <v>3998.2500000000023</v>
      </c>
      <c r="P285" s="343">
        <v>36771.924441600022</v>
      </c>
      <c r="Q285" s="344"/>
      <c r="R285" s="341">
        <v>35.54000000000002</v>
      </c>
      <c r="S285" s="341">
        <v>28.432000000000016</v>
      </c>
      <c r="T285" s="343">
        <v>289181.87200000015</v>
      </c>
      <c r="U285" s="376" t="s">
        <v>919</v>
      </c>
    </row>
    <row r="286" spans="1:21" ht="24">
      <c r="A286" s="362"/>
      <c r="B286" s="384" t="str">
        <f>UPPER((TEXT(Tabla3[[#This Row],[Fecha llegada]],"MMM")))</f>
        <v>AGO</v>
      </c>
      <c r="C286" s="384">
        <f>YEAR(Tabla3[[#This Row],[Fecha llegada]])</f>
        <v>2025</v>
      </c>
      <c r="D286" s="348"/>
      <c r="E286" s="342">
        <v>45879</v>
      </c>
      <c r="F286" s="342">
        <v>45880</v>
      </c>
      <c r="G286" s="341">
        <v>1</v>
      </c>
      <c r="H286" s="341">
        <v>2</v>
      </c>
      <c r="I286" s="343">
        <v>212170.25210084033</v>
      </c>
      <c r="J286" s="341">
        <v>14</v>
      </c>
      <c r="K286" s="343">
        <v>221894.87450980395</v>
      </c>
      <c r="L286" s="343">
        <v>434065.12661064428</v>
      </c>
      <c r="M286" s="341">
        <v>388.33</v>
      </c>
      <c r="N286" s="341">
        <v>257</v>
      </c>
      <c r="O286" s="341">
        <v>99800.81</v>
      </c>
      <c r="P286" s="343">
        <v>917868.52861388796</v>
      </c>
      <c r="Q286" s="344" t="s">
        <v>895</v>
      </c>
      <c r="R286" s="341">
        <v>702</v>
      </c>
      <c r="S286" s="341">
        <v>561.6</v>
      </c>
      <c r="T286" s="343">
        <v>5712033.6000000006</v>
      </c>
      <c r="U286" s="376" t="s">
        <v>919</v>
      </c>
    </row>
    <row r="287" spans="1:21">
      <c r="A287" s="362"/>
      <c r="B287" s="384" t="str">
        <f>UPPER((TEXT(Tabla3[[#This Row],[Fecha llegada]],"MMM")))</f>
        <v>AGO</v>
      </c>
      <c r="C287" s="384">
        <f>YEAR(Tabla3[[#This Row],[Fecha llegada]])</f>
        <v>2025</v>
      </c>
      <c r="D287" s="348"/>
      <c r="E287" s="342">
        <v>45881</v>
      </c>
      <c r="F287" s="342">
        <v>45881</v>
      </c>
      <c r="G287" s="341">
        <v>1</v>
      </c>
      <c r="H287" s="341">
        <v>1</v>
      </c>
      <c r="I287" s="343">
        <v>106085.12605042016</v>
      </c>
      <c r="J287" s="341">
        <v>9</v>
      </c>
      <c r="K287" s="343">
        <v>316268.57142857142</v>
      </c>
      <c r="L287" s="343">
        <v>422353.69747899158</v>
      </c>
      <c r="M287" s="341">
        <v>225</v>
      </c>
      <c r="N287" s="341">
        <v>17.77000000000001</v>
      </c>
      <c r="O287" s="341">
        <v>3998.2500000000023</v>
      </c>
      <c r="P287" s="343">
        <v>36771.924441600022</v>
      </c>
      <c r="Q287" s="344" t="s">
        <v>930</v>
      </c>
      <c r="R287" s="341">
        <v>35.54000000000002</v>
      </c>
      <c r="S287" s="341">
        <v>28.432000000000016</v>
      </c>
      <c r="T287" s="343">
        <v>289181.87200000015</v>
      </c>
      <c r="U287" s="376" t="s">
        <v>919</v>
      </c>
    </row>
    <row r="288" spans="1:21" ht="24">
      <c r="A288" s="362"/>
      <c r="B288" s="384" t="str">
        <f>UPPER((TEXT(Tabla3[[#This Row],[Fecha llegada]],"MMM")))</f>
        <v>AGO</v>
      </c>
      <c r="C288" s="384">
        <f>YEAR(Tabla3[[#This Row],[Fecha llegada]])</f>
        <v>2025</v>
      </c>
      <c r="D288" s="348"/>
      <c r="E288" s="342">
        <v>45881</v>
      </c>
      <c r="F288" s="342">
        <v>45882</v>
      </c>
      <c r="G288" s="341">
        <v>1</v>
      </c>
      <c r="H288" s="341">
        <v>2</v>
      </c>
      <c r="I288" s="343">
        <v>212170.25210084033</v>
      </c>
      <c r="J288" s="341">
        <v>12</v>
      </c>
      <c r="K288" s="343">
        <v>190195.60672268909</v>
      </c>
      <c r="L288" s="343">
        <v>402365.85882352944</v>
      </c>
      <c r="M288" s="341">
        <v>334.78</v>
      </c>
      <c r="N288" s="341">
        <v>257</v>
      </c>
      <c r="O288" s="341">
        <v>86038.459999999992</v>
      </c>
      <c r="P288" s="343">
        <v>791296.12960460794</v>
      </c>
      <c r="Q288" s="344" t="s">
        <v>895</v>
      </c>
      <c r="R288" s="341">
        <v>702</v>
      </c>
      <c r="S288" s="341">
        <v>561.6</v>
      </c>
      <c r="T288" s="343">
        <v>5712033.6000000006</v>
      </c>
      <c r="U288" s="376" t="s">
        <v>919</v>
      </c>
    </row>
    <row r="289" spans="1:21">
      <c r="A289" s="362"/>
      <c r="B289" s="384" t="str">
        <f>UPPER((TEXT(Tabla3[[#This Row],[Fecha llegada]],"MMM")))</f>
        <v>AGO</v>
      </c>
      <c r="C289" s="384">
        <f>YEAR(Tabla3[[#This Row],[Fecha llegada]])</f>
        <v>2025</v>
      </c>
      <c r="D289" s="348"/>
      <c r="E289" s="342">
        <v>45883</v>
      </c>
      <c r="F289" s="342">
        <v>45883</v>
      </c>
      <c r="G289" s="341">
        <v>1</v>
      </c>
      <c r="H289" s="341">
        <v>1</v>
      </c>
      <c r="I289" s="343">
        <v>106085.12605042016</v>
      </c>
      <c r="J289" s="341">
        <v>9</v>
      </c>
      <c r="K289" s="343">
        <v>316268.57142857142</v>
      </c>
      <c r="L289" s="343">
        <v>422353.69747899158</v>
      </c>
      <c r="M289" s="341">
        <v>225</v>
      </c>
      <c r="N289" s="341">
        <v>18.352000000000004</v>
      </c>
      <c r="O289" s="341">
        <v>4129.2000000000007</v>
      </c>
      <c r="P289" s="343">
        <v>37976.272220160005</v>
      </c>
      <c r="Q289" s="344" t="s">
        <v>931</v>
      </c>
      <c r="R289" s="341">
        <v>36.704000000000008</v>
      </c>
      <c r="S289" s="341">
        <v>29.363200000000006</v>
      </c>
      <c r="T289" s="343">
        <v>298653.10720000009</v>
      </c>
      <c r="U289" s="376" t="s">
        <v>919</v>
      </c>
    </row>
    <row r="290" spans="1:21" ht="24">
      <c r="A290" s="362"/>
      <c r="B290" s="384" t="str">
        <f>UPPER((TEXT(Tabla3[[#This Row],[Fecha llegada]],"MMM")))</f>
        <v>AGO</v>
      </c>
      <c r="C290" s="384">
        <f>YEAR(Tabla3[[#This Row],[Fecha llegada]])</f>
        <v>2025</v>
      </c>
      <c r="D290" s="348"/>
      <c r="E290" s="342">
        <v>45883</v>
      </c>
      <c r="F290" s="342">
        <v>45884</v>
      </c>
      <c r="G290" s="341">
        <v>1</v>
      </c>
      <c r="H290" s="341">
        <v>2</v>
      </c>
      <c r="I290" s="343">
        <v>212170.25210084033</v>
      </c>
      <c r="J290" s="341">
        <v>14</v>
      </c>
      <c r="K290" s="343">
        <v>221894.87450980395</v>
      </c>
      <c r="L290" s="343">
        <v>434065.12661064428</v>
      </c>
      <c r="M290" s="341">
        <v>389.55</v>
      </c>
      <c r="N290" s="341">
        <v>257</v>
      </c>
      <c r="O290" s="341">
        <v>100114.35</v>
      </c>
      <c r="P290" s="343">
        <v>920752.15749888006</v>
      </c>
      <c r="Q290" s="344" t="s">
        <v>895</v>
      </c>
      <c r="R290" s="341">
        <v>702</v>
      </c>
      <c r="S290" s="341">
        <v>561.6</v>
      </c>
      <c r="T290" s="343">
        <v>5712033.6000000006</v>
      </c>
      <c r="U290" s="376" t="s">
        <v>919</v>
      </c>
    </row>
    <row r="291" spans="1:21">
      <c r="A291" s="362"/>
      <c r="B291" s="384" t="str">
        <f>UPPER((TEXT(Tabla3[[#This Row],[Fecha llegada]],"MMM")))</f>
        <v>AGO</v>
      </c>
      <c r="C291" s="384">
        <f>YEAR(Tabla3[[#This Row],[Fecha llegada]])</f>
        <v>2025</v>
      </c>
      <c r="D291" s="348"/>
      <c r="E291" s="342">
        <v>45885</v>
      </c>
      <c r="F291" s="342">
        <v>45885</v>
      </c>
      <c r="G291" s="341">
        <v>1</v>
      </c>
      <c r="H291" s="341">
        <v>1</v>
      </c>
      <c r="I291" s="343">
        <v>106085.12605042016</v>
      </c>
      <c r="J291" s="341">
        <v>9</v>
      </c>
      <c r="K291" s="343">
        <v>316268.57142857142</v>
      </c>
      <c r="L291" s="343">
        <v>422353.69747899158</v>
      </c>
      <c r="M291" s="341">
        <v>225</v>
      </c>
      <c r="N291" s="341">
        <v>5.1129999999999995</v>
      </c>
      <c r="O291" s="341">
        <v>1150.425</v>
      </c>
      <c r="P291" s="343">
        <v>10580.464247039999</v>
      </c>
      <c r="Q291" s="344" t="s">
        <v>932</v>
      </c>
      <c r="R291" s="341">
        <v>10.225999999999999</v>
      </c>
      <c r="S291" s="341">
        <v>8.1807999999999996</v>
      </c>
      <c r="T291" s="343">
        <v>83206.916799999992</v>
      </c>
      <c r="U291" s="376" t="s">
        <v>919</v>
      </c>
    </row>
    <row r="292" spans="1:21" ht="24">
      <c r="A292" s="362"/>
      <c r="B292" s="384" t="str">
        <f>UPPER((TEXT(Tabla3[[#This Row],[Fecha llegada]],"MMM")))</f>
        <v>AGO</v>
      </c>
      <c r="C292" s="384">
        <f>YEAR(Tabla3[[#This Row],[Fecha llegada]])</f>
        <v>2025</v>
      </c>
      <c r="D292" s="348"/>
      <c r="E292" s="342">
        <v>45885</v>
      </c>
      <c r="F292" s="342">
        <v>45886</v>
      </c>
      <c r="G292" s="341">
        <v>1</v>
      </c>
      <c r="H292" s="341">
        <v>2</v>
      </c>
      <c r="I292" s="343">
        <v>212170.25210084033</v>
      </c>
      <c r="J292" s="341">
        <v>12</v>
      </c>
      <c r="K292" s="343">
        <v>190195.60672268909</v>
      </c>
      <c r="L292" s="343">
        <v>402365.85882352944</v>
      </c>
      <c r="M292" s="341">
        <v>332.33</v>
      </c>
      <c r="N292" s="341">
        <v>257</v>
      </c>
      <c r="O292" s="341">
        <v>85408.81</v>
      </c>
      <c r="P292" s="343">
        <v>785505.23553228797</v>
      </c>
      <c r="Q292" s="344" t="s">
        <v>895</v>
      </c>
      <c r="R292" s="341">
        <v>702</v>
      </c>
      <c r="S292" s="341">
        <v>561.6</v>
      </c>
      <c r="T292" s="343">
        <v>5712033.6000000006</v>
      </c>
      <c r="U292" s="376" t="s">
        <v>919</v>
      </c>
    </row>
    <row r="293" spans="1:21">
      <c r="A293" s="362"/>
      <c r="B293" s="384" t="str">
        <f>UPPER((TEXT(Tabla3[[#This Row],[Fecha llegada]],"MMM")))</f>
        <v>AGO</v>
      </c>
      <c r="C293" s="384">
        <f>YEAR(Tabla3[[#This Row],[Fecha llegada]])</f>
        <v>2025</v>
      </c>
      <c r="D293" s="348"/>
      <c r="E293" s="342">
        <v>45889</v>
      </c>
      <c r="F293" s="342">
        <v>45889</v>
      </c>
      <c r="G293" s="341">
        <v>1</v>
      </c>
      <c r="H293" s="341">
        <v>1</v>
      </c>
      <c r="I293" s="343">
        <v>106085.12605042016</v>
      </c>
      <c r="J293" s="341">
        <v>9</v>
      </c>
      <c r="K293" s="343">
        <v>316268.57142857142</v>
      </c>
      <c r="L293" s="343">
        <v>422353.69747899158</v>
      </c>
      <c r="M293" s="341">
        <v>225</v>
      </c>
      <c r="N293" s="341">
        <v>2.796999999999997</v>
      </c>
      <c r="O293" s="341">
        <v>629.32499999999936</v>
      </c>
      <c r="P293" s="343">
        <v>5787.9050457599942</v>
      </c>
      <c r="Q293" s="344" t="s">
        <v>933</v>
      </c>
      <c r="R293" s="341">
        <v>5.5939999999999941</v>
      </c>
      <c r="S293" s="341">
        <v>4.4751999999999956</v>
      </c>
      <c r="T293" s="343">
        <v>45517.259199999957</v>
      </c>
      <c r="U293" s="376" t="s">
        <v>919</v>
      </c>
    </row>
    <row r="294" spans="1:21" ht="24">
      <c r="A294" s="362"/>
      <c r="B294" s="384" t="str">
        <f>UPPER((TEXT(Tabla3[[#This Row],[Fecha llegada]],"MMM")))</f>
        <v>AGO</v>
      </c>
      <c r="C294" s="384">
        <f>YEAR(Tabla3[[#This Row],[Fecha llegada]])</f>
        <v>2025</v>
      </c>
      <c r="D294" s="348"/>
      <c r="E294" s="342">
        <v>45889</v>
      </c>
      <c r="F294" s="342">
        <v>45890</v>
      </c>
      <c r="G294" s="341">
        <v>1</v>
      </c>
      <c r="H294" s="341">
        <v>2</v>
      </c>
      <c r="I294" s="343">
        <v>212170.25210084033</v>
      </c>
      <c r="J294" s="341">
        <v>12</v>
      </c>
      <c r="K294" s="343">
        <v>190195.60672268909</v>
      </c>
      <c r="L294" s="343">
        <v>402365.85882352944</v>
      </c>
      <c r="M294" s="341">
        <v>333.55</v>
      </c>
      <c r="N294" s="341">
        <v>257</v>
      </c>
      <c r="O294" s="341">
        <v>85722.35</v>
      </c>
      <c r="P294" s="343">
        <v>788388.86441728007</v>
      </c>
      <c r="Q294" s="344" t="s">
        <v>895</v>
      </c>
      <c r="R294" s="341">
        <v>702</v>
      </c>
      <c r="S294" s="341">
        <v>561.6</v>
      </c>
      <c r="T294" s="343">
        <v>5712033.6000000006</v>
      </c>
      <c r="U294" s="376" t="s">
        <v>919</v>
      </c>
    </row>
    <row r="295" spans="1:21">
      <c r="A295" s="362"/>
      <c r="B295" s="384" t="str">
        <f>UPPER((TEXT(Tabla3[[#This Row],[Fecha llegada]],"MMM")))</f>
        <v>AGO</v>
      </c>
      <c r="C295" s="384">
        <f>YEAR(Tabla3[[#This Row],[Fecha llegada]])</f>
        <v>2025</v>
      </c>
      <c r="D295" s="348"/>
      <c r="E295" s="342">
        <v>45891</v>
      </c>
      <c r="F295" s="342">
        <v>45891</v>
      </c>
      <c r="G295" s="341">
        <v>1</v>
      </c>
      <c r="H295" s="341">
        <v>1</v>
      </c>
      <c r="I295" s="343">
        <v>106085.12605042016</v>
      </c>
      <c r="J295" s="341">
        <v>9</v>
      </c>
      <c r="K295" s="343">
        <v>316268.57142857142</v>
      </c>
      <c r="L295" s="343">
        <v>422353.69747899158</v>
      </c>
      <c r="M295" s="341">
        <v>225</v>
      </c>
      <c r="N295" s="341">
        <v>2.65300000000002</v>
      </c>
      <c r="O295" s="341">
        <v>596.9250000000045</v>
      </c>
      <c r="P295" s="343">
        <v>5489.9220902400411</v>
      </c>
      <c r="Q295" s="344" t="s">
        <v>934</v>
      </c>
      <c r="R295" s="341">
        <v>5.30600000000004</v>
      </c>
      <c r="S295" s="341">
        <v>4.2448000000000325</v>
      </c>
      <c r="T295" s="343">
        <v>43173.86080000033</v>
      </c>
      <c r="U295" s="376" t="s">
        <v>919</v>
      </c>
    </row>
    <row r="296" spans="1:21" ht="24">
      <c r="A296" s="362"/>
      <c r="B296" s="384" t="str">
        <f>UPPER((TEXT(Tabla3[[#This Row],[Fecha llegada]],"MMM")))</f>
        <v>AGO</v>
      </c>
      <c r="C296" s="384">
        <f>YEAR(Tabla3[[#This Row],[Fecha llegada]])</f>
        <v>2025</v>
      </c>
      <c r="D296" s="348"/>
      <c r="E296" s="342">
        <v>45891</v>
      </c>
      <c r="F296" s="342">
        <v>45892</v>
      </c>
      <c r="G296" s="341">
        <v>1</v>
      </c>
      <c r="H296" s="341">
        <v>2</v>
      </c>
      <c r="I296" s="343">
        <v>212170.25210084033</v>
      </c>
      <c r="J296" s="341">
        <v>12</v>
      </c>
      <c r="K296" s="343">
        <v>190195.60672268909</v>
      </c>
      <c r="L296" s="343">
        <v>402365.85882352944</v>
      </c>
      <c r="M296" s="341">
        <v>332.33</v>
      </c>
      <c r="N296" s="341">
        <v>257</v>
      </c>
      <c r="O296" s="341">
        <v>85408.81</v>
      </c>
      <c r="P296" s="343">
        <v>785505.23553228797</v>
      </c>
      <c r="Q296" s="344" t="s">
        <v>895</v>
      </c>
      <c r="R296" s="341">
        <v>702</v>
      </c>
      <c r="S296" s="341">
        <v>561.6</v>
      </c>
      <c r="T296" s="343">
        <v>5712033.6000000006</v>
      </c>
      <c r="U296" s="376" t="s">
        <v>919</v>
      </c>
    </row>
    <row r="297" spans="1:21">
      <c r="A297" s="362"/>
      <c r="B297" s="384" t="str">
        <f>UPPER((TEXT(Tabla3[[#This Row],[Fecha llegada]],"MMM")))</f>
        <v>AGO</v>
      </c>
      <c r="C297" s="384">
        <f>YEAR(Tabla3[[#This Row],[Fecha llegada]])</f>
        <v>2025</v>
      </c>
      <c r="D297" s="348"/>
      <c r="E297" s="342">
        <v>45893</v>
      </c>
      <c r="F297" s="342">
        <v>45893</v>
      </c>
      <c r="G297" s="341">
        <v>1</v>
      </c>
      <c r="H297" s="341">
        <v>1</v>
      </c>
      <c r="I297" s="343">
        <v>106085.12605042016</v>
      </c>
      <c r="J297" s="341">
        <v>9</v>
      </c>
      <c r="K297" s="343">
        <v>316268.57142857142</v>
      </c>
      <c r="L297" s="343">
        <v>422353.69747899158</v>
      </c>
      <c r="M297" s="341">
        <v>225</v>
      </c>
      <c r="N297" s="341">
        <v>2.65300000000002</v>
      </c>
      <c r="O297" s="341">
        <v>596.9250000000045</v>
      </c>
      <c r="P297" s="343">
        <v>5489.9220902400411</v>
      </c>
      <c r="Q297" s="344" t="s">
        <v>935</v>
      </c>
      <c r="R297" s="341">
        <v>5.30600000000004</v>
      </c>
      <c r="S297" s="341">
        <v>4.2448000000000325</v>
      </c>
      <c r="T297" s="343">
        <v>43173.86080000033</v>
      </c>
      <c r="U297" s="376" t="s">
        <v>919</v>
      </c>
    </row>
    <row r="298" spans="1:21" ht="24">
      <c r="A298" s="362"/>
      <c r="B298" s="384" t="str">
        <f>UPPER((TEXT(Tabla3[[#This Row],[Fecha llegada]],"MMM")))</f>
        <v>AGO</v>
      </c>
      <c r="C298" s="384">
        <f>YEAR(Tabla3[[#This Row],[Fecha llegada]])</f>
        <v>2025</v>
      </c>
      <c r="D298" s="348"/>
      <c r="E298" s="342">
        <v>45893</v>
      </c>
      <c r="F298" s="342">
        <v>45894</v>
      </c>
      <c r="G298" s="341">
        <v>1</v>
      </c>
      <c r="H298" s="341">
        <v>2</v>
      </c>
      <c r="I298" s="343">
        <v>212170.25210084033</v>
      </c>
      <c r="J298" s="341">
        <v>12</v>
      </c>
      <c r="K298" s="343">
        <v>190195.60672268909</v>
      </c>
      <c r="L298" s="343">
        <v>402365.85882352944</v>
      </c>
      <c r="M298" s="341">
        <v>332.33</v>
      </c>
      <c r="N298" s="341">
        <v>257</v>
      </c>
      <c r="O298" s="341">
        <v>85408.81</v>
      </c>
      <c r="P298" s="343">
        <v>785505.23553228797</v>
      </c>
      <c r="Q298" s="344" t="s">
        <v>895</v>
      </c>
      <c r="R298" s="341">
        <v>702</v>
      </c>
      <c r="S298" s="341">
        <v>561.6</v>
      </c>
      <c r="T298" s="343">
        <v>5712033.6000000006</v>
      </c>
      <c r="U298" s="376" t="s">
        <v>919</v>
      </c>
    </row>
    <row r="299" spans="1:21" ht="24">
      <c r="A299" s="362"/>
      <c r="B299" s="384" t="str">
        <f>UPPER((TEXT(Tabla3[[#This Row],[Fecha llegada]],"MMM")))</f>
        <v>AGO</v>
      </c>
      <c r="C299" s="384">
        <f>YEAR(Tabla3[[#This Row],[Fecha llegada]])</f>
        <v>2025</v>
      </c>
      <c r="D299" s="348"/>
      <c r="E299" s="342">
        <v>45895</v>
      </c>
      <c r="F299" s="342">
        <v>45896</v>
      </c>
      <c r="G299" s="341">
        <v>2</v>
      </c>
      <c r="H299" s="341">
        <v>2</v>
      </c>
      <c r="I299" s="343">
        <v>424340.50420168065</v>
      </c>
      <c r="J299" s="341">
        <v>12</v>
      </c>
      <c r="K299" s="343">
        <v>380391.21344537818</v>
      </c>
      <c r="L299" s="343">
        <v>804731.71764705889</v>
      </c>
      <c r="M299" s="341">
        <v>333.55</v>
      </c>
      <c r="N299" s="341">
        <v>257</v>
      </c>
      <c r="O299" s="341">
        <v>85722.35</v>
      </c>
      <c r="P299" s="343">
        <v>788388.86441728007</v>
      </c>
      <c r="Q299" s="344" t="s">
        <v>895</v>
      </c>
      <c r="R299" s="341">
        <v>702</v>
      </c>
      <c r="S299" s="341">
        <v>561.6</v>
      </c>
      <c r="T299" s="343">
        <v>5712033.6000000006</v>
      </c>
      <c r="U299" s="376" t="s">
        <v>919</v>
      </c>
    </row>
    <row r="300" spans="1:21">
      <c r="A300" s="362"/>
      <c r="B300" s="384" t="str">
        <f>UPPER((TEXT(Tabla3[[#This Row],[Fecha llegada]],"MMM")))</f>
        <v>AGO</v>
      </c>
      <c r="C300" s="384">
        <f>YEAR(Tabla3[[#This Row],[Fecha llegada]])</f>
        <v>2025</v>
      </c>
      <c r="D300" s="348"/>
      <c r="E300" s="342">
        <v>45897</v>
      </c>
      <c r="F300" s="342">
        <v>45897</v>
      </c>
      <c r="G300" s="341">
        <v>1</v>
      </c>
      <c r="H300" s="341">
        <v>1</v>
      </c>
      <c r="I300" s="343">
        <v>106085.12605042016</v>
      </c>
      <c r="J300" s="341">
        <v>6</v>
      </c>
      <c r="K300" s="343">
        <v>210845.71428571429</v>
      </c>
      <c r="L300" s="343">
        <v>316930.84033613442</v>
      </c>
      <c r="M300" s="341">
        <v>50</v>
      </c>
      <c r="N300" s="341">
        <v>10.043000000000006</v>
      </c>
      <c r="O300" s="341">
        <v>502.15000000000032</v>
      </c>
      <c r="P300" s="343">
        <v>4618.2759603200029</v>
      </c>
      <c r="Q300" s="344" t="s">
        <v>936</v>
      </c>
      <c r="R300" s="341">
        <v>20.086000000000013</v>
      </c>
      <c r="S300" s="341">
        <v>16.06880000000001</v>
      </c>
      <c r="T300" s="343">
        <v>163435.76480000009</v>
      </c>
      <c r="U300" s="376" t="s">
        <v>919</v>
      </c>
    </row>
    <row r="301" spans="1:21">
      <c r="A301" s="362"/>
      <c r="B301" s="384" t="str">
        <f>UPPER((TEXT(Tabla3[[#This Row],[Fecha llegada]],"MMM")))</f>
        <v>AGO</v>
      </c>
      <c r="C301" s="384">
        <f>YEAR(Tabla3[[#This Row],[Fecha llegada]])</f>
        <v>2025</v>
      </c>
      <c r="D301" s="348"/>
      <c r="E301" s="342">
        <v>45897</v>
      </c>
      <c r="F301" s="342">
        <v>45897</v>
      </c>
      <c r="G301" s="341"/>
      <c r="H301" s="341"/>
      <c r="I301" s="343"/>
      <c r="J301" s="341"/>
      <c r="K301" s="343"/>
      <c r="L301" s="343"/>
      <c r="M301" s="341">
        <v>150</v>
      </c>
      <c r="N301" s="341">
        <v>14.650000000000006</v>
      </c>
      <c r="O301" s="341">
        <v>2197.5000000000009</v>
      </c>
      <c r="P301" s="343">
        <v>20210.41804800001</v>
      </c>
      <c r="Q301" s="344"/>
      <c r="R301" s="341">
        <v>29.300000000000011</v>
      </c>
      <c r="S301" s="341">
        <v>23.440000000000012</v>
      </c>
      <c r="T301" s="343">
        <v>238408.24000000011</v>
      </c>
      <c r="U301" s="376" t="s">
        <v>919</v>
      </c>
    </row>
    <row r="302" spans="1:21" ht="24">
      <c r="A302" s="362"/>
      <c r="B302" s="384" t="str">
        <f>UPPER((TEXT(Tabla3[[#This Row],[Fecha llegada]],"MMM")))</f>
        <v>AGO</v>
      </c>
      <c r="C302" s="384">
        <f>YEAR(Tabla3[[#This Row],[Fecha llegada]])</f>
        <v>2025</v>
      </c>
      <c r="D302" s="348"/>
      <c r="E302" s="342">
        <v>45897</v>
      </c>
      <c r="F302" s="342">
        <v>45898</v>
      </c>
      <c r="G302" s="341">
        <v>1</v>
      </c>
      <c r="H302" s="341">
        <v>2</v>
      </c>
      <c r="I302" s="343">
        <v>212170.25210084033</v>
      </c>
      <c r="J302" s="341">
        <v>12</v>
      </c>
      <c r="K302" s="343">
        <v>190195.60672268909</v>
      </c>
      <c r="L302" s="343">
        <v>402365.85882352944</v>
      </c>
      <c r="M302" s="341">
        <v>332.33</v>
      </c>
      <c r="N302" s="341">
        <v>257</v>
      </c>
      <c r="O302" s="341">
        <v>85408.81</v>
      </c>
      <c r="P302" s="343">
        <v>785505.23553228797</v>
      </c>
      <c r="Q302" s="344" t="s">
        <v>895</v>
      </c>
      <c r="R302" s="341">
        <v>702</v>
      </c>
      <c r="S302" s="341">
        <v>561.6</v>
      </c>
      <c r="T302" s="343">
        <v>5712033.6000000006</v>
      </c>
      <c r="U302" s="376" t="s">
        <v>919</v>
      </c>
    </row>
    <row r="303" spans="1:21">
      <c r="A303" s="362"/>
      <c r="B303" s="384" t="str">
        <f>UPPER((TEXT(Tabla3[[#This Row],[Fecha llegada]],"MMM")))</f>
        <v>AGO</v>
      </c>
      <c r="C303" s="384">
        <f>YEAR(Tabla3[[#This Row],[Fecha llegada]])</f>
        <v>2025</v>
      </c>
      <c r="D303" s="348"/>
      <c r="E303" s="342">
        <v>45899</v>
      </c>
      <c r="F303" s="342">
        <v>45899</v>
      </c>
      <c r="G303" s="341">
        <v>1</v>
      </c>
      <c r="H303" s="341">
        <v>1</v>
      </c>
      <c r="I303" s="343">
        <v>106085.12605042016</v>
      </c>
      <c r="J303" s="341">
        <v>6</v>
      </c>
      <c r="K303" s="343">
        <v>210845.71428571429</v>
      </c>
      <c r="L303" s="343">
        <v>316930.84033613442</v>
      </c>
      <c r="M303" s="341">
        <v>150</v>
      </c>
      <c r="N303" s="341">
        <v>6.1630000000000109</v>
      </c>
      <c r="O303" s="341">
        <v>924.45000000000164</v>
      </c>
      <c r="P303" s="343">
        <v>8502.171087360015</v>
      </c>
      <c r="Q303" s="344" t="s">
        <v>937</v>
      </c>
      <c r="R303" s="341">
        <v>12.326000000000022</v>
      </c>
      <c r="S303" s="341">
        <v>9.8608000000000189</v>
      </c>
      <c r="T303" s="343">
        <v>100294.19680000019</v>
      </c>
      <c r="U303" s="376" t="s">
        <v>919</v>
      </c>
    </row>
    <row r="304" spans="1:21">
      <c r="A304" s="362"/>
      <c r="B304" s="384" t="str">
        <f>UPPER((TEXT(Tabla3[[#This Row],[Fecha llegada]],"MMM")))</f>
        <v>AGO</v>
      </c>
      <c r="C304" s="384">
        <f>YEAR(Tabla3[[#This Row],[Fecha llegada]])</f>
        <v>2025</v>
      </c>
      <c r="D304" s="348"/>
      <c r="E304" s="342">
        <v>45899</v>
      </c>
      <c r="F304" s="342">
        <v>45899</v>
      </c>
      <c r="G304" s="341"/>
      <c r="H304" s="341"/>
      <c r="I304" s="343"/>
      <c r="J304" s="341"/>
      <c r="K304" s="343"/>
      <c r="L304" s="343"/>
      <c r="M304" s="341">
        <v>150</v>
      </c>
      <c r="N304" s="341">
        <v>6.1630000000000109</v>
      </c>
      <c r="O304" s="341">
        <v>924.45000000000164</v>
      </c>
      <c r="P304" s="343">
        <v>8502.171087360015</v>
      </c>
      <c r="Q304" s="344"/>
      <c r="R304" s="341">
        <v>12.326000000000022</v>
      </c>
      <c r="S304" s="341">
        <v>9.8608000000000189</v>
      </c>
      <c r="T304" s="343">
        <v>100294.19680000019</v>
      </c>
      <c r="U304" s="376" t="s">
        <v>919</v>
      </c>
    </row>
    <row r="305" spans="1:21" ht="24">
      <c r="A305" s="370"/>
      <c r="B305" s="385" t="str">
        <f>UPPER((TEXT(Tabla3[[#This Row],[Fecha llegada]],"MMM")))</f>
        <v>AGO</v>
      </c>
      <c r="C305" s="385">
        <f>YEAR(Tabla3[[#This Row],[Fecha llegada]])</f>
        <v>2025</v>
      </c>
      <c r="D305" s="371"/>
      <c r="E305" s="372">
        <v>45899</v>
      </c>
      <c r="F305" s="372">
        <v>45900</v>
      </c>
      <c r="G305" s="373">
        <v>1</v>
      </c>
      <c r="H305" s="373">
        <v>2</v>
      </c>
      <c r="I305" s="374">
        <v>212170.25210084033</v>
      </c>
      <c r="J305" s="373">
        <v>12</v>
      </c>
      <c r="K305" s="374">
        <v>190195.60672268909</v>
      </c>
      <c r="L305" s="374">
        <v>402365.85882352944</v>
      </c>
      <c r="M305" s="373">
        <v>332.32</v>
      </c>
      <c r="N305" s="373">
        <v>257</v>
      </c>
      <c r="O305" s="373">
        <v>85406.24</v>
      </c>
      <c r="P305" s="374">
        <v>785481.59922995209</v>
      </c>
      <c r="Q305" s="375" t="s">
        <v>895</v>
      </c>
      <c r="R305" s="373">
        <v>702</v>
      </c>
      <c r="S305" s="373">
        <v>561.6</v>
      </c>
      <c r="T305" s="374">
        <v>5712033.6000000006</v>
      </c>
      <c r="U305" s="376" t="s">
        <v>919</v>
      </c>
    </row>
    <row r="306" spans="1:21">
      <c r="A306" s="362"/>
      <c r="B306" s="384" t="str">
        <f>UPPER((TEXT(Tabla3[[#This Row],[Fecha llegada]],"MMM")))</f>
        <v>SEP</v>
      </c>
      <c r="C306" s="384">
        <f>YEAR(Tabla3[[#This Row],[Fecha llegada]])</f>
        <v>2025</v>
      </c>
      <c r="D306" s="348"/>
      <c r="E306" s="342">
        <v>45902</v>
      </c>
      <c r="F306" s="342">
        <v>45902</v>
      </c>
      <c r="G306" s="341">
        <v>1</v>
      </c>
      <c r="H306" s="341">
        <v>1</v>
      </c>
      <c r="I306" s="343">
        <v>342854.87394957984</v>
      </c>
      <c r="J306" s="341">
        <v>6</v>
      </c>
      <c r="K306" s="343">
        <v>360103.52941176476</v>
      </c>
      <c r="L306" s="343">
        <v>702958.40336134459</v>
      </c>
      <c r="M306" s="341">
        <v>150</v>
      </c>
      <c r="N306" s="341">
        <v>6.4159999999999968</v>
      </c>
      <c r="O306" s="341">
        <v>962.39999999999952</v>
      </c>
      <c r="P306" s="343">
        <v>8851.1974195199964</v>
      </c>
      <c r="Q306" s="344" t="s">
        <v>966</v>
      </c>
      <c r="R306" s="341">
        <v>12.831999999999994</v>
      </c>
      <c r="S306" s="341">
        <v>10.265599999999996</v>
      </c>
      <c r="T306" s="343">
        <v>104411.41759999996</v>
      </c>
      <c r="U306" s="376" t="s">
        <v>945</v>
      </c>
    </row>
    <row r="307" spans="1:21">
      <c r="A307" s="362"/>
      <c r="B307" s="384" t="str">
        <f>UPPER((TEXT(Tabla3[[#This Row],[Fecha llegada]],"MMM")))</f>
        <v>SEP</v>
      </c>
      <c r="C307" s="384">
        <f>YEAR(Tabla3[[#This Row],[Fecha llegada]])</f>
        <v>2025</v>
      </c>
      <c r="D307" s="348"/>
      <c r="E307" s="342">
        <v>45902</v>
      </c>
      <c r="F307" s="342">
        <v>45902</v>
      </c>
      <c r="G307" s="341"/>
      <c r="H307" s="341"/>
      <c r="I307" s="343"/>
      <c r="J307" s="341"/>
      <c r="K307" s="343"/>
      <c r="L307" s="343"/>
      <c r="M307" s="341">
        <v>150</v>
      </c>
      <c r="N307" s="341">
        <v>9.3259999999999934</v>
      </c>
      <c r="O307" s="341">
        <v>1398.899999999999</v>
      </c>
      <c r="P307" s="343">
        <v>12865.69001471999</v>
      </c>
      <c r="Q307" s="344"/>
      <c r="R307" s="341">
        <v>18.651999999999987</v>
      </c>
      <c r="S307" s="341">
        <v>14.921599999999991</v>
      </c>
      <c r="T307" s="343">
        <v>151767.59359999991</v>
      </c>
      <c r="U307" s="376" t="s">
        <v>945</v>
      </c>
    </row>
    <row r="308" spans="1:21" ht="24">
      <c r="A308" s="362"/>
      <c r="B308" s="384" t="str">
        <f>UPPER((TEXT(Tabla3[[#This Row],[Fecha llegada]],"MMM")))</f>
        <v>SEP</v>
      </c>
      <c r="C308" s="384">
        <f>YEAR(Tabla3[[#This Row],[Fecha llegada]])</f>
        <v>2025</v>
      </c>
      <c r="D308" s="348"/>
      <c r="E308" s="342">
        <v>45902</v>
      </c>
      <c r="F308" s="342">
        <v>45903</v>
      </c>
      <c r="G308" s="341">
        <v>1</v>
      </c>
      <c r="H308" s="341">
        <v>2</v>
      </c>
      <c r="I308" s="343">
        <v>685709.74789915967</v>
      </c>
      <c r="J308" s="341">
        <v>12</v>
      </c>
      <c r="K308" s="343">
        <v>324881.87563025206</v>
      </c>
      <c r="L308" s="343">
        <v>1010591.6235294117</v>
      </c>
      <c r="M308" s="341">
        <v>332.33</v>
      </c>
      <c r="N308" s="341">
        <v>257</v>
      </c>
      <c r="O308" s="341">
        <v>85408.81</v>
      </c>
      <c r="P308" s="343">
        <v>785505.23553228797</v>
      </c>
      <c r="Q308" s="344" t="s">
        <v>958</v>
      </c>
      <c r="R308" s="341">
        <v>702</v>
      </c>
      <c r="S308" s="341">
        <v>561.6</v>
      </c>
      <c r="T308" s="343">
        <v>5712033.6000000006</v>
      </c>
      <c r="U308" s="376" t="s">
        <v>945</v>
      </c>
    </row>
    <row r="309" spans="1:21">
      <c r="A309" s="362"/>
      <c r="B309" s="384" t="str">
        <f>UPPER((TEXT(Tabla3[[#This Row],[Fecha llegada]],"MMM")))</f>
        <v>SEP</v>
      </c>
      <c r="C309" s="384">
        <f>YEAR(Tabla3[[#This Row],[Fecha llegada]])</f>
        <v>2025</v>
      </c>
      <c r="D309" s="348"/>
      <c r="E309" s="342">
        <v>45904</v>
      </c>
      <c r="F309" s="342">
        <v>45904</v>
      </c>
      <c r="G309" s="341">
        <v>1</v>
      </c>
      <c r="H309" s="341">
        <v>1</v>
      </c>
      <c r="I309" s="343">
        <v>342854.87394957984</v>
      </c>
      <c r="J309" s="341">
        <v>6</v>
      </c>
      <c r="K309" s="343">
        <v>360103.52941176476</v>
      </c>
      <c r="L309" s="343">
        <v>702958.40336134459</v>
      </c>
      <c r="M309" s="341">
        <v>150</v>
      </c>
      <c r="N309" s="341">
        <v>2.9799999999999898</v>
      </c>
      <c r="O309" s="341">
        <v>446.99999999999847</v>
      </c>
      <c r="P309" s="343">
        <v>4111.061145599986</v>
      </c>
      <c r="Q309" s="344" t="s">
        <v>967</v>
      </c>
      <c r="R309" s="341">
        <v>5.9599999999999795</v>
      </c>
      <c r="S309" s="341">
        <v>4.7679999999999838</v>
      </c>
      <c r="T309" s="343">
        <v>48495.327999999834</v>
      </c>
      <c r="U309" s="376" t="s">
        <v>945</v>
      </c>
    </row>
    <row r="310" spans="1:21">
      <c r="A310" s="362"/>
      <c r="B310" s="384" t="str">
        <f>UPPER((TEXT(Tabla3[[#This Row],[Fecha llegada]],"MMM")))</f>
        <v>SEP</v>
      </c>
      <c r="C310" s="384">
        <f>YEAR(Tabla3[[#This Row],[Fecha llegada]])</f>
        <v>2025</v>
      </c>
      <c r="D310" s="348"/>
      <c r="E310" s="342">
        <v>45904</v>
      </c>
      <c r="F310" s="342">
        <v>45904</v>
      </c>
      <c r="G310" s="341"/>
      <c r="H310" s="341"/>
      <c r="I310" s="343"/>
      <c r="J310" s="341"/>
      <c r="K310" s="343"/>
      <c r="L310" s="343"/>
      <c r="M310" s="341">
        <v>150</v>
      </c>
      <c r="N310" s="341">
        <v>10.246000000000009</v>
      </c>
      <c r="O310" s="341">
        <v>1536.9000000000015</v>
      </c>
      <c r="P310" s="343">
        <v>14134.876677120013</v>
      </c>
      <c r="Q310" s="344"/>
      <c r="R310" s="341">
        <v>20.492000000000019</v>
      </c>
      <c r="S310" s="341">
        <v>16.393600000000017</v>
      </c>
      <c r="T310" s="343">
        <v>166739.30560000017</v>
      </c>
      <c r="U310" s="376" t="s">
        <v>945</v>
      </c>
    </row>
    <row r="311" spans="1:21">
      <c r="A311" s="362"/>
      <c r="B311" s="384" t="str">
        <f>UPPER((TEXT(Tabla3[[#This Row],[Fecha llegada]],"MMM")))</f>
        <v>SEP</v>
      </c>
      <c r="C311" s="384">
        <f>YEAR(Tabla3[[#This Row],[Fecha llegada]])</f>
        <v>2025</v>
      </c>
      <c r="D311" s="348"/>
      <c r="E311" s="342">
        <v>45904</v>
      </c>
      <c r="F311" s="342">
        <v>45904</v>
      </c>
      <c r="G311" s="341"/>
      <c r="H311" s="341"/>
      <c r="I311" s="343"/>
      <c r="J311" s="341"/>
      <c r="K311" s="343"/>
      <c r="L311" s="343"/>
      <c r="M311" s="341">
        <v>150</v>
      </c>
      <c r="N311" s="341">
        <v>10.078000000000003</v>
      </c>
      <c r="O311" s="341">
        <v>1511.7000000000005</v>
      </c>
      <c r="P311" s="343">
        <v>13903.112156160005</v>
      </c>
      <c r="Q311" s="344"/>
      <c r="R311" s="341">
        <v>20.156000000000006</v>
      </c>
      <c r="S311" s="341">
        <v>16.124800000000004</v>
      </c>
      <c r="T311" s="343">
        <v>164005.34080000003</v>
      </c>
      <c r="U311" s="376" t="s">
        <v>945</v>
      </c>
    </row>
    <row r="312" spans="1:21" ht="24">
      <c r="A312" s="362"/>
      <c r="B312" s="384" t="str">
        <f>UPPER((TEXT(Tabla3[[#This Row],[Fecha llegada]],"MMM")))</f>
        <v>SEP</v>
      </c>
      <c r="C312" s="384">
        <f>YEAR(Tabla3[[#This Row],[Fecha llegada]])</f>
        <v>2025</v>
      </c>
      <c r="D312" s="348"/>
      <c r="E312" s="342">
        <v>45904</v>
      </c>
      <c r="F312" s="342">
        <v>45905</v>
      </c>
      <c r="G312" s="341">
        <v>1</v>
      </c>
      <c r="H312" s="341">
        <v>2</v>
      </c>
      <c r="I312" s="343">
        <v>685709.74789915967</v>
      </c>
      <c r="J312" s="341">
        <v>12</v>
      </c>
      <c r="K312" s="343">
        <v>324881.87563025206</v>
      </c>
      <c r="L312" s="343">
        <v>1010591.6235294117</v>
      </c>
      <c r="M312" s="341">
        <v>330.33</v>
      </c>
      <c r="N312" s="341">
        <v>257</v>
      </c>
      <c r="O312" s="341">
        <v>84894.81</v>
      </c>
      <c r="P312" s="343">
        <v>780777.97506508802</v>
      </c>
      <c r="Q312" s="344" t="s">
        <v>959</v>
      </c>
      <c r="R312" s="341">
        <v>702</v>
      </c>
      <c r="S312" s="341">
        <v>561.6</v>
      </c>
      <c r="T312" s="343">
        <v>5712033.6000000006</v>
      </c>
      <c r="U312" s="376" t="s">
        <v>945</v>
      </c>
    </row>
    <row r="313" spans="1:21">
      <c r="A313" s="362"/>
      <c r="B313" s="384" t="str">
        <f>UPPER((TEXT(Tabla3[[#This Row],[Fecha llegada]],"MMM")))</f>
        <v>SEP</v>
      </c>
      <c r="C313" s="384">
        <f>YEAR(Tabla3[[#This Row],[Fecha llegada]])</f>
        <v>2025</v>
      </c>
      <c r="D313" s="348"/>
      <c r="E313" s="342">
        <v>45906</v>
      </c>
      <c r="F313" s="342">
        <v>45906</v>
      </c>
      <c r="G313" s="341">
        <v>1</v>
      </c>
      <c r="H313" s="341">
        <v>1</v>
      </c>
      <c r="I313" s="343">
        <v>342854.87394957984</v>
      </c>
      <c r="J313" s="341">
        <v>6</v>
      </c>
      <c r="K313" s="343">
        <v>360103.52941176476</v>
      </c>
      <c r="L313" s="343">
        <v>702958.40336134459</v>
      </c>
      <c r="M313" s="341">
        <v>150</v>
      </c>
      <c r="N313" s="341">
        <v>2.8499999999999943</v>
      </c>
      <c r="O313" s="341">
        <v>427.49999999999915</v>
      </c>
      <c r="P313" s="343">
        <v>3931.7195519999923</v>
      </c>
      <c r="Q313" s="344" t="s">
        <v>968</v>
      </c>
      <c r="R313" s="341">
        <v>5.6999999999999886</v>
      </c>
      <c r="S313" s="341">
        <v>4.5599999999999907</v>
      </c>
      <c r="T313" s="343">
        <v>46379.759999999907</v>
      </c>
      <c r="U313" s="376" t="s">
        <v>945</v>
      </c>
    </row>
    <row r="314" spans="1:21">
      <c r="A314" s="362"/>
      <c r="B314" s="384" t="str">
        <f>UPPER((TEXT(Tabla3[[#This Row],[Fecha llegada]],"MMM")))</f>
        <v>SEP</v>
      </c>
      <c r="C314" s="384">
        <f>YEAR(Tabla3[[#This Row],[Fecha llegada]])</f>
        <v>2025</v>
      </c>
      <c r="D314" s="348"/>
      <c r="E314" s="342">
        <v>45906</v>
      </c>
      <c r="F314" s="342">
        <v>45906</v>
      </c>
      <c r="G314" s="341"/>
      <c r="H314" s="341"/>
      <c r="I314" s="343"/>
      <c r="J314" s="341"/>
      <c r="K314" s="343"/>
      <c r="L314" s="343"/>
      <c r="M314" s="341">
        <v>150</v>
      </c>
      <c r="N314" s="341">
        <v>9.9099999999999966</v>
      </c>
      <c r="O314" s="341">
        <v>1486.4999999999995</v>
      </c>
      <c r="P314" s="343">
        <v>13671.347635199996</v>
      </c>
      <c r="Q314" s="344"/>
      <c r="R314" s="341">
        <v>19.819999999999993</v>
      </c>
      <c r="S314" s="341">
        <v>15.855999999999995</v>
      </c>
      <c r="T314" s="343">
        <v>161271.37599999993</v>
      </c>
      <c r="U314" s="376" t="s">
        <v>945</v>
      </c>
    </row>
    <row r="315" spans="1:21" ht="24">
      <c r="A315" s="362"/>
      <c r="B315" s="384" t="str">
        <f>UPPER((TEXT(Tabla3[[#This Row],[Fecha llegada]],"MMM")))</f>
        <v>SEP</v>
      </c>
      <c r="C315" s="384">
        <f>YEAR(Tabla3[[#This Row],[Fecha llegada]])</f>
        <v>2025</v>
      </c>
      <c r="D315" s="348"/>
      <c r="E315" s="342">
        <v>45906</v>
      </c>
      <c r="F315" s="342">
        <v>45907</v>
      </c>
      <c r="G315" s="341">
        <v>1</v>
      </c>
      <c r="H315" s="341">
        <v>2</v>
      </c>
      <c r="I315" s="343">
        <v>685709.74789915967</v>
      </c>
      <c r="J315" s="341">
        <v>12</v>
      </c>
      <c r="K315" s="343">
        <v>324881.87563025206</v>
      </c>
      <c r="L315" s="343">
        <v>1010591.6235294117</v>
      </c>
      <c r="M315" s="341">
        <v>332.33</v>
      </c>
      <c r="N315" s="341">
        <v>257</v>
      </c>
      <c r="O315" s="341">
        <v>85408.81</v>
      </c>
      <c r="P315" s="343">
        <v>785505.23553228797</v>
      </c>
      <c r="Q315" s="344" t="s">
        <v>960</v>
      </c>
      <c r="R315" s="341">
        <v>702</v>
      </c>
      <c r="S315" s="341">
        <v>561.6</v>
      </c>
      <c r="T315" s="343">
        <v>5712033.6000000006</v>
      </c>
      <c r="U315" s="376" t="s">
        <v>945</v>
      </c>
    </row>
    <row r="316" spans="1:21">
      <c r="A316" s="362"/>
      <c r="B316" s="384" t="str">
        <f>UPPER((TEXT(Tabla3[[#This Row],[Fecha llegada]],"MMM")))</f>
        <v>SEP</v>
      </c>
      <c r="C316" s="384">
        <f>YEAR(Tabla3[[#This Row],[Fecha llegada]])</f>
        <v>2025</v>
      </c>
      <c r="D316" s="348"/>
      <c r="E316" s="342">
        <v>45908</v>
      </c>
      <c r="F316" s="342">
        <v>45908</v>
      </c>
      <c r="G316" s="341">
        <v>1</v>
      </c>
      <c r="H316" s="341">
        <v>1</v>
      </c>
      <c r="I316" s="343">
        <v>342854.87394957984</v>
      </c>
      <c r="J316" s="341">
        <v>6</v>
      </c>
      <c r="K316" s="343">
        <v>360103.52941176476</v>
      </c>
      <c r="L316" s="343">
        <v>702958.40336134459</v>
      </c>
      <c r="M316" s="341">
        <v>150</v>
      </c>
      <c r="N316" s="341">
        <v>15.53400000000002</v>
      </c>
      <c r="O316" s="341">
        <v>2330.1000000000031</v>
      </c>
      <c r="P316" s="343">
        <v>21429.940884480027</v>
      </c>
      <c r="Q316" s="344" t="s">
        <v>969</v>
      </c>
      <c r="R316" s="341">
        <v>31.06800000000004</v>
      </c>
      <c r="S316" s="341">
        <v>24.854400000000034</v>
      </c>
      <c r="T316" s="343">
        <v>252794.10240000035</v>
      </c>
      <c r="U316" s="376" t="s">
        <v>945</v>
      </c>
    </row>
    <row r="317" spans="1:21" ht="24">
      <c r="A317" s="362"/>
      <c r="B317" s="384" t="str">
        <f>UPPER((TEXT(Tabla3[[#This Row],[Fecha llegada]],"MMM")))</f>
        <v>SEP</v>
      </c>
      <c r="C317" s="384">
        <f>YEAR(Tabla3[[#This Row],[Fecha llegada]])</f>
        <v>2025</v>
      </c>
      <c r="D317" s="348"/>
      <c r="E317" s="342">
        <v>45908</v>
      </c>
      <c r="F317" s="342">
        <v>45909</v>
      </c>
      <c r="G317" s="341">
        <v>1</v>
      </c>
      <c r="H317" s="341">
        <v>2</v>
      </c>
      <c r="I317" s="343">
        <v>685709.74789915967</v>
      </c>
      <c r="J317" s="341">
        <v>14</v>
      </c>
      <c r="K317" s="343">
        <v>379028.85490196076</v>
      </c>
      <c r="L317" s="343">
        <v>1064738.6028011204</v>
      </c>
      <c r="M317" s="341">
        <v>388.33</v>
      </c>
      <c r="N317" s="341">
        <v>257</v>
      </c>
      <c r="O317" s="341">
        <v>99800.81</v>
      </c>
      <c r="P317" s="343">
        <v>917868.52861388796</v>
      </c>
      <c r="Q317" s="344" t="s">
        <v>961</v>
      </c>
      <c r="R317" s="341">
        <v>702</v>
      </c>
      <c r="S317" s="341">
        <v>561.6</v>
      </c>
      <c r="T317" s="343">
        <v>5712033.6000000006</v>
      </c>
      <c r="U317" s="376" t="s">
        <v>945</v>
      </c>
    </row>
    <row r="318" spans="1:21" ht="24">
      <c r="A318" s="362"/>
      <c r="B318" s="384" t="str">
        <f>UPPER((TEXT(Tabla3[[#This Row],[Fecha llegada]],"MMM")))</f>
        <v>SEP</v>
      </c>
      <c r="C318" s="384">
        <f>YEAR(Tabla3[[#This Row],[Fecha llegada]])</f>
        <v>2025</v>
      </c>
      <c r="D318" s="348"/>
      <c r="E318" s="342">
        <v>45914</v>
      </c>
      <c r="F318" s="342">
        <v>45915</v>
      </c>
      <c r="G318" s="341">
        <v>2</v>
      </c>
      <c r="H318" s="341">
        <v>2</v>
      </c>
      <c r="I318" s="343">
        <v>1371419.4957983193</v>
      </c>
      <c r="J318" s="341">
        <v>13</v>
      </c>
      <c r="K318" s="343">
        <v>703910.73053221288</v>
      </c>
      <c r="L318" s="343">
        <v>2075330.2263305322</v>
      </c>
      <c r="M318" s="341">
        <v>360.33</v>
      </c>
      <c r="N318" s="341">
        <v>257</v>
      </c>
      <c r="O318" s="341">
        <v>92604.81</v>
      </c>
      <c r="P318" s="343">
        <v>851686.88207308797</v>
      </c>
      <c r="Q318" s="344" t="s">
        <v>962</v>
      </c>
      <c r="R318" s="341">
        <v>702</v>
      </c>
      <c r="S318" s="341">
        <v>561.6</v>
      </c>
      <c r="T318" s="343">
        <v>5712033.6000000006</v>
      </c>
      <c r="U318" s="376" t="s">
        <v>945</v>
      </c>
    </row>
    <row r="319" spans="1:21">
      <c r="A319" s="362"/>
      <c r="B319" s="384" t="str">
        <f>UPPER((TEXT(Tabla3[[#This Row],[Fecha llegada]],"MMM")))</f>
        <v>SEP</v>
      </c>
      <c r="C319" s="384">
        <f>YEAR(Tabla3[[#This Row],[Fecha llegada]])</f>
        <v>2025</v>
      </c>
      <c r="D319" s="348"/>
      <c r="E319" s="342">
        <v>45918</v>
      </c>
      <c r="F319" s="342">
        <v>45918</v>
      </c>
      <c r="G319" s="341">
        <v>1</v>
      </c>
      <c r="H319" s="341">
        <v>1</v>
      </c>
      <c r="I319" s="343">
        <v>342854.87394957984</v>
      </c>
      <c r="J319" s="341">
        <v>5</v>
      </c>
      <c r="K319" s="343">
        <v>300086.27450980397</v>
      </c>
      <c r="L319" s="343">
        <v>642941.14845938375</v>
      </c>
      <c r="M319" s="341">
        <v>125</v>
      </c>
      <c r="N319" s="341">
        <v>3.6080000000000041</v>
      </c>
      <c r="O319" s="341">
        <v>451.00000000000051</v>
      </c>
      <c r="P319" s="343">
        <v>4147.8491648000045</v>
      </c>
      <c r="Q319" s="344" t="s">
        <v>970</v>
      </c>
      <c r="R319" s="341">
        <v>7.2160000000000082</v>
      </c>
      <c r="S319" s="341">
        <v>5.7728000000000073</v>
      </c>
      <c r="T319" s="343">
        <v>58715.148800000075</v>
      </c>
      <c r="U319" s="376" t="s">
        <v>945</v>
      </c>
    </row>
    <row r="320" spans="1:21" ht="24">
      <c r="A320" s="362"/>
      <c r="B320" s="384" t="str">
        <f>UPPER((TEXT(Tabla3[[#This Row],[Fecha llegada]],"MMM")))</f>
        <v>SEP</v>
      </c>
      <c r="C320" s="384">
        <f>YEAR(Tabla3[[#This Row],[Fecha llegada]])</f>
        <v>2025</v>
      </c>
      <c r="D320" s="348"/>
      <c r="E320" s="342">
        <v>45918</v>
      </c>
      <c r="F320" s="342">
        <v>45919</v>
      </c>
      <c r="G320" s="341">
        <v>1</v>
      </c>
      <c r="H320" s="341">
        <v>2</v>
      </c>
      <c r="I320" s="343">
        <v>685709.74789915967</v>
      </c>
      <c r="J320" s="341">
        <v>12</v>
      </c>
      <c r="K320" s="343">
        <v>324881.87563025206</v>
      </c>
      <c r="L320" s="343">
        <v>1010591.6235294117</v>
      </c>
      <c r="M320" s="341">
        <v>331.1</v>
      </c>
      <c r="N320" s="341">
        <v>257</v>
      </c>
      <c r="O320" s="341">
        <v>85092.700000000012</v>
      </c>
      <c r="P320" s="343">
        <v>782597.97034496011</v>
      </c>
      <c r="Q320" s="344" t="s">
        <v>963</v>
      </c>
      <c r="R320" s="341">
        <v>702</v>
      </c>
      <c r="S320" s="341">
        <v>561.6</v>
      </c>
      <c r="T320" s="343">
        <v>5712033.6000000006</v>
      </c>
      <c r="U320" s="376" t="s">
        <v>945</v>
      </c>
    </row>
    <row r="321" spans="1:21">
      <c r="A321" s="362"/>
      <c r="B321" s="384" t="str">
        <f>UPPER((TEXT(Tabla3[[#This Row],[Fecha llegada]],"MMM")))</f>
        <v>SEP</v>
      </c>
      <c r="C321" s="384">
        <f>YEAR(Tabla3[[#This Row],[Fecha llegada]])</f>
        <v>2025</v>
      </c>
      <c r="D321" s="348"/>
      <c r="E321" s="342">
        <v>45920</v>
      </c>
      <c r="F321" s="342">
        <v>45920</v>
      </c>
      <c r="G321" s="341">
        <v>1</v>
      </c>
      <c r="H321" s="341">
        <v>1</v>
      </c>
      <c r="I321" s="343">
        <v>342854.87394957984</v>
      </c>
      <c r="J321" s="341">
        <v>5</v>
      </c>
      <c r="K321" s="343">
        <v>300086.27450980397</v>
      </c>
      <c r="L321" s="343">
        <v>642941.14845938375</v>
      </c>
      <c r="M321" s="341">
        <v>125</v>
      </c>
      <c r="N321" s="341">
        <v>15.544000000000011</v>
      </c>
      <c r="O321" s="341">
        <v>1943.0000000000014</v>
      </c>
      <c r="P321" s="343">
        <v>17869.780326400014</v>
      </c>
      <c r="Q321" s="344" t="s">
        <v>971</v>
      </c>
      <c r="R321" s="341">
        <v>31.088000000000022</v>
      </c>
      <c r="S321" s="341">
        <v>24.870400000000018</v>
      </c>
      <c r="T321" s="343">
        <v>252956.83840000018</v>
      </c>
      <c r="U321" s="376" t="s">
        <v>945</v>
      </c>
    </row>
    <row r="322" spans="1:21" ht="24">
      <c r="A322" s="362"/>
      <c r="B322" s="384" t="str">
        <f>UPPER((TEXT(Tabla3[[#This Row],[Fecha llegada]],"MMM")))</f>
        <v>SEP</v>
      </c>
      <c r="C322" s="384">
        <f>YEAR(Tabla3[[#This Row],[Fecha llegada]])</f>
        <v>2025</v>
      </c>
      <c r="D322" s="348"/>
      <c r="E322" s="342">
        <v>45920</v>
      </c>
      <c r="F322" s="342">
        <v>45921</v>
      </c>
      <c r="G322" s="341">
        <v>1</v>
      </c>
      <c r="H322" s="341">
        <v>2</v>
      </c>
      <c r="I322" s="343">
        <v>685709.74789915967</v>
      </c>
      <c r="J322" s="341">
        <v>12</v>
      </c>
      <c r="K322" s="343">
        <v>324881.87563025206</v>
      </c>
      <c r="L322" s="343">
        <v>1010591.6235294117</v>
      </c>
      <c r="M322" s="341">
        <v>331.1</v>
      </c>
      <c r="N322" s="341">
        <v>257</v>
      </c>
      <c r="O322" s="341">
        <v>85092.700000000012</v>
      </c>
      <c r="P322" s="343">
        <v>782597.97034496011</v>
      </c>
      <c r="Q322" s="344" t="s">
        <v>964</v>
      </c>
      <c r="R322" s="341">
        <v>702</v>
      </c>
      <c r="S322" s="341">
        <v>561.6</v>
      </c>
      <c r="T322" s="343">
        <v>5712033.6000000006</v>
      </c>
      <c r="U322" s="376" t="s">
        <v>945</v>
      </c>
    </row>
    <row r="323" spans="1:21" ht="24">
      <c r="A323" s="362"/>
      <c r="B323" s="384" t="str">
        <f>UPPER((TEXT(Tabla3[[#This Row],[Fecha llegada]],"MMM")))</f>
        <v>SEP</v>
      </c>
      <c r="C323" s="384">
        <f>YEAR(Tabla3[[#This Row],[Fecha llegada]])</f>
        <v>2025</v>
      </c>
      <c r="D323" s="348"/>
      <c r="E323" s="342">
        <v>45927</v>
      </c>
      <c r="F323" s="342">
        <v>45928</v>
      </c>
      <c r="G323" s="341">
        <v>2</v>
      </c>
      <c r="H323" s="341">
        <v>2</v>
      </c>
      <c r="I323" s="343">
        <v>1371419.4957983193</v>
      </c>
      <c r="J323" s="341">
        <v>12</v>
      </c>
      <c r="K323" s="343">
        <v>649763.75126050413</v>
      </c>
      <c r="L323" s="343">
        <v>2021183.2470588235</v>
      </c>
      <c r="M323" s="341">
        <v>332.3</v>
      </c>
      <c r="N323" s="341">
        <v>257</v>
      </c>
      <c r="O323" s="341">
        <v>85401.1</v>
      </c>
      <c r="P323" s="343">
        <v>785434.32662528008</v>
      </c>
      <c r="Q323" s="344" t="s">
        <v>965</v>
      </c>
      <c r="R323" s="341">
        <v>702</v>
      </c>
      <c r="S323" s="341">
        <v>561.6</v>
      </c>
      <c r="T323" s="343">
        <v>5712033.6000000006</v>
      </c>
      <c r="U323" s="376" t="s">
        <v>945</v>
      </c>
    </row>
    <row r="324" spans="1:21">
      <c r="A324" s="370"/>
      <c r="B324" s="385" t="str">
        <f>UPPER((TEXT(Tabla3[[#This Row],[Fecha llegada]],"MMM")))</f>
        <v>SEP</v>
      </c>
      <c r="C324" s="385">
        <f>YEAR(Tabla3[[#This Row],[Fecha llegada]])</f>
        <v>2025</v>
      </c>
      <c r="D324" s="371"/>
      <c r="E324" s="372">
        <v>45930</v>
      </c>
      <c r="F324" s="372">
        <v>45930</v>
      </c>
      <c r="G324" s="373">
        <v>1</v>
      </c>
      <c r="H324" s="373">
        <v>1</v>
      </c>
      <c r="I324" s="374">
        <v>342854.87394957984</v>
      </c>
      <c r="J324" s="373">
        <v>6</v>
      </c>
      <c r="K324" s="374">
        <v>360103.52941176476</v>
      </c>
      <c r="L324" s="374">
        <v>702958.40336134459</v>
      </c>
      <c r="M324" s="373">
        <v>150</v>
      </c>
      <c r="N324" s="373">
        <v>6.8700000000000045</v>
      </c>
      <c r="O324" s="373">
        <v>1030.5000000000007</v>
      </c>
      <c r="P324" s="374">
        <v>9477.5134464000057</v>
      </c>
      <c r="Q324" s="375" t="s">
        <v>972</v>
      </c>
      <c r="R324" s="373">
        <v>13.740000000000009</v>
      </c>
      <c r="S324" s="373">
        <v>10.992000000000008</v>
      </c>
      <c r="T324" s="374">
        <v>111799.63200000009</v>
      </c>
      <c r="U324" s="376" t="s">
        <v>945</v>
      </c>
    </row>
  </sheetData>
  <sheetProtection formatCells="0" formatColumns="0" formatRows="0" insertColumns="0" insertRows="0" insertHyperlinks="0" deleteColumns="0" deleteRows="0" sort="0" autoFilter="0" pivotTables="0"/>
  <phoneticPr fontId="5"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B76D1-3082-40E9-8B83-FEB004D10FCB}">
  <dimension ref="A1:AB28"/>
  <sheetViews>
    <sheetView workbookViewId="0">
      <selection activeCell="B1" sqref="B1"/>
    </sheetView>
  </sheetViews>
  <sheetFormatPr baseColWidth="10" defaultRowHeight="14.4"/>
  <cols>
    <col min="2" max="2" width="17.77734375" customWidth="1"/>
    <col min="3" max="3" width="16.5546875" bestFit="1" customWidth="1"/>
    <col min="4" max="4" width="30.77734375" bestFit="1" customWidth="1"/>
    <col min="5" max="5" width="12.6640625" bestFit="1" customWidth="1"/>
    <col min="7" max="7" width="16.5546875" bestFit="1" customWidth="1"/>
    <col min="8" max="8" width="28.88671875" bestFit="1" customWidth="1"/>
    <col min="10" max="10" width="14.6640625" bestFit="1" customWidth="1"/>
    <col min="11" max="11" width="16.5546875" bestFit="1" customWidth="1"/>
    <col min="12" max="12" width="31.109375" style="381" bestFit="1" customWidth="1"/>
    <col min="13" max="13" width="30.6640625" style="381" bestFit="1" customWidth="1"/>
    <col min="14" max="14" width="30.6640625" style="381" customWidth="1"/>
    <col min="16" max="16" width="16.5546875" bestFit="1" customWidth="1"/>
    <col min="17" max="17" width="20.5546875" style="382" bestFit="1" customWidth="1"/>
    <col min="18" max="19" width="20.5546875" style="382" customWidth="1"/>
    <col min="20" max="20" width="16.5546875" bestFit="1" customWidth="1"/>
    <col min="21" max="21" width="16.77734375" bestFit="1" customWidth="1"/>
    <col min="23" max="23" width="14.6640625" bestFit="1" customWidth="1"/>
    <col min="24" max="24" width="16.5546875" bestFit="1" customWidth="1"/>
    <col min="25" max="25" width="28.44140625" style="381" bestFit="1" customWidth="1"/>
    <col min="27" max="27" width="16.5546875" bestFit="1" customWidth="1"/>
    <col min="28" max="28" width="18.5546875" bestFit="1" customWidth="1"/>
    <col min="29" max="29" width="8.88671875" bestFit="1" customWidth="1"/>
    <col min="30" max="30" width="11.88671875" bestFit="1" customWidth="1"/>
  </cols>
  <sheetData>
    <row r="1" spans="1:28">
      <c r="C1" s="377" t="s">
        <v>296</v>
      </c>
      <c r="D1" t="s">
        <v>299</v>
      </c>
      <c r="G1" s="377" t="s">
        <v>296</v>
      </c>
      <c r="H1" t="s">
        <v>300</v>
      </c>
      <c r="K1" s="377" t="s">
        <v>296</v>
      </c>
      <c r="L1" s="379" t="s">
        <v>298</v>
      </c>
      <c r="M1" s="379" t="s">
        <v>301</v>
      </c>
      <c r="N1" s="379"/>
      <c r="P1" s="377" t="s">
        <v>296</v>
      </c>
      <c r="Q1" t="s">
        <v>302</v>
      </c>
      <c r="T1" s="377" t="s">
        <v>296</v>
      </c>
      <c r="U1" s="383" t="s">
        <v>303</v>
      </c>
      <c r="X1" s="377" t="s">
        <v>296</v>
      </c>
      <c r="Y1" t="s">
        <v>305</v>
      </c>
      <c r="AA1" s="377" t="s">
        <v>296</v>
      </c>
      <c r="AB1" t="s">
        <v>311</v>
      </c>
    </row>
    <row r="2" spans="1:28">
      <c r="C2" s="378" t="s">
        <v>578</v>
      </c>
      <c r="D2" s="379">
        <v>15014884.507563025</v>
      </c>
      <c r="G2" s="378" t="s">
        <v>945</v>
      </c>
      <c r="H2">
        <v>4338.1499999999996</v>
      </c>
      <c r="K2" s="378" t="s">
        <v>578</v>
      </c>
      <c r="L2" s="379">
        <v>9257081.5966386553</v>
      </c>
      <c r="M2" s="379">
        <v>5757802.9109243695</v>
      </c>
      <c r="N2" s="379"/>
      <c r="P2" s="378" t="s">
        <v>578</v>
      </c>
      <c r="Q2">
        <v>2149.3620000000001</v>
      </c>
      <c r="T2" s="378" t="s">
        <v>578</v>
      </c>
      <c r="U2" s="383">
        <v>717230.05</v>
      </c>
      <c r="X2" s="378" t="s">
        <v>578</v>
      </c>
      <c r="Y2">
        <v>6596368.2125542415</v>
      </c>
      <c r="AA2" s="378">
        <v>2024</v>
      </c>
      <c r="AB2" s="1026">
        <v>514284</v>
      </c>
    </row>
    <row r="3" spans="1:28">
      <c r="C3" s="378" t="s">
        <v>297</v>
      </c>
      <c r="D3" s="379">
        <v>15014884.507563025</v>
      </c>
      <c r="G3" s="380" t="s">
        <v>578</v>
      </c>
      <c r="H3">
        <v>4338.1499999999996</v>
      </c>
      <c r="K3" s="378" t="s">
        <v>297</v>
      </c>
      <c r="L3" s="379">
        <v>9257081.5966386553</v>
      </c>
      <c r="M3" s="379">
        <v>5757802.9109243695</v>
      </c>
      <c r="N3" s="379"/>
      <c r="P3" s="378" t="s">
        <v>297</v>
      </c>
      <c r="Q3">
        <v>2149.3620000000001</v>
      </c>
      <c r="T3" s="378" t="s">
        <v>297</v>
      </c>
      <c r="U3" s="383">
        <v>717230.05</v>
      </c>
      <c r="X3" s="378" t="s">
        <v>297</v>
      </c>
      <c r="Y3">
        <v>6596368.2125542415</v>
      </c>
      <c r="AA3" s="380" t="s">
        <v>110</v>
      </c>
      <c r="AB3" s="1026">
        <v>514284</v>
      </c>
    </row>
    <row r="4" spans="1:28">
      <c r="G4" s="378" t="s">
        <v>297</v>
      </c>
      <c r="H4">
        <v>4338.1499999999996</v>
      </c>
      <c r="L4"/>
      <c r="M4"/>
      <c r="N4" s="379"/>
      <c r="Q4"/>
      <c r="Y4"/>
      <c r="AA4" s="378">
        <v>2025</v>
      </c>
      <c r="AB4" s="1026">
        <v>353368</v>
      </c>
    </row>
    <row r="5" spans="1:28">
      <c r="L5"/>
      <c r="M5"/>
      <c r="N5"/>
      <c r="Q5"/>
      <c r="Y5"/>
      <c r="AA5" s="380" t="s">
        <v>909</v>
      </c>
      <c r="AB5" s="1026">
        <v>848</v>
      </c>
    </row>
    <row r="6" spans="1:28">
      <c r="A6" t="s">
        <v>297</v>
      </c>
      <c r="B6" s="381">
        <f>VLOOKUP(A6,C:D,2,TRUE)</f>
        <v>15014884.507563025</v>
      </c>
      <c r="E6" t="s">
        <v>297</v>
      </c>
      <c r="F6" s="382">
        <f>VLOOKUP(E6,G:H,2,TRUE)</f>
        <v>4338.1499999999996</v>
      </c>
      <c r="I6" t="s">
        <v>297</v>
      </c>
      <c r="J6" s="381">
        <f>VLOOKUP(I6,K:M,2,TRUE)</f>
        <v>9257081.5966386553</v>
      </c>
      <c r="L6"/>
      <c r="M6"/>
      <c r="N6"/>
      <c r="Q6"/>
      <c r="Y6"/>
      <c r="AA6" s="380" t="s">
        <v>110</v>
      </c>
      <c r="AB6" s="1026">
        <v>352520</v>
      </c>
    </row>
    <row r="7" spans="1:28">
      <c r="I7" t="s">
        <v>297</v>
      </c>
      <c r="J7" s="381">
        <f>VLOOKUP(I7,K:M,3,TRUE)</f>
        <v>5757802.9109243695</v>
      </c>
      <c r="L7"/>
      <c r="M7"/>
      <c r="N7" t="s">
        <v>297</v>
      </c>
      <c r="O7">
        <f>VLOOKUP(N7,P:Q,2,TRUE)</f>
        <v>2149.3620000000001</v>
      </c>
      <c r="Q7"/>
      <c r="R7" s="382" t="s">
        <v>297</v>
      </c>
      <c r="S7" s="382">
        <f>VLOOKUP(R7,T:U,2,TRUE)</f>
        <v>717230.05</v>
      </c>
      <c r="V7" t="s">
        <v>297</v>
      </c>
      <c r="W7" s="381">
        <f>VLOOKUP(V7,X:Y,2,TRUE)</f>
        <v>6596368.2125542415</v>
      </c>
      <c r="Y7"/>
      <c r="AA7" s="378" t="s">
        <v>297</v>
      </c>
      <c r="AB7">
        <v>867652</v>
      </c>
    </row>
    <row r="8" spans="1:28">
      <c r="L8"/>
      <c r="M8"/>
      <c r="N8"/>
      <c r="Q8"/>
      <c r="Y8"/>
    </row>
    <row r="9" spans="1:28">
      <c r="L9"/>
      <c r="M9"/>
      <c r="N9"/>
      <c r="Q9"/>
      <c r="Y9"/>
    </row>
    <row r="10" spans="1:28">
      <c r="L10"/>
      <c r="M10"/>
      <c r="N10"/>
      <c r="Q10"/>
      <c r="Y10"/>
    </row>
    <row r="11" spans="1:28">
      <c r="L11"/>
      <c r="M11"/>
      <c r="N11"/>
      <c r="Q11"/>
      <c r="Y11"/>
    </row>
    <row r="12" spans="1:28">
      <c r="L12"/>
      <c r="M12"/>
      <c r="N12"/>
      <c r="Q12"/>
      <c r="Y12"/>
    </row>
    <row r="13" spans="1:28">
      <c r="L13"/>
      <c r="M13"/>
      <c r="N13"/>
      <c r="Q13"/>
      <c r="Y13"/>
    </row>
    <row r="14" spans="1:28">
      <c r="L14"/>
      <c r="M14"/>
      <c r="N14"/>
      <c r="Q14"/>
      <c r="Y14"/>
    </row>
    <row r="15" spans="1:28">
      <c r="L15"/>
      <c r="M15"/>
      <c r="N15"/>
    </row>
    <row r="16" spans="1:28">
      <c r="L16"/>
      <c r="M16"/>
      <c r="N16"/>
    </row>
    <row r="17" spans="12:14">
      <c r="L17"/>
      <c r="M17"/>
      <c r="N17"/>
    </row>
    <row r="18" spans="12:14">
      <c r="L18"/>
      <c r="M18"/>
      <c r="N18"/>
    </row>
    <row r="19" spans="12:14">
      <c r="L19"/>
      <c r="M19"/>
      <c r="N19"/>
    </row>
    <row r="20" spans="12:14">
      <c r="L20"/>
      <c r="M20"/>
      <c r="N20"/>
    </row>
    <row r="21" spans="12:14">
      <c r="L21"/>
      <c r="M21"/>
      <c r="N21"/>
    </row>
    <row r="22" spans="12:14">
      <c r="L22"/>
    </row>
    <row r="23" spans="12:14">
      <c r="L23"/>
      <c r="M23"/>
      <c r="N23"/>
    </row>
    <row r="24" spans="12:14">
      <c r="L24"/>
      <c r="M24"/>
      <c r="N24"/>
    </row>
    <row r="25" spans="12:14">
      <c r="L25"/>
      <c r="M25"/>
      <c r="N25"/>
    </row>
    <row r="26" spans="12:14">
      <c r="L26"/>
      <c r="M26"/>
      <c r="N26"/>
    </row>
    <row r="27" spans="12:14">
      <c r="L27"/>
      <c r="M27"/>
      <c r="N27"/>
    </row>
    <row r="28" spans="12:14">
      <c r="L28"/>
      <c r="M28"/>
      <c r="N28"/>
    </row>
  </sheetData>
  <sheetProtection formatCells="0" formatColumns="0" formatRows="0" insertColumns="0" insertRows="0" insertHyperlinks="0" deleteColumns="0" deleteRows="0" sort="0" autoFilter="0" pivotTables="0"/>
  <pageMargins left="0.7" right="0.7" top="0.75" bottom="0.75" header="0.3" footer="0.3"/>
  <drawing r:id="rId8"/>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BD767-E651-4408-A9CA-7320B7684570}">
  <dimension ref="B1:R81"/>
  <sheetViews>
    <sheetView showGridLines="0" zoomScale="65" workbookViewId="0">
      <selection activeCell="O54" sqref="O54"/>
    </sheetView>
  </sheetViews>
  <sheetFormatPr baseColWidth="10" defaultRowHeight="14.4"/>
  <cols>
    <col min="1" max="1" width="1.6640625" style="339" customWidth="1"/>
    <col min="2" max="2" width="8.77734375" style="339" customWidth="1"/>
    <col min="3" max="3" width="7.88671875" style="339" customWidth="1"/>
    <col min="4" max="4" width="12.44140625" style="339" customWidth="1"/>
    <col min="5" max="5" width="11.5546875" style="339"/>
    <col min="6" max="10" width="19.33203125" style="339" customWidth="1"/>
    <col min="11" max="11" width="20.5546875" style="339" customWidth="1"/>
    <col min="12" max="18" width="19.33203125" style="339" customWidth="1"/>
    <col min="19" max="16384" width="11.5546875" style="339"/>
  </cols>
  <sheetData>
    <row r="1" spans="2:18" ht="19.2" customHeight="1">
      <c r="F1" s="1085" t="s">
        <v>110</v>
      </c>
      <c r="G1" s="1086"/>
      <c r="H1" s="1086"/>
      <c r="I1" s="1086"/>
      <c r="J1" s="1086"/>
      <c r="K1" s="1086"/>
      <c r="L1" s="1086"/>
      <c r="M1" s="1086"/>
      <c r="N1" s="1086"/>
      <c r="O1" s="1086"/>
      <c r="P1" s="1086"/>
      <c r="Q1" s="1086"/>
      <c r="R1" s="1087"/>
    </row>
    <row r="2" spans="2:18" ht="16.8" customHeight="1"/>
    <row r="3" spans="2:18" ht="16.8" customHeight="1">
      <c r="B3" s="1082" t="s">
        <v>365</v>
      </c>
      <c r="C3" s="1082"/>
    </row>
    <row r="4" spans="2:18" ht="16.8" customHeight="1">
      <c r="B4" s="1082"/>
      <c r="C4" s="1082"/>
    </row>
    <row r="5" spans="2:18" ht="16.8" customHeight="1">
      <c r="B5" s="1082"/>
      <c r="C5" s="1082"/>
    </row>
    <row r="6" spans="2:18" ht="16.8" customHeight="1">
      <c r="B6" s="1082"/>
      <c r="C6" s="1082"/>
    </row>
    <row r="7" spans="2:18" ht="16.8" customHeight="1">
      <c r="B7" s="1082"/>
      <c r="C7" s="1082"/>
    </row>
    <row r="8" spans="2:18" ht="16.8" customHeight="1"/>
    <row r="9" spans="2:18" ht="16.8" customHeight="1"/>
    <row r="10" spans="2:18" ht="16.8" customHeight="1"/>
    <row r="11" spans="2:18" ht="16.8" customHeight="1"/>
    <row r="12" spans="2:18" ht="16.8" customHeight="1"/>
    <row r="13" spans="2:18" ht="16.8" customHeight="1"/>
    <row r="14" spans="2:18" ht="16.8" customHeight="1"/>
    <row r="15" spans="2:18" ht="16.8" customHeight="1"/>
    <row r="16" spans="2:18" ht="16.8" customHeight="1"/>
    <row r="17" ht="16.8" customHeight="1"/>
    <row r="18" ht="16.8" customHeight="1"/>
    <row r="19" ht="16.8" customHeight="1"/>
    <row r="20" ht="16.8" customHeight="1"/>
    <row r="21" ht="16.8" customHeight="1"/>
    <row r="22" ht="16.8" customHeight="1"/>
    <row r="23" ht="16.8" customHeight="1"/>
    <row r="24" ht="16.8" customHeight="1"/>
    <row r="25" ht="16.8" customHeight="1"/>
    <row r="26" ht="16.8" customHeight="1"/>
    <row r="27" ht="16.8" customHeight="1"/>
    <row r="28" ht="16.8" customHeight="1"/>
    <row r="29" ht="16.8" customHeight="1"/>
    <row r="30" ht="16.8" customHeight="1"/>
    <row r="31" ht="16.8" customHeight="1"/>
    <row r="32" ht="16.8" customHeight="1"/>
    <row r="33" ht="16.8" customHeight="1"/>
    <row r="34" ht="13.8" customHeight="1"/>
    <row r="35" ht="13.8" customHeight="1"/>
    <row r="36" ht="13.8" customHeight="1"/>
    <row r="37" ht="13.8" customHeight="1"/>
    <row r="38" ht="13.8" customHeight="1"/>
    <row r="39" ht="13.8" customHeight="1"/>
    <row r="40" ht="13.8" customHeight="1"/>
    <row r="41" ht="13.8" customHeight="1"/>
    <row r="42" ht="13.8" customHeight="1"/>
    <row r="43" ht="13.8" customHeight="1"/>
    <row r="44" ht="13.8" customHeight="1"/>
    <row r="45" ht="13.8" customHeight="1"/>
    <row r="46" ht="13.8" customHeight="1"/>
    <row r="47" ht="13.8" customHeight="1"/>
    <row r="48" ht="13.8" customHeight="1"/>
    <row r="49" ht="13.8" customHeight="1"/>
    <row r="50" ht="13.8" customHeight="1"/>
    <row r="51" ht="13.8" customHeight="1"/>
    <row r="52" ht="13.8" customHeight="1"/>
    <row r="53" ht="13.8" customHeight="1"/>
    <row r="54" ht="13.8" customHeight="1"/>
    <row r="55" ht="13.8" customHeight="1"/>
    <row r="56" ht="13.8" customHeight="1"/>
    <row r="57" ht="13.8" customHeight="1"/>
    <row r="58" ht="13.8" customHeight="1"/>
    <row r="59" ht="13.8" customHeight="1"/>
    <row r="60" ht="13.8" customHeight="1"/>
    <row r="61" ht="13.8" customHeight="1"/>
    <row r="62" ht="13.8" customHeight="1"/>
    <row r="63" ht="13.8" customHeight="1"/>
    <row r="64" ht="13.8" customHeight="1"/>
    <row r="65" ht="13.8" customHeight="1"/>
    <row r="66" ht="13.8" customHeight="1"/>
    <row r="67" ht="13.8" customHeight="1"/>
    <row r="68" ht="13.8" customHeight="1"/>
    <row r="69" ht="13.8" customHeight="1"/>
    <row r="70" ht="13.8" customHeight="1"/>
    <row r="71" ht="13.8" customHeight="1"/>
    <row r="72" ht="13.8" customHeight="1"/>
    <row r="73" ht="13.8" customHeight="1"/>
    <row r="74" ht="13.8" customHeight="1"/>
    <row r="75" ht="13.8" customHeight="1"/>
    <row r="76" ht="13.8" customHeight="1"/>
    <row r="77" ht="13.8" customHeight="1"/>
    <row r="78" ht="13.8" customHeight="1"/>
    <row r="79" ht="13.8" customHeight="1"/>
    <row r="80" ht="13.8" customHeight="1"/>
    <row r="81" ht="13.8" customHeight="1"/>
  </sheetData>
  <mergeCells count="2">
    <mergeCell ref="F1:R1"/>
    <mergeCell ref="B3:C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2466B-DD59-4B62-AE41-97C99BF4DC8D}">
  <sheetPr>
    <tabColor theme="7" tint="0.39997558519241921"/>
  </sheetPr>
  <dimension ref="A1:V1229"/>
  <sheetViews>
    <sheetView topLeftCell="D1211" workbookViewId="0">
      <selection activeCell="O1232" sqref="O1232"/>
    </sheetView>
  </sheetViews>
  <sheetFormatPr baseColWidth="10" defaultRowHeight="12"/>
  <cols>
    <col min="1" max="1" width="11.5546875" style="345"/>
    <col min="2" max="2" width="13.6640625" style="345" customWidth="1"/>
    <col min="3" max="3" width="15.5546875" style="345" customWidth="1"/>
    <col min="4" max="4" width="22.109375" style="345" customWidth="1"/>
    <col min="5" max="5" width="15.21875" style="345" customWidth="1"/>
    <col min="6" max="6" width="10.33203125" style="345" customWidth="1"/>
    <col min="7" max="7" width="11.5546875" style="345"/>
    <col min="8" max="8" width="14.5546875" style="345" customWidth="1"/>
    <col min="9" max="9" width="10.6640625" style="345" customWidth="1"/>
    <col min="10" max="13" width="8.44140625" style="346" customWidth="1"/>
    <col min="14" max="14" width="20" style="746" customWidth="1"/>
    <col min="15" max="15" width="12.5546875" style="345" bestFit="1" customWidth="1"/>
    <col min="16" max="16" width="14" style="345" customWidth="1"/>
    <col min="17" max="16384" width="11.5546875" style="345"/>
  </cols>
  <sheetData>
    <row r="1" spans="1:16" s="346" customFormat="1" ht="36">
      <c r="A1" s="388" t="s">
        <v>244</v>
      </c>
      <c r="B1" s="389" t="s">
        <v>245</v>
      </c>
      <c r="C1" s="389" t="s">
        <v>246</v>
      </c>
      <c r="D1" s="389" t="s">
        <v>247</v>
      </c>
      <c r="E1" s="389" t="s">
        <v>248</v>
      </c>
      <c r="F1" s="389" t="s">
        <v>249</v>
      </c>
      <c r="G1" s="389" t="s">
        <v>250</v>
      </c>
      <c r="H1" s="389" t="s">
        <v>251</v>
      </c>
      <c r="I1" s="389" t="s">
        <v>252</v>
      </c>
      <c r="J1" s="389" t="s">
        <v>279</v>
      </c>
      <c r="K1" s="390" t="s">
        <v>308</v>
      </c>
      <c r="L1" s="780" t="s">
        <v>684</v>
      </c>
      <c r="M1" s="390" t="s">
        <v>213</v>
      </c>
      <c r="N1" s="389" t="s">
        <v>699</v>
      </c>
      <c r="O1" s="389" t="s">
        <v>622</v>
      </c>
      <c r="P1" s="368" t="s">
        <v>899</v>
      </c>
    </row>
    <row r="2" spans="1:16">
      <c r="A2" s="387">
        <v>45297</v>
      </c>
      <c r="B2" s="340" t="s">
        <v>253</v>
      </c>
      <c r="C2" s="340" t="s">
        <v>254</v>
      </c>
      <c r="D2" s="340" t="s">
        <v>255</v>
      </c>
      <c r="E2" s="340">
        <v>96</v>
      </c>
      <c r="F2" s="340">
        <v>18</v>
      </c>
      <c r="G2" s="340">
        <v>929.93</v>
      </c>
      <c r="H2" s="347">
        <f>E2*F2*G2</f>
        <v>1606919.0399999998</v>
      </c>
      <c r="I2" s="340">
        <v>1552</v>
      </c>
      <c r="J2" s="441">
        <f>E2*F2</f>
        <v>1728</v>
      </c>
      <c r="K2" s="748" t="str">
        <f>UPPER((TEXT(Tabla5[[#This Row],[FECHA]],"MMM")))</f>
        <v>ENE</v>
      </c>
      <c r="L2" s="780">
        <f>YEAR(Tabla5[[#This Row],[FECHA]])</f>
        <v>2024</v>
      </c>
      <c r="M2" s="749">
        <v>142</v>
      </c>
      <c r="N2" s="441" t="s">
        <v>678</v>
      </c>
      <c r="O2" s="441" t="s">
        <v>713</v>
      </c>
      <c r="P2" s="441" t="s">
        <v>110</v>
      </c>
    </row>
    <row r="3" spans="1:16">
      <c r="A3" s="387">
        <v>45298</v>
      </c>
      <c r="B3" s="340" t="s">
        <v>256</v>
      </c>
      <c r="C3" s="340" t="s">
        <v>257</v>
      </c>
      <c r="D3" s="340" t="s">
        <v>255</v>
      </c>
      <c r="E3" s="340">
        <v>96</v>
      </c>
      <c r="F3" s="340">
        <v>18</v>
      </c>
      <c r="G3" s="340">
        <v>929.93</v>
      </c>
      <c r="H3" s="347">
        <f>E3*F3*G3</f>
        <v>1606919.0399999998</v>
      </c>
      <c r="I3" s="340">
        <v>1564</v>
      </c>
      <c r="J3" s="441">
        <f t="shared" ref="J3:J65" si="0">E3*F3</f>
        <v>1728</v>
      </c>
      <c r="K3" s="748" t="str">
        <f>UPPER((TEXT(Tabla5[[#This Row],[FECHA]],"MMM")))</f>
        <v>ENE</v>
      </c>
      <c r="L3" s="780">
        <f>YEAR(Tabla5[[#This Row],[FECHA]])</f>
        <v>2024</v>
      </c>
      <c r="M3" s="749">
        <v>142</v>
      </c>
      <c r="N3" s="441" t="s">
        <v>678</v>
      </c>
      <c r="O3" s="441" t="s">
        <v>713</v>
      </c>
      <c r="P3" s="441" t="s">
        <v>110</v>
      </c>
    </row>
    <row r="4" spans="1:16">
      <c r="A4" s="387">
        <v>45299</v>
      </c>
      <c r="B4" s="340" t="s">
        <v>253</v>
      </c>
      <c r="C4" s="340" t="s">
        <v>254</v>
      </c>
      <c r="D4" s="340" t="s">
        <v>255</v>
      </c>
      <c r="E4" s="340">
        <v>96</v>
      </c>
      <c r="F4" s="340">
        <v>18</v>
      </c>
      <c r="G4" s="340">
        <v>929.93</v>
      </c>
      <c r="H4" s="347">
        <f>E4*F4*G4</f>
        <v>1606919.0399999998</v>
      </c>
      <c r="I4" s="340">
        <v>1572</v>
      </c>
      <c r="J4" s="441">
        <f t="shared" si="0"/>
        <v>1728</v>
      </c>
      <c r="K4" s="748" t="str">
        <f>UPPER((TEXT(Tabla5[[#This Row],[FECHA]],"MMM")))</f>
        <v>ENE</v>
      </c>
      <c r="L4" s="780">
        <f>YEAR(Tabla5[[#This Row],[FECHA]])</f>
        <v>2024</v>
      </c>
      <c r="M4" s="749">
        <v>142</v>
      </c>
      <c r="N4" s="441" t="s">
        <v>678</v>
      </c>
      <c r="O4" s="441" t="s">
        <v>713</v>
      </c>
      <c r="P4" s="441" t="s">
        <v>110</v>
      </c>
    </row>
    <row r="5" spans="1:16">
      <c r="A5" s="387">
        <v>45304</v>
      </c>
      <c r="B5" s="340" t="s">
        <v>256</v>
      </c>
      <c r="C5" s="340" t="s">
        <v>257</v>
      </c>
      <c r="D5" s="340" t="s">
        <v>255</v>
      </c>
      <c r="E5" s="340">
        <v>96</v>
      </c>
      <c r="F5" s="340">
        <v>17</v>
      </c>
      <c r="G5" s="340">
        <v>929.93</v>
      </c>
      <c r="H5" s="347">
        <f>E5*F5*G5</f>
        <v>1517645.76</v>
      </c>
      <c r="I5" s="340">
        <v>1420</v>
      </c>
      <c r="J5" s="441">
        <f t="shared" si="0"/>
        <v>1632</v>
      </c>
      <c r="K5" s="748" t="str">
        <f>UPPER((TEXT(Tabla5[[#This Row],[FECHA]],"MMM")))</f>
        <v>ENE</v>
      </c>
      <c r="L5" s="780">
        <f>YEAR(Tabla5[[#This Row],[FECHA]])</f>
        <v>2024</v>
      </c>
      <c r="M5" s="749">
        <v>142</v>
      </c>
      <c r="N5" s="441" t="s">
        <v>678</v>
      </c>
      <c r="O5" s="441" t="s">
        <v>713</v>
      </c>
      <c r="P5" s="441" t="s">
        <v>110</v>
      </c>
    </row>
    <row r="6" spans="1:16">
      <c r="A6" s="387">
        <v>45305</v>
      </c>
      <c r="B6" s="340" t="s">
        <v>253</v>
      </c>
      <c r="C6" s="340" t="s">
        <v>258</v>
      </c>
      <c r="D6" s="340" t="s">
        <v>255</v>
      </c>
      <c r="E6" s="340">
        <v>96</v>
      </c>
      <c r="F6" s="340">
        <v>17</v>
      </c>
      <c r="G6" s="340">
        <v>929.93</v>
      </c>
      <c r="H6" s="347">
        <f t="shared" ref="H6:H69" si="1">E6*F6*G6</f>
        <v>1517645.76</v>
      </c>
      <c r="I6" s="340">
        <v>1476</v>
      </c>
      <c r="J6" s="441">
        <f t="shared" si="0"/>
        <v>1632</v>
      </c>
      <c r="K6" s="748" t="str">
        <f>UPPER((TEXT(Tabla5[[#This Row],[FECHA]],"MMM")))</f>
        <v>ENE</v>
      </c>
      <c r="L6" s="780">
        <f>YEAR(Tabla5[[#This Row],[FECHA]])</f>
        <v>2024</v>
      </c>
      <c r="M6" s="749">
        <v>142</v>
      </c>
      <c r="N6" s="441" t="s">
        <v>678</v>
      </c>
      <c r="O6" s="441" t="s">
        <v>713</v>
      </c>
      <c r="P6" s="441" t="s">
        <v>110</v>
      </c>
    </row>
    <row r="7" spans="1:16">
      <c r="A7" s="387">
        <v>45308</v>
      </c>
      <c r="B7" s="340" t="s">
        <v>256</v>
      </c>
      <c r="C7" s="340" t="s">
        <v>259</v>
      </c>
      <c r="D7" s="340" t="s">
        <v>260</v>
      </c>
      <c r="E7" s="340">
        <v>58</v>
      </c>
      <c r="F7" s="340">
        <v>3</v>
      </c>
      <c r="G7" s="340">
        <v>929.93</v>
      </c>
      <c r="H7" s="347">
        <f t="shared" si="1"/>
        <v>161807.81999999998</v>
      </c>
      <c r="I7" s="340">
        <v>40</v>
      </c>
      <c r="J7" s="441">
        <f t="shared" si="0"/>
        <v>174</v>
      </c>
      <c r="K7" s="748" t="str">
        <f>UPPER((TEXT(Tabla5[[#This Row],[FECHA]],"MMM")))</f>
        <v>ENE</v>
      </c>
      <c r="L7" s="780">
        <f>YEAR(Tabla5[[#This Row],[FECHA]])</f>
        <v>2024</v>
      </c>
      <c r="M7" s="749">
        <v>142</v>
      </c>
      <c r="N7" s="441" t="s">
        <v>679</v>
      </c>
      <c r="O7" s="441" t="s">
        <v>712</v>
      </c>
      <c r="P7" s="441" t="s">
        <v>110</v>
      </c>
    </row>
    <row r="8" spans="1:16">
      <c r="A8" s="387">
        <v>45311</v>
      </c>
      <c r="B8" s="340" t="s">
        <v>256</v>
      </c>
      <c r="C8" s="340" t="s">
        <v>257</v>
      </c>
      <c r="D8" s="340" t="s">
        <v>255</v>
      </c>
      <c r="E8" s="340">
        <v>96</v>
      </c>
      <c r="F8" s="340">
        <v>12</v>
      </c>
      <c r="G8" s="340">
        <v>929.93</v>
      </c>
      <c r="H8" s="347">
        <f t="shared" si="1"/>
        <v>1071279.3599999999</v>
      </c>
      <c r="I8" s="340">
        <v>982</v>
      </c>
      <c r="J8" s="441">
        <f t="shared" si="0"/>
        <v>1152</v>
      </c>
      <c r="K8" s="748" t="str">
        <f>UPPER((TEXT(Tabla5[[#This Row],[FECHA]],"MMM")))</f>
        <v>ENE</v>
      </c>
      <c r="L8" s="780">
        <f>YEAR(Tabla5[[#This Row],[FECHA]])</f>
        <v>2024</v>
      </c>
      <c r="M8" s="749">
        <v>142</v>
      </c>
      <c r="N8" s="441" t="s">
        <v>678</v>
      </c>
      <c r="O8" s="441" t="s">
        <v>713</v>
      </c>
      <c r="P8" s="441" t="s">
        <v>110</v>
      </c>
    </row>
    <row r="9" spans="1:16">
      <c r="A9" s="387">
        <v>45312</v>
      </c>
      <c r="B9" s="340" t="s">
        <v>253</v>
      </c>
      <c r="C9" s="340" t="s">
        <v>258</v>
      </c>
      <c r="D9" s="340" t="s">
        <v>255</v>
      </c>
      <c r="E9" s="340">
        <v>96</v>
      </c>
      <c r="F9" s="340">
        <v>13</v>
      </c>
      <c r="G9" s="340">
        <v>929.93</v>
      </c>
      <c r="H9" s="347">
        <f t="shared" si="1"/>
        <v>1160552.6399999999</v>
      </c>
      <c r="I9" s="340">
        <v>1148</v>
      </c>
      <c r="J9" s="441">
        <f t="shared" si="0"/>
        <v>1248</v>
      </c>
      <c r="K9" s="748" t="str">
        <f>UPPER((TEXT(Tabla5[[#This Row],[FECHA]],"MMM")))</f>
        <v>ENE</v>
      </c>
      <c r="L9" s="780">
        <f>YEAR(Tabla5[[#This Row],[FECHA]])</f>
        <v>2024</v>
      </c>
      <c r="M9" s="749">
        <v>142</v>
      </c>
      <c r="N9" s="441" t="s">
        <v>678</v>
      </c>
      <c r="O9" s="441" t="s">
        <v>713</v>
      </c>
      <c r="P9" s="441" t="s">
        <v>110</v>
      </c>
    </row>
    <row r="10" spans="1:16">
      <c r="A10" s="387">
        <v>45313</v>
      </c>
      <c r="B10" s="340" t="s">
        <v>261</v>
      </c>
      <c r="C10" s="340" t="s">
        <v>262</v>
      </c>
      <c r="D10" s="340" t="s">
        <v>260</v>
      </c>
      <c r="E10" s="340">
        <v>58</v>
      </c>
      <c r="F10" s="340">
        <v>4</v>
      </c>
      <c r="G10" s="340">
        <v>929.93</v>
      </c>
      <c r="H10" s="347">
        <f t="shared" si="1"/>
        <v>215743.75999999998</v>
      </c>
      <c r="I10" s="340">
        <v>136</v>
      </c>
      <c r="J10" s="441">
        <f t="shared" si="0"/>
        <v>232</v>
      </c>
      <c r="K10" s="748" t="str">
        <f>UPPER((TEXT(Tabla5[[#This Row],[FECHA]],"MMM")))</f>
        <v>ENE</v>
      </c>
      <c r="L10" s="780">
        <f>YEAR(Tabla5[[#This Row],[FECHA]])</f>
        <v>2024</v>
      </c>
      <c r="M10" s="749">
        <v>142</v>
      </c>
      <c r="N10" s="441" t="s">
        <v>679</v>
      </c>
      <c r="O10" s="441" t="s">
        <v>712</v>
      </c>
      <c r="P10" s="441" t="s">
        <v>110</v>
      </c>
    </row>
    <row r="11" spans="1:16">
      <c r="A11" s="387">
        <v>45313</v>
      </c>
      <c r="B11" s="340" t="s">
        <v>263</v>
      </c>
      <c r="C11" s="340" t="s">
        <v>264</v>
      </c>
      <c r="D11" s="340" t="s">
        <v>265</v>
      </c>
      <c r="E11" s="340">
        <v>76</v>
      </c>
      <c r="F11" s="340">
        <v>9</v>
      </c>
      <c r="G11" s="340">
        <v>929.93</v>
      </c>
      <c r="H11" s="347">
        <f t="shared" si="1"/>
        <v>636072.12</v>
      </c>
      <c r="I11" s="340">
        <v>991</v>
      </c>
      <c r="J11" s="441">
        <f t="shared" si="0"/>
        <v>684</v>
      </c>
      <c r="K11" s="748" t="str">
        <f>UPPER((TEXT(Tabla5[[#This Row],[FECHA]],"MMM")))</f>
        <v>ENE</v>
      </c>
      <c r="L11" s="780">
        <f>YEAR(Tabla5[[#This Row],[FECHA]])</f>
        <v>2024</v>
      </c>
      <c r="M11" s="749">
        <v>142</v>
      </c>
      <c r="N11" s="441" t="s">
        <v>676</v>
      </c>
      <c r="O11" s="441" t="s">
        <v>712</v>
      </c>
      <c r="P11" s="441" t="s">
        <v>110</v>
      </c>
    </row>
    <row r="12" spans="1:16">
      <c r="A12" s="387">
        <v>45314</v>
      </c>
      <c r="B12" s="340" t="s">
        <v>261</v>
      </c>
      <c r="C12" s="340" t="s">
        <v>266</v>
      </c>
      <c r="D12" s="340" t="s">
        <v>260</v>
      </c>
      <c r="E12" s="340">
        <v>58</v>
      </c>
      <c r="F12" s="340">
        <v>4</v>
      </c>
      <c r="G12" s="340">
        <v>929.93</v>
      </c>
      <c r="H12" s="347">
        <f t="shared" si="1"/>
        <v>215743.75999999998</v>
      </c>
      <c r="I12" s="340">
        <v>175</v>
      </c>
      <c r="J12" s="441">
        <f t="shared" si="0"/>
        <v>232</v>
      </c>
      <c r="K12" s="748" t="str">
        <f>UPPER((TEXT(Tabla5[[#This Row],[FECHA]],"MMM")))</f>
        <v>ENE</v>
      </c>
      <c r="L12" s="780">
        <f>YEAR(Tabla5[[#This Row],[FECHA]])</f>
        <v>2024</v>
      </c>
      <c r="M12" s="749">
        <v>142</v>
      </c>
      <c r="N12" s="441" t="s">
        <v>679</v>
      </c>
      <c r="O12" s="441" t="s">
        <v>712</v>
      </c>
      <c r="P12" s="441" t="s">
        <v>110</v>
      </c>
    </row>
    <row r="13" spans="1:16">
      <c r="A13" s="387">
        <v>45314</v>
      </c>
      <c r="B13" s="340" t="s">
        <v>263</v>
      </c>
      <c r="C13" s="340" t="s">
        <v>264</v>
      </c>
      <c r="D13" s="340" t="s">
        <v>265</v>
      </c>
      <c r="E13" s="340">
        <v>76</v>
      </c>
      <c r="F13" s="340">
        <v>10</v>
      </c>
      <c r="G13" s="340">
        <v>929.93</v>
      </c>
      <c r="H13" s="347">
        <f t="shared" si="1"/>
        <v>706746.79999999993</v>
      </c>
      <c r="I13" s="340">
        <v>1232</v>
      </c>
      <c r="J13" s="441">
        <f t="shared" si="0"/>
        <v>760</v>
      </c>
      <c r="K13" s="748" t="str">
        <f>UPPER((TEXT(Tabla5[[#This Row],[FECHA]],"MMM")))</f>
        <v>ENE</v>
      </c>
      <c r="L13" s="780">
        <f>YEAR(Tabla5[[#This Row],[FECHA]])</f>
        <v>2024</v>
      </c>
      <c r="M13" s="749">
        <v>142</v>
      </c>
      <c r="N13" s="441" t="s">
        <v>676</v>
      </c>
      <c r="O13" s="441" t="s">
        <v>712</v>
      </c>
      <c r="P13" s="441" t="s">
        <v>110</v>
      </c>
    </row>
    <row r="14" spans="1:16">
      <c r="A14" s="387">
        <v>45314</v>
      </c>
      <c r="B14" s="340" t="s">
        <v>267</v>
      </c>
      <c r="C14" s="340" t="s">
        <v>268</v>
      </c>
      <c r="D14" s="340" t="s">
        <v>260</v>
      </c>
      <c r="E14" s="340">
        <v>58</v>
      </c>
      <c r="F14" s="340">
        <v>6</v>
      </c>
      <c r="G14" s="340">
        <v>929.93</v>
      </c>
      <c r="H14" s="347">
        <f t="shared" si="1"/>
        <v>323615.63999999996</v>
      </c>
      <c r="I14" s="340">
        <v>495</v>
      </c>
      <c r="J14" s="441">
        <f t="shared" si="0"/>
        <v>348</v>
      </c>
      <c r="K14" s="748" t="str">
        <f>UPPER((TEXT(Tabla5[[#This Row],[FECHA]],"MMM")))</f>
        <v>ENE</v>
      </c>
      <c r="L14" s="780">
        <f>YEAR(Tabla5[[#This Row],[FECHA]])</f>
        <v>2024</v>
      </c>
      <c r="M14" s="749">
        <v>142</v>
      </c>
      <c r="N14" s="441" t="s">
        <v>680</v>
      </c>
      <c r="O14" s="441" t="s">
        <v>712</v>
      </c>
      <c r="P14" s="441" t="s">
        <v>110</v>
      </c>
    </row>
    <row r="15" spans="1:16">
      <c r="A15" s="387">
        <v>45315</v>
      </c>
      <c r="B15" s="340" t="s">
        <v>269</v>
      </c>
      <c r="C15" s="340" t="s">
        <v>270</v>
      </c>
      <c r="D15" s="340" t="s">
        <v>260</v>
      </c>
      <c r="E15" s="340">
        <v>58</v>
      </c>
      <c r="F15" s="340">
        <v>4</v>
      </c>
      <c r="G15" s="340">
        <v>929.93</v>
      </c>
      <c r="H15" s="347">
        <f t="shared" si="1"/>
        <v>215743.75999999998</v>
      </c>
      <c r="I15" s="340">
        <v>135</v>
      </c>
      <c r="J15" s="441">
        <f t="shared" si="0"/>
        <v>232</v>
      </c>
      <c r="K15" s="748" t="str">
        <f>UPPER((TEXT(Tabla5[[#This Row],[FECHA]],"MMM")))</f>
        <v>ENE</v>
      </c>
      <c r="L15" s="780">
        <f>YEAR(Tabla5[[#This Row],[FECHA]])</f>
        <v>2024</v>
      </c>
      <c r="M15" s="749">
        <v>142</v>
      </c>
      <c r="N15" s="441" t="s">
        <v>679</v>
      </c>
      <c r="O15" s="441" t="s">
        <v>712</v>
      </c>
      <c r="P15" s="441" t="s">
        <v>110</v>
      </c>
    </row>
    <row r="16" spans="1:16">
      <c r="A16" s="387">
        <v>45315</v>
      </c>
      <c r="B16" s="340" t="s">
        <v>263</v>
      </c>
      <c r="C16" s="340" t="s">
        <v>264</v>
      </c>
      <c r="D16" s="340" t="s">
        <v>265</v>
      </c>
      <c r="E16" s="340">
        <v>76</v>
      </c>
      <c r="F16" s="340">
        <v>10</v>
      </c>
      <c r="G16" s="340">
        <v>929.93</v>
      </c>
      <c r="H16" s="347">
        <f t="shared" si="1"/>
        <v>706746.79999999993</v>
      </c>
      <c r="I16" s="340">
        <v>1208</v>
      </c>
      <c r="J16" s="441">
        <f t="shared" si="0"/>
        <v>760</v>
      </c>
      <c r="K16" s="748" t="str">
        <f>UPPER((TEXT(Tabla5[[#This Row],[FECHA]],"MMM")))</f>
        <v>ENE</v>
      </c>
      <c r="L16" s="780">
        <f>YEAR(Tabla5[[#This Row],[FECHA]])</f>
        <v>2024</v>
      </c>
      <c r="M16" s="749">
        <v>142</v>
      </c>
      <c r="N16" s="441" t="s">
        <v>676</v>
      </c>
      <c r="O16" s="441" t="s">
        <v>712</v>
      </c>
      <c r="P16" s="441" t="s">
        <v>110</v>
      </c>
    </row>
    <row r="17" spans="1:16">
      <c r="A17" s="387">
        <v>45315</v>
      </c>
      <c r="B17" s="340" t="s">
        <v>267</v>
      </c>
      <c r="C17" s="340" t="s">
        <v>268</v>
      </c>
      <c r="D17" s="340" t="s">
        <v>260</v>
      </c>
      <c r="E17" s="340">
        <v>58</v>
      </c>
      <c r="F17" s="340">
        <v>5</v>
      </c>
      <c r="G17" s="340">
        <v>929.93</v>
      </c>
      <c r="H17" s="347">
        <f t="shared" si="1"/>
        <v>269679.7</v>
      </c>
      <c r="I17" s="340">
        <v>879</v>
      </c>
      <c r="J17" s="441">
        <f t="shared" si="0"/>
        <v>290</v>
      </c>
      <c r="K17" s="748" t="str">
        <f>UPPER((TEXT(Tabla5[[#This Row],[FECHA]],"MMM")))</f>
        <v>ENE</v>
      </c>
      <c r="L17" s="780">
        <f>YEAR(Tabla5[[#This Row],[FECHA]])</f>
        <v>2024</v>
      </c>
      <c r="M17" s="749">
        <v>142</v>
      </c>
      <c r="N17" s="441" t="s">
        <v>680</v>
      </c>
      <c r="O17" s="441" t="s">
        <v>712</v>
      </c>
      <c r="P17" s="441" t="s">
        <v>110</v>
      </c>
    </row>
    <row r="18" spans="1:16">
      <c r="A18" s="386">
        <v>45316</v>
      </c>
      <c r="B18" s="340" t="s">
        <v>269</v>
      </c>
      <c r="C18" s="340" t="s">
        <v>270</v>
      </c>
      <c r="D18" s="340" t="s">
        <v>260</v>
      </c>
      <c r="E18" s="340">
        <v>58</v>
      </c>
      <c r="F18" s="340">
        <v>4</v>
      </c>
      <c r="G18" s="340">
        <v>929.93</v>
      </c>
      <c r="H18" s="347">
        <f t="shared" si="1"/>
        <v>215743.75999999998</v>
      </c>
      <c r="I18" s="340">
        <v>131</v>
      </c>
      <c r="J18" s="441">
        <f t="shared" si="0"/>
        <v>232</v>
      </c>
      <c r="K18" s="748" t="str">
        <f>UPPER((TEXT(Tabla5[[#This Row],[FECHA]],"MMM")))</f>
        <v>ENE</v>
      </c>
      <c r="L18" s="780">
        <f>YEAR(Tabla5[[#This Row],[FECHA]])</f>
        <v>2024</v>
      </c>
      <c r="M18" s="749">
        <v>142</v>
      </c>
      <c r="N18" s="441" t="s">
        <v>679</v>
      </c>
      <c r="O18" s="441" t="s">
        <v>712</v>
      </c>
      <c r="P18" s="441" t="s">
        <v>110</v>
      </c>
    </row>
    <row r="19" spans="1:16">
      <c r="A19" s="386">
        <v>45316</v>
      </c>
      <c r="B19" s="340" t="s">
        <v>271</v>
      </c>
      <c r="C19" s="340" t="s">
        <v>257</v>
      </c>
      <c r="D19" s="340" t="s">
        <v>265</v>
      </c>
      <c r="E19" s="340">
        <v>76</v>
      </c>
      <c r="F19" s="340">
        <v>10</v>
      </c>
      <c r="G19" s="340">
        <v>929.93</v>
      </c>
      <c r="H19" s="347">
        <f t="shared" si="1"/>
        <v>706746.79999999993</v>
      </c>
      <c r="I19" s="340">
        <v>1013</v>
      </c>
      <c r="J19" s="441">
        <f t="shared" si="0"/>
        <v>760</v>
      </c>
      <c r="K19" s="748" t="str">
        <f>UPPER((TEXT(Tabla5[[#This Row],[FECHA]],"MMM")))</f>
        <v>ENE</v>
      </c>
      <c r="L19" s="780">
        <f>YEAR(Tabla5[[#This Row],[FECHA]])</f>
        <v>2024</v>
      </c>
      <c r="M19" s="749">
        <v>142</v>
      </c>
      <c r="N19" s="441" t="s">
        <v>676</v>
      </c>
      <c r="O19" s="441" t="s">
        <v>712</v>
      </c>
      <c r="P19" s="441" t="s">
        <v>110</v>
      </c>
    </row>
    <row r="20" spans="1:16">
      <c r="A20" s="386">
        <v>45316</v>
      </c>
      <c r="B20" s="340" t="s">
        <v>267</v>
      </c>
      <c r="C20" s="340" t="s">
        <v>268</v>
      </c>
      <c r="D20" s="340" t="s">
        <v>260</v>
      </c>
      <c r="E20" s="340">
        <v>58</v>
      </c>
      <c r="F20" s="340">
        <v>5</v>
      </c>
      <c r="G20" s="340">
        <v>929.93</v>
      </c>
      <c r="H20" s="347">
        <f t="shared" si="1"/>
        <v>269679.7</v>
      </c>
      <c r="I20" s="340">
        <v>653</v>
      </c>
      <c r="J20" s="441">
        <f t="shared" si="0"/>
        <v>290</v>
      </c>
      <c r="K20" s="748" t="str">
        <f>UPPER((TEXT(Tabla5[[#This Row],[FECHA]],"MMM")))</f>
        <v>ENE</v>
      </c>
      <c r="L20" s="780">
        <f>YEAR(Tabla5[[#This Row],[FECHA]])</f>
        <v>2024</v>
      </c>
      <c r="M20" s="749">
        <v>142</v>
      </c>
      <c r="N20" s="441" t="s">
        <v>680</v>
      </c>
      <c r="O20" s="441" t="s">
        <v>712</v>
      </c>
      <c r="P20" s="441" t="s">
        <v>110</v>
      </c>
    </row>
    <row r="21" spans="1:16">
      <c r="A21" s="386">
        <v>45317</v>
      </c>
      <c r="B21" s="340" t="s">
        <v>269</v>
      </c>
      <c r="C21" s="340" t="s">
        <v>270</v>
      </c>
      <c r="D21" s="340" t="s">
        <v>260</v>
      </c>
      <c r="E21" s="340">
        <v>58</v>
      </c>
      <c r="F21" s="340">
        <v>4</v>
      </c>
      <c r="G21" s="340">
        <v>929.93</v>
      </c>
      <c r="H21" s="347">
        <f t="shared" si="1"/>
        <v>215743.75999999998</v>
      </c>
      <c r="I21" s="340">
        <v>115</v>
      </c>
      <c r="J21" s="441">
        <f t="shared" si="0"/>
        <v>232</v>
      </c>
      <c r="K21" s="748" t="str">
        <f>UPPER((TEXT(Tabla5[[#This Row],[FECHA]],"MMM")))</f>
        <v>ENE</v>
      </c>
      <c r="L21" s="780">
        <f>YEAR(Tabla5[[#This Row],[FECHA]])</f>
        <v>2024</v>
      </c>
      <c r="M21" s="749">
        <v>142</v>
      </c>
      <c r="N21" s="441" t="s">
        <v>679</v>
      </c>
      <c r="O21" s="441" t="s">
        <v>712</v>
      </c>
      <c r="P21" s="441" t="s">
        <v>110</v>
      </c>
    </row>
    <row r="22" spans="1:16">
      <c r="A22" s="386">
        <v>45317</v>
      </c>
      <c r="B22" s="340" t="s">
        <v>271</v>
      </c>
      <c r="C22" s="340" t="s">
        <v>257</v>
      </c>
      <c r="D22" s="340" t="s">
        <v>265</v>
      </c>
      <c r="E22" s="340">
        <v>76</v>
      </c>
      <c r="F22" s="340">
        <v>10</v>
      </c>
      <c r="G22" s="340">
        <v>929.93</v>
      </c>
      <c r="H22" s="347">
        <f t="shared" si="1"/>
        <v>706746.79999999993</v>
      </c>
      <c r="I22" s="340">
        <v>1382</v>
      </c>
      <c r="J22" s="441">
        <f t="shared" si="0"/>
        <v>760</v>
      </c>
      <c r="K22" s="748" t="str">
        <f>UPPER((TEXT(Tabla5[[#This Row],[FECHA]],"MMM")))</f>
        <v>ENE</v>
      </c>
      <c r="L22" s="780">
        <f>YEAR(Tabla5[[#This Row],[FECHA]])</f>
        <v>2024</v>
      </c>
      <c r="M22" s="749">
        <v>142</v>
      </c>
      <c r="N22" s="441" t="s">
        <v>676</v>
      </c>
      <c r="O22" s="441" t="s">
        <v>712</v>
      </c>
      <c r="P22" s="441" t="s">
        <v>110</v>
      </c>
    </row>
    <row r="23" spans="1:16">
      <c r="A23" s="386">
        <v>45317</v>
      </c>
      <c r="B23" s="340" t="s">
        <v>267</v>
      </c>
      <c r="C23" s="340" t="s">
        <v>268</v>
      </c>
      <c r="D23" s="340" t="s">
        <v>260</v>
      </c>
      <c r="E23" s="340">
        <v>58</v>
      </c>
      <c r="F23" s="340">
        <v>6</v>
      </c>
      <c r="G23" s="340">
        <v>929.93</v>
      </c>
      <c r="H23" s="347">
        <f t="shared" si="1"/>
        <v>323615.63999999996</v>
      </c>
      <c r="I23" s="340">
        <v>852</v>
      </c>
      <c r="J23" s="441">
        <f t="shared" si="0"/>
        <v>348</v>
      </c>
      <c r="K23" s="748" t="str">
        <f>UPPER((TEXT(Tabla5[[#This Row],[FECHA]],"MMM")))</f>
        <v>ENE</v>
      </c>
      <c r="L23" s="780">
        <f>YEAR(Tabla5[[#This Row],[FECHA]])</f>
        <v>2024</v>
      </c>
      <c r="M23" s="749">
        <v>142</v>
      </c>
      <c r="N23" s="441" t="s">
        <v>680</v>
      </c>
      <c r="O23" s="441" t="s">
        <v>712</v>
      </c>
      <c r="P23" s="441" t="s">
        <v>110</v>
      </c>
    </row>
    <row r="24" spans="1:16">
      <c r="A24" s="386">
        <v>45318</v>
      </c>
      <c r="B24" s="340" t="s">
        <v>272</v>
      </c>
      <c r="C24" s="340" t="s">
        <v>273</v>
      </c>
      <c r="D24" s="340" t="s">
        <v>260</v>
      </c>
      <c r="E24" s="340">
        <v>58</v>
      </c>
      <c r="F24" s="340">
        <v>4</v>
      </c>
      <c r="G24" s="340">
        <v>929.93</v>
      </c>
      <c r="H24" s="347">
        <f t="shared" si="1"/>
        <v>215743.75999999998</v>
      </c>
      <c r="I24" s="340">
        <v>12</v>
      </c>
      <c r="J24" s="441">
        <f t="shared" si="0"/>
        <v>232</v>
      </c>
      <c r="K24" s="748" t="str">
        <f>UPPER((TEXT(Tabla5[[#This Row],[FECHA]],"MMM")))</f>
        <v>ENE</v>
      </c>
      <c r="L24" s="780">
        <f>YEAR(Tabla5[[#This Row],[FECHA]])</f>
        <v>2024</v>
      </c>
      <c r="M24" s="749">
        <v>142</v>
      </c>
      <c r="N24" s="441" t="s">
        <v>679</v>
      </c>
      <c r="O24" s="441" t="s">
        <v>712</v>
      </c>
      <c r="P24" s="441" t="s">
        <v>110</v>
      </c>
    </row>
    <row r="25" spans="1:16">
      <c r="A25" s="386">
        <v>45318</v>
      </c>
      <c r="B25" s="340" t="s">
        <v>274</v>
      </c>
      <c r="C25" s="340" t="s">
        <v>275</v>
      </c>
      <c r="D25" s="340" t="s">
        <v>265</v>
      </c>
      <c r="E25" s="340">
        <v>76</v>
      </c>
      <c r="F25" s="340">
        <v>3</v>
      </c>
      <c r="G25" s="340">
        <v>929.93</v>
      </c>
      <c r="H25" s="347">
        <f t="shared" si="1"/>
        <v>212024.03999999998</v>
      </c>
      <c r="I25" s="340">
        <v>341</v>
      </c>
      <c r="J25" s="441">
        <f t="shared" si="0"/>
        <v>228</v>
      </c>
      <c r="K25" s="748" t="str">
        <f>UPPER((TEXT(Tabla5[[#This Row],[FECHA]],"MMM")))</f>
        <v>ENE</v>
      </c>
      <c r="L25" s="780">
        <f>YEAR(Tabla5[[#This Row],[FECHA]])</f>
        <v>2024</v>
      </c>
      <c r="M25" s="749">
        <v>142</v>
      </c>
      <c r="N25" s="441" t="s">
        <v>676</v>
      </c>
      <c r="O25" s="441" t="s">
        <v>712</v>
      </c>
      <c r="P25" s="441" t="s">
        <v>110</v>
      </c>
    </row>
    <row r="26" spans="1:16">
      <c r="A26" s="386">
        <v>45318</v>
      </c>
      <c r="B26" s="340" t="s">
        <v>267</v>
      </c>
      <c r="C26" s="340" t="s">
        <v>276</v>
      </c>
      <c r="D26" s="340" t="s">
        <v>255</v>
      </c>
      <c r="E26" s="340">
        <v>96</v>
      </c>
      <c r="F26" s="340">
        <v>11</v>
      </c>
      <c r="G26" s="340">
        <v>929.93</v>
      </c>
      <c r="H26" s="347">
        <f t="shared" si="1"/>
        <v>982006.08</v>
      </c>
      <c r="I26" s="340">
        <v>950</v>
      </c>
      <c r="J26" s="441">
        <f t="shared" si="0"/>
        <v>1056</v>
      </c>
      <c r="K26" s="748" t="str">
        <f>UPPER((TEXT(Tabla5[[#This Row],[FECHA]],"MMM")))</f>
        <v>ENE</v>
      </c>
      <c r="L26" s="780">
        <f>YEAR(Tabla5[[#This Row],[FECHA]])</f>
        <v>2024</v>
      </c>
      <c r="M26" s="749">
        <v>142</v>
      </c>
      <c r="N26" s="441" t="s">
        <v>678</v>
      </c>
      <c r="O26" s="441" t="s">
        <v>713</v>
      </c>
      <c r="P26" s="441" t="s">
        <v>110</v>
      </c>
    </row>
    <row r="27" spans="1:16">
      <c r="A27" s="386">
        <v>45319</v>
      </c>
      <c r="B27" s="340" t="s">
        <v>277</v>
      </c>
      <c r="C27" s="340" t="s">
        <v>264</v>
      </c>
      <c r="D27" s="340" t="s">
        <v>255</v>
      </c>
      <c r="E27" s="340">
        <v>96</v>
      </c>
      <c r="F27" s="340">
        <v>12</v>
      </c>
      <c r="G27" s="340">
        <v>929.93</v>
      </c>
      <c r="H27" s="347">
        <f t="shared" si="1"/>
        <v>1071279.3599999999</v>
      </c>
      <c r="I27" s="340">
        <v>966</v>
      </c>
      <c r="J27" s="441">
        <f t="shared" si="0"/>
        <v>1152</v>
      </c>
      <c r="K27" s="748" t="str">
        <f>UPPER((TEXT(Tabla5[[#This Row],[FECHA]],"MMM")))</f>
        <v>ENE</v>
      </c>
      <c r="L27" s="780">
        <f>YEAR(Tabla5[[#This Row],[FECHA]])</f>
        <v>2024</v>
      </c>
      <c r="M27" s="749">
        <v>142</v>
      </c>
      <c r="N27" s="441" t="s">
        <v>678</v>
      </c>
      <c r="O27" s="441" t="s">
        <v>713</v>
      </c>
      <c r="P27" s="441" t="s">
        <v>110</v>
      </c>
    </row>
    <row r="28" spans="1:16">
      <c r="A28" s="386">
        <v>45320</v>
      </c>
      <c r="B28" s="340" t="s">
        <v>272</v>
      </c>
      <c r="C28" s="340" t="s">
        <v>273</v>
      </c>
      <c r="D28" s="340" t="s">
        <v>260</v>
      </c>
      <c r="E28" s="340">
        <v>58</v>
      </c>
      <c r="F28" s="340">
        <v>4</v>
      </c>
      <c r="G28" s="340">
        <v>929.93</v>
      </c>
      <c r="H28" s="347">
        <f t="shared" si="1"/>
        <v>215743.75999999998</v>
      </c>
      <c r="I28" s="340">
        <v>173</v>
      </c>
      <c r="J28" s="441">
        <f t="shared" si="0"/>
        <v>232</v>
      </c>
      <c r="K28" s="748" t="str">
        <f>UPPER((TEXT(Tabla5[[#This Row],[FECHA]],"MMM")))</f>
        <v>ENE</v>
      </c>
      <c r="L28" s="780">
        <f>YEAR(Tabla5[[#This Row],[FECHA]])</f>
        <v>2024</v>
      </c>
      <c r="M28" s="749">
        <v>142</v>
      </c>
      <c r="N28" s="441" t="s">
        <v>679</v>
      </c>
      <c r="O28" s="441" t="s">
        <v>712</v>
      </c>
      <c r="P28" s="441" t="s">
        <v>110</v>
      </c>
    </row>
    <row r="29" spans="1:16">
      <c r="A29" s="386">
        <v>45320</v>
      </c>
      <c r="B29" s="340" t="s">
        <v>263</v>
      </c>
      <c r="C29" s="340" t="s">
        <v>264</v>
      </c>
      <c r="D29" s="340" t="s">
        <v>265</v>
      </c>
      <c r="E29" s="340">
        <v>76</v>
      </c>
      <c r="F29" s="340">
        <v>10</v>
      </c>
      <c r="G29" s="340">
        <v>929.93</v>
      </c>
      <c r="H29" s="347">
        <f t="shared" si="1"/>
        <v>706746.79999999993</v>
      </c>
      <c r="I29" s="340">
        <v>985</v>
      </c>
      <c r="J29" s="441">
        <f t="shared" si="0"/>
        <v>760</v>
      </c>
      <c r="K29" s="748" t="str">
        <f>UPPER((TEXT(Tabla5[[#This Row],[FECHA]],"MMM")))</f>
        <v>ENE</v>
      </c>
      <c r="L29" s="780">
        <f>YEAR(Tabla5[[#This Row],[FECHA]])</f>
        <v>2024</v>
      </c>
      <c r="M29" s="749">
        <v>142</v>
      </c>
      <c r="N29" s="441" t="s">
        <v>676</v>
      </c>
      <c r="O29" s="441" t="s">
        <v>712</v>
      </c>
      <c r="P29" s="441" t="s">
        <v>110</v>
      </c>
    </row>
    <row r="30" spans="1:16">
      <c r="A30" s="387">
        <v>45321</v>
      </c>
      <c r="B30" s="340" t="s">
        <v>272</v>
      </c>
      <c r="C30" s="340" t="s">
        <v>278</v>
      </c>
      <c r="D30" s="340" t="s">
        <v>260</v>
      </c>
      <c r="E30" s="340">
        <v>58</v>
      </c>
      <c r="F30" s="340">
        <v>4</v>
      </c>
      <c r="G30" s="340">
        <v>929.93</v>
      </c>
      <c r="H30" s="347">
        <f t="shared" si="1"/>
        <v>215743.75999999998</v>
      </c>
      <c r="I30" s="340">
        <v>180</v>
      </c>
      <c r="J30" s="441">
        <f t="shared" si="0"/>
        <v>232</v>
      </c>
      <c r="K30" s="748" t="str">
        <f>UPPER((TEXT(Tabla5[[#This Row],[FECHA]],"MMM")))</f>
        <v>ENE</v>
      </c>
      <c r="L30" s="780">
        <f>YEAR(Tabla5[[#This Row],[FECHA]])</f>
        <v>2024</v>
      </c>
      <c r="M30" s="749">
        <v>142</v>
      </c>
      <c r="N30" s="441" t="s">
        <v>679</v>
      </c>
      <c r="O30" s="441" t="s">
        <v>712</v>
      </c>
      <c r="P30" s="441" t="s">
        <v>110</v>
      </c>
    </row>
    <row r="31" spans="1:16">
      <c r="A31" s="387">
        <v>45321</v>
      </c>
      <c r="B31" s="340" t="s">
        <v>271</v>
      </c>
      <c r="C31" s="340" t="s">
        <v>257</v>
      </c>
      <c r="D31" s="340" t="s">
        <v>265</v>
      </c>
      <c r="E31" s="340">
        <v>76</v>
      </c>
      <c r="F31" s="340">
        <v>10</v>
      </c>
      <c r="G31" s="340">
        <v>929.93</v>
      </c>
      <c r="H31" s="347">
        <f t="shared" si="1"/>
        <v>706746.79999999993</v>
      </c>
      <c r="I31" s="340">
        <v>1347</v>
      </c>
      <c r="J31" s="441">
        <f t="shared" si="0"/>
        <v>760</v>
      </c>
      <c r="K31" s="748" t="str">
        <f>UPPER((TEXT(Tabla5[[#This Row],[FECHA]],"MMM")))</f>
        <v>ENE</v>
      </c>
      <c r="L31" s="780">
        <f>YEAR(Tabla5[[#This Row],[FECHA]])</f>
        <v>2024</v>
      </c>
      <c r="M31" s="749">
        <v>142</v>
      </c>
      <c r="N31" s="441" t="s">
        <v>676</v>
      </c>
      <c r="O31" s="441" t="s">
        <v>712</v>
      </c>
      <c r="P31" s="441" t="s">
        <v>110</v>
      </c>
    </row>
    <row r="32" spans="1:16">
      <c r="A32" s="387">
        <v>45321</v>
      </c>
      <c r="B32" s="340" t="s">
        <v>267</v>
      </c>
      <c r="C32" s="340" t="s">
        <v>268</v>
      </c>
      <c r="D32" s="340" t="s">
        <v>260</v>
      </c>
      <c r="E32" s="340">
        <v>58</v>
      </c>
      <c r="F32" s="340">
        <v>5</v>
      </c>
      <c r="G32" s="340">
        <v>929.93</v>
      </c>
      <c r="H32" s="347">
        <f t="shared" si="1"/>
        <v>269679.7</v>
      </c>
      <c r="I32" s="340">
        <v>584</v>
      </c>
      <c r="J32" s="441">
        <f t="shared" si="0"/>
        <v>290</v>
      </c>
      <c r="K32" s="748" t="str">
        <f>UPPER((TEXT(Tabla5[[#This Row],[FECHA]],"MMM")))</f>
        <v>ENE</v>
      </c>
      <c r="L32" s="780">
        <f>YEAR(Tabla5[[#This Row],[FECHA]])</f>
        <v>2024</v>
      </c>
      <c r="M32" s="749">
        <v>142</v>
      </c>
      <c r="N32" s="441" t="s">
        <v>680</v>
      </c>
      <c r="O32" s="441" t="s">
        <v>712</v>
      </c>
      <c r="P32" s="441" t="s">
        <v>110</v>
      </c>
    </row>
    <row r="33" spans="1:16">
      <c r="A33" s="387">
        <v>45322</v>
      </c>
      <c r="B33" s="340" t="s">
        <v>269</v>
      </c>
      <c r="C33" s="340" t="s">
        <v>270</v>
      </c>
      <c r="D33" s="340" t="s">
        <v>260</v>
      </c>
      <c r="E33" s="340">
        <v>58</v>
      </c>
      <c r="F33" s="340">
        <v>4</v>
      </c>
      <c r="G33" s="340">
        <v>929.93</v>
      </c>
      <c r="H33" s="347">
        <f t="shared" si="1"/>
        <v>215743.75999999998</v>
      </c>
      <c r="I33" s="340">
        <v>175</v>
      </c>
      <c r="J33" s="441">
        <f t="shared" si="0"/>
        <v>232</v>
      </c>
      <c r="K33" s="748" t="str">
        <f>UPPER((TEXT(Tabla5[[#This Row],[FECHA]],"MMM")))</f>
        <v>ENE</v>
      </c>
      <c r="L33" s="780">
        <f>YEAR(Tabla5[[#This Row],[FECHA]])</f>
        <v>2024</v>
      </c>
      <c r="M33" s="749">
        <v>142</v>
      </c>
      <c r="N33" s="441" t="s">
        <v>679</v>
      </c>
      <c r="O33" s="441" t="s">
        <v>712</v>
      </c>
      <c r="P33" s="441" t="s">
        <v>110</v>
      </c>
    </row>
    <row r="34" spans="1:16">
      <c r="A34" s="387">
        <v>45322</v>
      </c>
      <c r="B34" s="340" t="s">
        <v>271</v>
      </c>
      <c r="C34" s="340" t="s">
        <v>257</v>
      </c>
      <c r="D34" s="340" t="s">
        <v>265</v>
      </c>
      <c r="E34" s="340">
        <v>76</v>
      </c>
      <c r="F34" s="340">
        <v>10</v>
      </c>
      <c r="G34" s="340">
        <v>929.93</v>
      </c>
      <c r="H34" s="347">
        <f t="shared" si="1"/>
        <v>706746.79999999993</v>
      </c>
      <c r="I34" s="340">
        <v>1325</v>
      </c>
      <c r="J34" s="441">
        <f t="shared" si="0"/>
        <v>760</v>
      </c>
      <c r="K34" s="748" t="str">
        <f>UPPER((TEXT(Tabla5[[#This Row],[FECHA]],"MMM")))</f>
        <v>ENE</v>
      </c>
      <c r="L34" s="780">
        <f>YEAR(Tabla5[[#This Row],[FECHA]])</f>
        <v>2024</v>
      </c>
      <c r="M34" s="749">
        <v>142</v>
      </c>
      <c r="N34" s="441" t="s">
        <v>676</v>
      </c>
      <c r="O34" s="441" t="s">
        <v>712</v>
      </c>
      <c r="P34" s="441" t="s">
        <v>110</v>
      </c>
    </row>
    <row r="35" spans="1:16">
      <c r="A35" s="387">
        <v>45322</v>
      </c>
      <c r="B35" s="340" t="s">
        <v>267</v>
      </c>
      <c r="C35" s="340" t="s">
        <v>268</v>
      </c>
      <c r="D35" s="340" t="s">
        <v>260</v>
      </c>
      <c r="E35" s="340">
        <v>58</v>
      </c>
      <c r="F35" s="340">
        <v>5</v>
      </c>
      <c r="G35" s="340">
        <v>929.93</v>
      </c>
      <c r="H35" s="347">
        <f t="shared" si="1"/>
        <v>269679.7</v>
      </c>
      <c r="I35" s="340">
        <v>830</v>
      </c>
      <c r="J35" s="441">
        <f t="shared" si="0"/>
        <v>290</v>
      </c>
      <c r="K35" s="748" t="str">
        <f>UPPER((TEXT(Tabla5[[#This Row],[FECHA]],"MMM")))</f>
        <v>ENE</v>
      </c>
      <c r="L35" s="780">
        <f>YEAR(Tabla5[[#This Row],[FECHA]])</f>
        <v>2024</v>
      </c>
      <c r="M35" s="749">
        <v>142</v>
      </c>
      <c r="N35" s="441" t="s">
        <v>680</v>
      </c>
      <c r="O35" s="441" t="s">
        <v>712</v>
      </c>
      <c r="P35" s="441" t="s">
        <v>110</v>
      </c>
    </row>
    <row r="36" spans="1:16">
      <c r="A36" s="387">
        <v>45323</v>
      </c>
      <c r="B36" s="340" t="s">
        <v>269</v>
      </c>
      <c r="C36" s="340" t="s">
        <v>280</v>
      </c>
      <c r="D36" s="340" t="s">
        <v>260</v>
      </c>
      <c r="E36" s="340">
        <v>58</v>
      </c>
      <c r="F36" s="340">
        <v>4</v>
      </c>
      <c r="G36" s="340">
        <v>929.93</v>
      </c>
      <c r="H36" s="347">
        <f t="shared" si="1"/>
        <v>215743.75999999998</v>
      </c>
      <c r="I36" s="340">
        <v>253</v>
      </c>
      <c r="J36" s="441">
        <f t="shared" si="0"/>
        <v>232</v>
      </c>
      <c r="K36" s="748" t="str">
        <f>UPPER((TEXT(Tabla5[[#This Row],[FECHA]],"MMM")))</f>
        <v>FEB</v>
      </c>
      <c r="L36" s="780">
        <f>YEAR(Tabla5[[#This Row],[FECHA]])</f>
        <v>2024</v>
      </c>
      <c r="M36" s="749">
        <v>160</v>
      </c>
      <c r="N36" s="441" t="s">
        <v>679</v>
      </c>
      <c r="O36" s="441" t="s">
        <v>712</v>
      </c>
      <c r="P36" s="441" t="s">
        <v>110</v>
      </c>
    </row>
    <row r="37" spans="1:16">
      <c r="A37" s="387">
        <v>45323</v>
      </c>
      <c r="B37" s="340" t="s">
        <v>271</v>
      </c>
      <c r="C37" s="340" t="s">
        <v>257</v>
      </c>
      <c r="D37" s="340" t="s">
        <v>265</v>
      </c>
      <c r="E37" s="340">
        <v>76</v>
      </c>
      <c r="F37" s="340">
        <v>9</v>
      </c>
      <c r="G37" s="340">
        <v>929.93</v>
      </c>
      <c r="H37" s="347">
        <f t="shared" si="1"/>
        <v>636072.12</v>
      </c>
      <c r="I37" s="340">
        <v>989</v>
      </c>
      <c r="J37" s="441">
        <f t="shared" si="0"/>
        <v>684</v>
      </c>
      <c r="K37" s="748" t="str">
        <f>UPPER((TEXT(Tabla5[[#This Row],[FECHA]],"MMM")))</f>
        <v>FEB</v>
      </c>
      <c r="L37" s="780">
        <f>YEAR(Tabla5[[#This Row],[FECHA]])</f>
        <v>2024</v>
      </c>
      <c r="M37" s="749">
        <v>160</v>
      </c>
      <c r="N37" s="441" t="s">
        <v>676</v>
      </c>
      <c r="O37" s="441" t="s">
        <v>712</v>
      </c>
      <c r="P37" s="441" t="s">
        <v>110</v>
      </c>
    </row>
    <row r="38" spans="1:16">
      <c r="A38" s="387">
        <v>45324</v>
      </c>
      <c r="B38" s="340" t="s">
        <v>261</v>
      </c>
      <c r="C38" s="340" t="s">
        <v>266</v>
      </c>
      <c r="D38" s="340" t="s">
        <v>260</v>
      </c>
      <c r="E38" s="340">
        <v>58</v>
      </c>
      <c r="F38" s="340">
        <v>4</v>
      </c>
      <c r="G38" s="340">
        <v>929.93</v>
      </c>
      <c r="H38" s="347">
        <f t="shared" si="1"/>
        <v>215743.75999999998</v>
      </c>
      <c r="I38" s="340">
        <v>139</v>
      </c>
      <c r="J38" s="441">
        <f t="shared" si="0"/>
        <v>232</v>
      </c>
      <c r="K38" s="748" t="str">
        <f>UPPER((TEXT(Tabla5[[#This Row],[FECHA]],"MMM")))</f>
        <v>FEB</v>
      </c>
      <c r="L38" s="780">
        <f>YEAR(Tabla5[[#This Row],[FECHA]])</f>
        <v>2024</v>
      </c>
      <c r="M38" s="749">
        <v>160</v>
      </c>
      <c r="N38" s="441" t="s">
        <v>679</v>
      </c>
      <c r="O38" s="441" t="s">
        <v>712</v>
      </c>
      <c r="P38" s="441" t="s">
        <v>110</v>
      </c>
    </row>
    <row r="39" spans="1:16">
      <c r="A39" s="387">
        <v>45324</v>
      </c>
      <c r="B39" s="340" t="s">
        <v>281</v>
      </c>
      <c r="C39" s="340" t="s">
        <v>257</v>
      </c>
      <c r="D39" s="340" t="s">
        <v>265</v>
      </c>
      <c r="E39" s="340">
        <v>76</v>
      </c>
      <c r="F39" s="340">
        <v>9</v>
      </c>
      <c r="G39" s="340">
        <v>929.93</v>
      </c>
      <c r="H39" s="347">
        <f t="shared" si="1"/>
        <v>636072.12</v>
      </c>
      <c r="I39" s="340">
        <v>1374</v>
      </c>
      <c r="J39" s="441">
        <f t="shared" si="0"/>
        <v>684</v>
      </c>
      <c r="K39" s="748" t="str">
        <f>UPPER((TEXT(Tabla5[[#This Row],[FECHA]],"MMM")))</f>
        <v>FEB</v>
      </c>
      <c r="L39" s="780">
        <f>YEAR(Tabla5[[#This Row],[FECHA]])</f>
        <v>2024</v>
      </c>
      <c r="M39" s="749">
        <v>160</v>
      </c>
      <c r="N39" s="441" t="s">
        <v>676</v>
      </c>
      <c r="O39" s="441" t="s">
        <v>712</v>
      </c>
      <c r="P39" s="441" t="s">
        <v>110</v>
      </c>
    </row>
    <row r="40" spans="1:16">
      <c r="A40" s="387">
        <v>45324</v>
      </c>
      <c r="B40" s="340" t="s">
        <v>267</v>
      </c>
      <c r="C40" s="340" t="s">
        <v>268</v>
      </c>
      <c r="D40" s="340" t="s">
        <v>260</v>
      </c>
      <c r="E40" s="340">
        <v>58</v>
      </c>
      <c r="F40" s="340">
        <v>6</v>
      </c>
      <c r="G40" s="340">
        <v>929.93</v>
      </c>
      <c r="H40" s="347">
        <f t="shared" si="1"/>
        <v>323615.63999999996</v>
      </c>
      <c r="I40" s="340">
        <v>890</v>
      </c>
      <c r="J40" s="441">
        <f t="shared" si="0"/>
        <v>348</v>
      </c>
      <c r="K40" s="748" t="str">
        <f>UPPER((TEXT(Tabla5[[#This Row],[FECHA]],"MMM")))</f>
        <v>FEB</v>
      </c>
      <c r="L40" s="780">
        <f>YEAR(Tabla5[[#This Row],[FECHA]])</f>
        <v>2024</v>
      </c>
      <c r="M40" s="749">
        <v>160</v>
      </c>
      <c r="N40" s="441" t="s">
        <v>680</v>
      </c>
      <c r="O40" s="441" t="s">
        <v>712</v>
      </c>
      <c r="P40" s="441" t="s">
        <v>110</v>
      </c>
    </row>
    <row r="41" spans="1:16">
      <c r="A41" s="387">
        <v>45325</v>
      </c>
      <c r="B41" s="340" t="s">
        <v>272</v>
      </c>
      <c r="C41" s="340" t="s">
        <v>282</v>
      </c>
      <c r="D41" s="340" t="s">
        <v>265</v>
      </c>
      <c r="E41" s="340">
        <v>76</v>
      </c>
      <c r="F41" s="340">
        <v>3</v>
      </c>
      <c r="G41" s="340">
        <v>929.93</v>
      </c>
      <c r="H41" s="347">
        <f t="shared" si="1"/>
        <v>212024.03999999998</v>
      </c>
      <c r="I41" s="340">
        <v>359</v>
      </c>
      <c r="J41" s="441">
        <f t="shared" si="0"/>
        <v>228</v>
      </c>
      <c r="K41" s="748" t="str">
        <f>UPPER((TEXT(Tabla5[[#This Row],[FECHA]],"MMM")))</f>
        <v>FEB</v>
      </c>
      <c r="L41" s="780">
        <f>YEAR(Tabla5[[#This Row],[FECHA]])</f>
        <v>2024</v>
      </c>
      <c r="M41" s="749">
        <v>160</v>
      </c>
      <c r="N41" s="441" t="s">
        <v>676</v>
      </c>
      <c r="O41" s="441" t="s">
        <v>712</v>
      </c>
      <c r="P41" s="441" t="s">
        <v>110</v>
      </c>
    </row>
    <row r="42" spans="1:16">
      <c r="A42" s="387">
        <v>45325</v>
      </c>
      <c r="B42" s="340" t="s">
        <v>263</v>
      </c>
      <c r="C42" s="340" t="s">
        <v>283</v>
      </c>
      <c r="D42" s="340" t="s">
        <v>255</v>
      </c>
      <c r="E42" s="340">
        <v>96</v>
      </c>
      <c r="F42" s="340">
        <v>12</v>
      </c>
      <c r="G42" s="340">
        <v>929.93</v>
      </c>
      <c r="H42" s="347">
        <f t="shared" si="1"/>
        <v>1071279.3599999999</v>
      </c>
      <c r="I42" s="340">
        <v>900</v>
      </c>
      <c r="J42" s="441">
        <f t="shared" si="0"/>
        <v>1152</v>
      </c>
      <c r="K42" s="748" t="str">
        <f>UPPER((TEXT(Tabla5[[#This Row],[FECHA]],"MMM")))</f>
        <v>FEB</v>
      </c>
      <c r="L42" s="780">
        <f>YEAR(Tabla5[[#This Row],[FECHA]])</f>
        <v>2024</v>
      </c>
      <c r="M42" s="749">
        <v>160</v>
      </c>
      <c r="N42" s="441" t="s">
        <v>678</v>
      </c>
      <c r="O42" s="441" t="s">
        <v>713</v>
      </c>
      <c r="P42" s="441" t="s">
        <v>110</v>
      </c>
    </row>
    <row r="43" spans="1:16">
      <c r="A43" s="387">
        <v>45326</v>
      </c>
      <c r="B43" s="340" t="s">
        <v>256</v>
      </c>
      <c r="C43" s="340" t="s">
        <v>257</v>
      </c>
      <c r="D43" s="340" t="s">
        <v>255</v>
      </c>
      <c r="E43" s="340">
        <v>96</v>
      </c>
      <c r="F43" s="340">
        <v>11</v>
      </c>
      <c r="G43" s="340">
        <v>929.93</v>
      </c>
      <c r="H43" s="347">
        <f t="shared" si="1"/>
        <v>982006.08</v>
      </c>
      <c r="I43" s="340">
        <v>840</v>
      </c>
      <c r="J43" s="441">
        <f t="shared" si="0"/>
        <v>1056</v>
      </c>
      <c r="K43" s="748" t="str">
        <f>UPPER((TEXT(Tabla5[[#This Row],[FECHA]],"MMM")))</f>
        <v>FEB</v>
      </c>
      <c r="L43" s="780">
        <f>YEAR(Tabla5[[#This Row],[FECHA]])</f>
        <v>2024</v>
      </c>
      <c r="M43" s="749">
        <v>160</v>
      </c>
      <c r="N43" s="441" t="s">
        <v>678</v>
      </c>
      <c r="O43" s="441" t="s">
        <v>713</v>
      </c>
      <c r="P43" s="441" t="s">
        <v>110</v>
      </c>
    </row>
    <row r="44" spans="1:16">
      <c r="A44" s="387">
        <v>45327</v>
      </c>
      <c r="B44" s="340" t="s">
        <v>272</v>
      </c>
      <c r="C44" s="340" t="s">
        <v>273</v>
      </c>
      <c r="D44" s="340" t="s">
        <v>260</v>
      </c>
      <c r="E44" s="340">
        <v>58</v>
      </c>
      <c r="F44" s="340">
        <v>4</v>
      </c>
      <c r="G44" s="340">
        <v>929.93</v>
      </c>
      <c r="H44" s="347">
        <f t="shared" si="1"/>
        <v>215743.75999999998</v>
      </c>
      <c r="I44" s="340">
        <v>172</v>
      </c>
      <c r="J44" s="441">
        <f t="shared" si="0"/>
        <v>232</v>
      </c>
      <c r="K44" s="748" t="str">
        <f>UPPER((TEXT(Tabla5[[#This Row],[FECHA]],"MMM")))</f>
        <v>FEB</v>
      </c>
      <c r="L44" s="780">
        <f>YEAR(Tabla5[[#This Row],[FECHA]])</f>
        <v>2024</v>
      </c>
      <c r="M44" s="749">
        <v>160</v>
      </c>
      <c r="N44" s="441" t="s">
        <v>679</v>
      </c>
      <c r="O44" s="441" t="s">
        <v>712</v>
      </c>
      <c r="P44" s="441" t="s">
        <v>110</v>
      </c>
    </row>
    <row r="45" spans="1:16">
      <c r="A45" s="387">
        <v>45327</v>
      </c>
      <c r="B45" s="340" t="s">
        <v>271</v>
      </c>
      <c r="C45" s="340" t="s">
        <v>257</v>
      </c>
      <c r="D45" s="340" t="s">
        <v>265</v>
      </c>
      <c r="E45" s="340">
        <v>76</v>
      </c>
      <c r="F45" s="340">
        <v>9</v>
      </c>
      <c r="G45" s="340">
        <v>929.93</v>
      </c>
      <c r="H45" s="347">
        <f t="shared" si="1"/>
        <v>636072.12</v>
      </c>
      <c r="I45" s="340">
        <v>971</v>
      </c>
      <c r="J45" s="441">
        <f t="shared" si="0"/>
        <v>684</v>
      </c>
      <c r="K45" s="748" t="str">
        <f>UPPER((TEXT(Tabla5[[#This Row],[FECHA]],"MMM")))</f>
        <v>FEB</v>
      </c>
      <c r="L45" s="780">
        <f>YEAR(Tabla5[[#This Row],[FECHA]])</f>
        <v>2024</v>
      </c>
      <c r="M45" s="749">
        <v>160</v>
      </c>
      <c r="N45" s="441" t="s">
        <v>676</v>
      </c>
      <c r="O45" s="441" t="s">
        <v>712</v>
      </c>
      <c r="P45" s="441" t="s">
        <v>110</v>
      </c>
    </row>
    <row r="46" spans="1:16">
      <c r="A46" s="387">
        <v>45328</v>
      </c>
      <c r="B46" s="340" t="s">
        <v>269</v>
      </c>
      <c r="C46" s="340" t="s">
        <v>270</v>
      </c>
      <c r="D46" s="340" t="s">
        <v>260</v>
      </c>
      <c r="E46" s="340">
        <v>58</v>
      </c>
      <c r="F46" s="340">
        <v>4</v>
      </c>
      <c r="G46" s="340">
        <v>929.93</v>
      </c>
      <c r="H46" s="347">
        <f t="shared" si="1"/>
        <v>215743.75999999998</v>
      </c>
      <c r="I46" s="340">
        <v>174</v>
      </c>
      <c r="J46" s="441">
        <f t="shared" si="0"/>
        <v>232</v>
      </c>
      <c r="K46" s="748" t="str">
        <f>UPPER((TEXT(Tabla5[[#This Row],[FECHA]],"MMM")))</f>
        <v>FEB</v>
      </c>
      <c r="L46" s="780">
        <f>YEAR(Tabla5[[#This Row],[FECHA]])</f>
        <v>2024</v>
      </c>
      <c r="M46" s="749">
        <v>160</v>
      </c>
      <c r="N46" s="441" t="s">
        <v>679</v>
      </c>
      <c r="O46" s="441" t="s">
        <v>712</v>
      </c>
      <c r="P46" s="441" t="s">
        <v>110</v>
      </c>
    </row>
    <row r="47" spans="1:16">
      <c r="A47" s="387">
        <v>45328</v>
      </c>
      <c r="B47" s="340" t="s">
        <v>281</v>
      </c>
      <c r="C47" s="340" t="s">
        <v>257</v>
      </c>
      <c r="D47" s="340" t="s">
        <v>265</v>
      </c>
      <c r="E47" s="340">
        <v>76</v>
      </c>
      <c r="F47" s="340">
        <v>9</v>
      </c>
      <c r="G47" s="340">
        <v>929.93</v>
      </c>
      <c r="H47" s="347">
        <f t="shared" si="1"/>
        <v>636072.12</v>
      </c>
      <c r="I47" s="340">
        <v>1330</v>
      </c>
      <c r="J47" s="441">
        <f t="shared" si="0"/>
        <v>684</v>
      </c>
      <c r="K47" s="748" t="str">
        <f>UPPER((TEXT(Tabla5[[#This Row],[FECHA]],"MMM")))</f>
        <v>FEB</v>
      </c>
      <c r="L47" s="780">
        <f>YEAR(Tabla5[[#This Row],[FECHA]])</f>
        <v>2024</v>
      </c>
      <c r="M47" s="749">
        <v>160</v>
      </c>
      <c r="N47" s="441" t="s">
        <v>676</v>
      </c>
      <c r="O47" s="441" t="s">
        <v>712</v>
      </c>
      <c r="P47" s="441" t="s">
        <v>110</v>
      </c>
    </row>
    <row r="48" spans="1:16">
      <c r="A48" s="387">
        <v>45328</v>
      </c>
      <c r="B48" s="340" t="s">
        <v>284</v>
      </c>
      <c r="C48" s="340" t="s">
        <v>285</v>
      </c>
      <c r="D48" s="340" t="s">
        <v>260</v>
      </c>
      <c r="E48" s="340">
        <v>58</v>
      </c>
      <c r="F48" s="340">
        <v>5</v>
      </c>
      <c r="G48" s="340">
        <v>929.93</v>
      </c>
      <c r="H48" s="347">
        <f t="shared" si="1"/>
        <v>269679.7</v>
      </c>
      <c r="I48" s="340">
        <v>617</v>
      </c>
      <c r="J48" s="441">
        <f t="shared" si="0"/>
        <v>290</v>
      </c>
      <c r="K48" s="748" t="str">
        <f>UPPER((TEXT(Tabla5[[#This Row],[FECHA]],"MMM")))</f>
        <v>FEB</v>
      </c>
      <c r="L48" s="780">
        <f>YEAR(Tabla5[[#This Row],[FECHA]])</f>
        <v>2024</v>
      </c>
      <c r="M48" s="749">
        <v>160</v>
      </c>
      <c r="N48" s="441" t="s">
        <v>680</v>
      </c>
      <c r="O48" s="441" t="s">
        <v>712</v>
      </c>
      <c r="P48" s="441" t="s">
        <v>110</v>
      </c>
    </row>
    <row r="49" spans="1:16">
      <c r="A49" s="387">
        <v>45329</v>
      </c>
      <c r="B49" s="340" t="s">
        <v>272</v>
      </c>
      <c r="C49" s="340" t="s">
        <v>278</v>
      </c>
      <c r="D49" s="340" t="s">
        <v>260</v>
      </c>
      <c r="E49" s="340">
        <v>58</v>
      </c>
      <c r="F49" s="340">
        <v>4</v>
      </c>
      <c r="G49" s="340">
        <v>929.93</v>
      </c>
      <c r="H49" s="347">
        <f t="shared" si="1"/>
        <v>215743.75999999998</v>
      </c>
      <c r="I49" s="340">
        <v>156</v>
      </c>
      <c r="J49" s="441">
        <f t="shared" si="0"/>
        <v>232</v>
      </c>
      <c r="K49" s="748" t="str">
        <f>UPPER((TEXT(Tabla5[[#This Row],[FECHA]],"MMM")))</f>
        <v>FEB</v>
      </c>
      <c r="L49" s="780">
        <f>YEAR(Tabla5[[#This Row],[FECHA]])</f>
        <v>2024</v>
      </c>
      <c r="M49" s="749">
        <v>160</v>
      </c>
      <c r="N49" s="441" t="s">
        <v>679</v>
      </c>
      <c r="O49" s="441" t="s">
        <v>712</v>
      </c>
      <c r="P49" s="441" t="s">
        <v>110</v>
      </c>
    </row>
    <row r="50" spans="1:16">
      <c r="A50" s="387">
        <v>45329</v>
      </c>
      <c r="B50" s="340" t="s">
        <v>281</v>
      </c>
      <c r="C50" s="340" t="s">
        <v>257</v>
      </c>
      <c r="D50" s="340" t="s">
        <v>265</v>
      </c>
      <c r="E50" s="340">
        <v>76</v>
      </c>
      <c r="F50" s="340">
        <v>9</v>
      </c>
      <c r="G50" s="340">
        <v>929.93</v>
      </c>
      <c r="H50" s="347">
        <f t="shared" si="1"/>
        <v>636072.12</v>
      </c>
      <c r="I50" s="340">
        <v>1242</v>
      </c>
      <c r="J50" s="441">
        <f t="shared" si="0"/>
        <v>684</v>
      </c>
      <c r="K50" s="748" t="str">
        <f>UPPER((TEXT(Tabla5[[#This Row],[FECHA]],"MMM")))</f>
        <v>FEB</v>
      </c>
      <c r="L50" s="780">
        <f>YEAR(Tabla5[[#This Row],[FECHA]])</f>
        <v>2024</v>
      </c>
      <c r="M50" s="749">
        <v>160</v>
      </c>
      <c r="N50" s="441" t="s">
        <v>676</v>
      </c>
      <c r="O50" s="441" t="s">
        <v>712</v>
      </c>
      <c r="P50" s="441" t="s">
        <v>110</v>
      </c>
    </row>
    <row r="51" spans="1:16">
      <c r="A51" s="387">
        <v>45329</v>
      </c>
      <c r="B51" s="340" t="s">
        <v>284</v>
      </c>
      <c r="C51" s="340" t="s">
        <v>285</v>
      </c>
      <c r="D51" s="340" t="s">
        <v>260</v>
      </c>
      <c r="E51" s="340">
        <v>58</v>
      </c>
      <c r="F51" s="340">
        <v>5</v>
      </c>
      <c r="G51" s="340">
        <v>929.93</v>
      </c>
      <c r="H51" s="347">
        <f t="shared" si="1"/>
        <v>269679.7</v>
      </c>
      <c r="I51" s="340">
        <v>761</v>
      </c>
      <c r="J51" s="441">
        <f t="shared" si="0"/>
        <v>290</v>
      </c>
      <c r="K51" s="748" t="str">
        <f>UPPER((TEXT(Tabla5[[#This Row],[FECHA]],"MMM")))</f>
        <v>FEB</v>
      </c>
      <c r="L51" s="780">
        <f>YEAR(Tabla5[[#This Row],[FECHA]])</f>
        <v>2024</v>
      </c>
      <c r="M51" s="749">
        <v>160</v>
      </c>
      <c r="N51" s="441" t="s">
        <v>680</v>
      </c>
      <c r="O51" s="441" t="s">
        <v>712</v>
      </c>
      <c r="P51" s="441" t="s">
        <v>110</v>
      </c>
    </row>
    <row r="52" spans="1:16">
      <c r="A52" s="386">
        <v>45330</v>
      </c>
      <c r="B52" s="340" t="s">
        <v>272</v>
      </c>
      <c r="C52" s="340" t="s">
        <v>278</v>
      </c>
      <c r="D52" s="340" t="s">
        <v>260</v>
      </c>
      <c r="E52" s="340">
        <v>58</v>
      </c>
      <c r="F52" s="340">
        <v>4</v>
      </c>
      <c r="G52" s="340">
        <v>929.93</v>
      </c>
      <c r="H52" s="347">
        <f t="shared" si="1"/>
        <v>215743.75999999998</v>
      </c>
      <c r="I52" s="340">
        <v>146</v>
      </c>
      <c r="J52" s="441">
        <f t="shared" si="0"/>
        <v>232</v>
      </c>
      <c r="K52" s="748" t="str">
        <f>UPPER((TEXT(Tabla5[[#This Row],[FECHA]],"MMM")))</f>
        <v>FEB</v>
      </c>
      <c r="L52" s="780">
        <f>YEAR(Tabla5[[#This Row],[FECHA]])</f>
        <v>2024</v>
      </c>
      <c r="M52" s="749">
        <v>160</v>
      </c>
      <c r="N52" s="441" t="s">
        <v>679</v>
      </c>
      <c r="O52" s="441" t="s">
        <v>712</v>
      </c>
      <c r="P52" s="441" t="s">
        <v>110</v>
      </c>
    </row>
    <row r="53" spans="1:16">
      <c r="A53" s="386">
        <v>45330</v>
      </c>
      <c r="B53" s="340" t="s">
        <v>286</v>
      </c>
      <c r="C53" s="340" t="s">
        <v>258</v>
      </c>
      <c r="D53" s="340" t="s">
        <v>265</v>
      </c>
      <c r="E53" s="340">
        <v>76</v>
      </c>
      <c r="F53" s="340">
        <v>9</v>
      </c>
      <c r="G53" s="340">
        <v>929.93</v>
      </c>
      <c r="H53" s="347">
        <f t="shared" si="1"/>
        <v>636072.12</v>
      </c>
      <c r="I53" s="340">
        <v>1136</v>
      </c>
      <c r="J53" s="441">
        <f t="shared" si="0"/>
        <v>684</v>
      </c>
      <c r="K53" s="748" t="str">
        <f>UPPER((TEXT(Tabla5[[#This Row],[FECHA]],"MMM")))</f>
        <v>FEB</v>
      </c>
      <c r="L53" s="780">
        <f>YEAR(Tabla5[[#This Row],[FECHA]])</f>
        <v>2024</v>
      </c>
      <c r="M53" s="749">
        <v>160</v>
      </c>
      <c r="N53" s="441" t="s">
        <v>676</v>
      </c>
      <c r="O53" s="441" t="s">
        <v>712</v>
      </c>
      <c r="P53" s="441" t="s">
        <v>110</v>
      </c>
    </row>
    <row r="54" spans="1:16">
      <c r="A54" s="386">
        <v>45330</v>
      </c>
      <c r="B54" s="340" t="s">
        <v>284</v>
      </c>
      <c r="C54" s="340" t="s">
        <v>285</v>
      </c>
      <c r="D54" s="340" t="s">
        <v>260</v>
      </c>
      <c r="E54" s="340">
        <v>58</v>
      </c>
      <c r="F54" s="340">
        <v>5</v>
      </c>
      <c r="G54" s="340">
        <v>929.93</v>
      </c>
      <c r="H54" s="347">
        <f t="shared" si="1"/>
        <v>269679.7</v>
      </c>
      <c r="I54" s="340">
        <v>716</v>
      </c>
      <c r="J54" s="441">
        <f t="shared" si="0"/>
        <v>290</v>
      </c>
      <c r="K54" s="748" t="str">
        <f>UPPER((TEXT(Tabla5[[#This Row],[FECHA]],"MMM")))</f>
        <v>FEB</v>
      </c>
      <c r="L54" s="780">
        <f>YEAR(Tabla5[[#This Row],[FECHA]])</f>
        <v>2024</v>
      </c>
      <c r="M54" s="749">
        <v>160</v>
      </c>
      <c r="N54" s="441" t="s">
        <v>680</v>
      </c>
      <c r="O54" s="441" t="s">
        <v>712</v>
      </c>
      <c r="P54" s="441" t="s">
        <v>110</v>
      </c>
    </row>
    <row r="55" spans="1:16">
      <c r="A55" s="386">
        <v>45331</v>
      </c>
      <c r="B55" s="340" t="s">
        <v>261</v>
      </c>
      <c r="C55" s="340" t="s">
        <v>266</v>
      </c>
      <c r="D55" s="340" t="s">
        <v>260</v>
      </c>
      <c r="E55" s="340">
        <v>58</v>
      </c>
      <c r="F55" s="340">
        <v>4</v>
      </c>
      <c r="G55" s="340">
        <v>929.93</v>
      </c>
      <c r="H55" s="347">
        <f t="shared" si="1"/>
        <v>215743.75999999998</v>
      </c>
      <c r="I55" s="340">
        <v>125</v>
      </c>
      <c r="J55" s="441">
        <f t="shared" si="0"/>
        <v>232</v>
      </c>
      <c r="K55" s="748" t="str">
        <f>UPPER((TEXT(Tabla5[[#This Row],[FECHA]],"MMM")))</f>
        <v>FEB</v>
      </c>
      <c r="L55" s="780">
        <f>YEAR(Tabla5[[#This Row],[FECHA]])</f>
        <v>2024</v>
      </c>
      <c r="M55" s="749">
        <v>160</v>
      </c>
      <c r="N55" s="441" t="s">
        <v>679</v>
      </c>
      <c r="O55" s="441" t="s">
        <v>712</v>
      </c>
      <c r="P55" s="441" t="s">
        <v>110</v>
      </c>
    </row>
    <row r="56" spans="1:16">
      <c r="A56" s="386">
        <v>45331</v>
      </c>
      <c r="B56" s="340" t="s">
        <v>286</v>
      </c>
      <c r="C56" s="340" t="s">
        <v>258</v>
      </c>
      <c r="D56" s="340" t="s">
        <v>265</v>
      </c>
      <c r="E56" s="340">
        <v>76</v>
      </c>
      <c r="F56" s="340">
        <v>9</v>
      </c>
      <c r="G56" s="340">
        <v>929.93</v>
      </c>
      <c r="H56" s="347">
        <f t="shared" si="1"/>
        <v>636072.12</v>
      </c>
      <c r="I56" s="340">
        <v>1418</v>
      </c>
      <c r="J56" s="441">
        <f t="shared" si="0"/>
        <v>684</v>
      </c>
      <c r="K56" s="748" t="str">
        <f>UPPER((TEXT(Tabla5[[#This Row],[FECHA]],"MMM")))</f>
        <v>FEB</v>
      </c>
      <c r="L56" s="780">
        <f>YEAR(Tabla5[[#This Row],[FECHA]])</f>
        <v>2024</v>
      </c>
      <c r="M56" s="749">
        <v>160</v>
      </c>
      <c r="N56" s="441" t="s">
        <v>676</v>
      </c>
      <c r="O56" s="441" t="s">
        <v>712</v>
      </c>
      <c r="P56" s="441" t="s">
        <v>110</v>
      </c>
    </row>
    <row r="57" spans="1:16">
      <c r="A57" s="386">
        <v>45331</v>
      </c>
      <c r="B57" s="340" t="s">
        <v>284</v>
      </c>
      <c r="C57" s="340" t="s">
        <v>285</v>
      </c>
      <c r="D57" s="340" t="s">
        <v>260</v>
      </c>
      <c r="E57" s="340">
        <v>58</v>
      </c>
      <c r="F57" s="340">
        <v>6</v>
      </c>
      <c r="G57" s="340">
        <v>929.93</v>
      </c>
      <c r="H57" s="347">
        <f t="shared" si="1"/>
        <v>323615.63999999996</v>
      </c>
      <c r="I57" s="340">
        <v>909</v>
      </c>
      <c r="J57" s="441">
        <f t="shared" si="0"/>
        <v>348</v>
      </c>
      <c r="K57" s="748" t="str">
        <f>UPPER((TEXT(Tabla5[[#This Row],[FECHA]],"MMM")))</f>
        <v>FEB</v>
      </c>
      <c r="L57" s="780">
        <f>YEAR(Tabla5[[#This Row],[FECHA]])</f>
        <v>2024</v>
      </c>
      <c r="M57" s="749">
        <v>160</v>
      </c>
      <c r="N57" s="441" t="s">
        <v>680</v>
      </c>
      <c r="O57" s="441" t="s">
        <v>712</v>
      </c>
      <c r="P57" s="441" t="s">
        <v>110</v>
      </c>
    </row>
    <row r="58" spans="1:16">
      <c r="A58" s="386">
        <v>45332</v>
      </c>
      <c r="B58" s="340" t="s">
        <v>261</v>
      </c>
      <c r="C58" s="340" t="s">
        <v>275</v>
      </c>
      <c r="D58" s="340" t="s">
        <v>265</v>
      </c>
      <c r="E58" s="340">
        <v>76</v>
      </c>
      <c r="F58" s="340">
        <v>3</v>
      </c>
      <c r="G58" s="340">
        <v>929.93</v>
      </c>
      <c r="H58" s="347">
        <f t="shared" si="1"/>
        <v>212024.03999999998</v>
      </c>
      <c r="I58" s="340">
        <v>339</v>
      </c>
      <c r="J58" s="441">
        <f t="shared" si="0"/>
        <v>228</v>
      </c>
      <c r="K58" s="748" t="str">
        <f>UPPER((TEXT(Tabla5[[#This Row],[FECHA]],"MMM")))</f>
        <v>FEB</v>
      </c>
      <c r="L58" s="780">
        <f>YEAR(Tabla5[[#This Row],[FECHA]])</f>
        <v>2024</v>
      </c>
      <c r="M58" s="749">
        <v>160</v>
      </c>
      <c r="N58" s="441" t="s">
        <v>676</v>
      </c>
      <c r="O58" s="441" t="s">
        <v>712</v>
      </c>
      <c r="P58" s="441" t="s">
        <v>110</v>
      </c>
    </row>
    <row r="59" spans="1:16">
      <c r="A59" s="386">
        <v>45332</v>
      </c>
      <c r="B59" s="340" t="s">
        <v>287</v>
      </c>
      <c r="C59" s="340" t="s">
        <v>288</v>
      </c>
      <c r="D59" s="340" t="s">
        <v>255</v>
      </c>
      <c r="E59" s="340">
        <v>96</v>
      </c>
      <c r="F59" s="340">
        <v>9</v>
      </c>
      <c r="G59" s="340">
        <v>929.93</v>
      </c>
      <c r="H59" s="347">
        <f t="shared" si="1"/>
        <v>803459.5199999999</v>
      </c>
      <c r="I59" s="340">
        <v>810</v>
      </c>
      <c r="J59" s="441">
        <f t="shared" si="0"/>
        <v>864</v>
      </c>
      <c r="K59" s="748" t="str">
        <f>UPPER((TEXT(Tabla5[[#This Row],[FECHA]],"MMM")))</f>
        <v>FEB</v>
      </c>
      <c r="L59" s="780">
        <f>YEAR(Tabla5[[#This Row],[FECHA]])</f>
        <v>2024</v>
      </c>
      <c r="M59" s="749">
        <v>160</v>
      </c>
      <c r="N59" s="441" t="s">
        <v>678</v>
      </c>
      <c r="O59" s="441" t="s">
        <v>713</v>
      </c>
      <c r="P59" s="441" t="s">
        <v>110</v>
      </c>
    </row>
    <row r="60" spans="1:16">
      <c r="A60" s="386">
        <v>45333</v>
      </c>
      <c r="B60" s="340" t="s">
        <v>289</v>
      </c>
      <c r="C60" s="340" t="s">
        <v>290</v>
      </c>
      <c r="D60" s="340" t="s">
        <v>255</v>
      </c>
      <c r="E60" s="340">
        <v>96</v>
      </c>
      <c r="F60" s="340">
        <v>11</v>
      </c>
      <c r="G60" s="340">
        <v>929.93</v>
      </c>
      <c r="H60" s="347">
        <f t="shared" si="1"/>
        <v>982006.08</v>
      </c>
      <c r="I60" s="340">
        <v>830</v>
      </c>
      <c r="J60" s="441">
        <f t="shared" si="0"/>
        <v>1056</v>
      </c>
      <c r="K60" s="748" t="str">
        <f>UPPER((TEXT(Tabla5[[#This Row],[FECHA]],"MMM")))</f>
        <v>FEB</v>
      </c>
      <c r="L60" s="780">
        <f>YEAR(Tabla5[[#This Row],[FECHA]])</f>
        <v>2024</v>
      </c>
      <c r="M60" s="749">
        <v>160</v>
      </c>
      <c r="N60" s="441" t="s">
        <v>678</v>
      </c>
      <c r="O60" s="441" t="s">
        <v>713</v>
      </c>
      <c r="P60" s="441" t="s">
        <v>110</v>
      </c>
    </row>
    <row r="61" spans="1:16">
      <c r="A61" s="386">
        <v>45334</v>
      </c>
      <c r="B61" s="340" t="s">
        <v>272</v>
      </c>
      <c r="C61" s="340" t="s">
        <v>278</v>
      </c>
      <c r="D61" s="340" t="s">
        <v>260</v>
      </c>
      <c r="E61" s="340">
        <v>58</v>
      </c>
      <c r="F61" s="340">
        <v>4</v>
      </c>
      <c r="G61" s="340">
        <v>929.93</v>
      </c>
      <c r="H61" s="347">
        <f t="shared" si="1"/>
        <v>215743.75999999998</v>
      </c>
      <c r="I61" s="340">
        <v>150</v>
      </c>
      <c r="J61" s="441">
        <f t="shared" si="0"/>
        <v>232</v>
      </c>
      <c r="K61" s="748" t="str">
        <f>UPPER((TEXT(Tabla5[[#This Row],[FECHA]],"MMM")))</f>
        <v>FEB</v>
      </c>
      <c r="L61" s="780">
        <f>YEAR(Tabla5[[#This Row],[FECHA]])</f>
        <v>2024</v>
      </c>
      <c r="M61" s="749">
        <v>160</v>
      </c>
      <c r="N61" s="441" t="s">
        <v>679</v>
      </c>
      <c r="O61" s="441" t="s">
        <v>712</v>
      </c>
      <c r="P61" s="441" t="s">
        <v>110</v>
      </c>
    </row>
    <row r="62" spans="1:16">
      <c r="A62" s="386">
        <v>45334</v>
      </c>
      <c r="B62" s="340" t="s">
        <v>263</v>
      </c>
      <c r="C62" s="340" t="s">
        <v>264</v>
      </c>
      <c r="D62" s="340" t="s">
        <v>265</v>
      </c>
      <c r="E62" s="340">
        <v>76</v>
      </c>
      <c r="F62" s="340">
        <v>9</v>
      </c>
      <c r="G62" s="340">
        <v>929.93</v>
      </c>
      <c r="H62" s="347">
        <f t="shared" si="1"/>
        <v>636072.12</v>
      </c>
      <c r="I62" s="340">
        <v>1039</v>
      </c>
      <c r="J62" s="441">
        <f t="shared" si="0"/>
        <v>684</v>
      </c>
      <c r="K62" s="748" t="str">
        <f>UPPER((TEXT(Tabla5[[#This Row],[FECHA]],"MMM")))</f>
        <v>FEB</v>
      </c>
      <c r="L62" s="780">
        <f>YEAR(Tabla5[[#This Row],[FECHA]])</f>
        <v>2024</v>
      </c>
      <c r="M62" s="749">
        <v>160</v>
      </c>
      <c r="N62" s="441" t="s">
        <v>676</v>
      </c>
      <c r="O62" s="441" t="s">
        <v>712</v>
      </c>
      <c r="P62" s="441" t="s">
        <v>110</v>
      </c>
    </row>
    <row r="63" spans="1:16">
      <c r="A63" s="386">
        <v>45334</v>
      </c>
      <c r="B63" s="340" t="s">
        <v>291</v>
      </c>
      <c r="C63" s="340" t="s">
        <v>280</v>
      </c>
      <c r="D63" s="340" t="s">
        <v>260</v>
      </c>
      <c r="E63" s="340">
        <v>58</v>
      </c>
      <c r="F63" s="340">
        <v>4</v>
      </c>
      <c r="G63" s="340">
        <v>929.93</v>
      </c>
      <c r="H63" s="347">
        <f t="shared" si="1"/>
        <v>215743.75999999998</v>
      </c>
      <c r="I63" s="340">
        <v>522</v>
      </c>
      <c r="J63" s="441">
        <f t="shared" si="0"/>
        <v>232</v>
      </c>
      <c r="K63" s="748" t="str">
        <f>UPPER((TEXT(Tabla5[[#This Row],[FECHA]],"MMM")))</f>
        <v>FEB</v>
      </c>
      <c r="L63" s="780">
        <f>YEAR(Tabla5[[#This Row],[FECHA]])</f>
        <v>2024</v>
      </c>
      <c r="M63" s="749">
        <v>160</v>
      </c>
      <c r="N63" s="441" t="s">
        <v>680</v>
      </c>
      <c r="O63" s="441" t="s">
        <v>712</v>
      </c>
      <c r="P63" s="441" t="s">
        <v>110</v>
      </c>
    </row>
    <row r="64" spans="1:16">
      <c r="A64" s="387">
        <v>45335</v>
      </c>
      <c r="B64" s="340" t="s">
        <v>272</v>
      </c>
      <c r="C64" s="340" t="s">
        <v>278</v>
      </c>
      <c r="D64" s="340" t="s">
        <v>260</v>
      </c>
      <c r="E64" s="340">
        <v>58</v>
      </c>
      <c r="F64" s="340">
        <v>4</v>
      </c>
      <c r="G64" s="340">
        <v>929.93</v>
      </c>
      <c r="H64" s="347">
        <f t="shared" si="1"/>
        <v>215743.75999999998</v>
      </c>
      <c r="I64" s="340">
        <v>199</v>
      </c>
      <c r="J64" s="441">
        <f t="shared" si="0"/>
        <v>232</v>
      </c>
      <c r="K64" s="748" t="str">
        <f>UPPER((TEXT(Tabla5[[#This Row],[FECHA]],"MMM")))</f>
        <v>FEB</v>
      </c>
      <c r="L64" s="780">
        <f>YEAR(Tabla5[[#This Row],[FECHA]])</f>
        <v>2024</v>
      </c>
      <c r="M64" s="749">
        <v>160</v>
      </c>
      <c r="N64" s="441" t="s">
        <v>679</v>
      </c>
      <c r="O64" s="441" t="s">
        <v>712</v>
      </c>
      <c r="P64" s="441" t="s">
        <v>110</v>
      </c>
    </row>
    <row r="65" spans="1:16">
      <c r="A65" s="387">
        <v>45335</v>
      </c>
      <c r="B65" s="340" t="s">
        <v>287</v>
      </c>
      <c r="C65" s="340" t="s">
        <v>290</v>
      </c>
      <c r="D65" s="340" t="s">
        <v>265</v>
      </c>
      <c r="E65" s="340">
        <v>76</v>
      </c>
      <c r="F65" s="340">
        <v>9</v>
      </c>
      <c r="G65" s="340">
        <v>929.93</v>
      </c>
      <c r="H65" s="347">
        <f t="shared" si="1"/>
        <v>636072.12</v>
      </c>
      <c r="I65" s="340">
        <v>1393</v>
      </c>
      <c r="J65" s="441">
        <f t="shared" si="0"/>
        <v>684</v>
      </c>
      <c r="K65" s="748" t="str">
        <f>UPPER((TEXT(Tabla5[[#This Row],[FECHA]],"MMM")))</f>
        <v>FEB</v>
      </c>
      <c r="L65" s="780">
        <f>YEAR(Tabla5[[#This Row],[FECHA]])</f>
        <v>2024</v>
      </c>
      <c r="M65" s="749">
        <v>160</v>
      </c>
      <c r="N65" s="441" t="s">
        <v>676</v>
      </c>
      <c r="O65" s="441" t="s">
        <v>712</v>
      </c>
      <c r="P65" s="441" t="s">
        <v>110</v>
      </c>
    </row>
    <row r="66" spans="1:16">
      <c r="A66" s="387">
        <v>45335</v>
      </c>
      <c r="B66" s="340" t="s">
        <v>267</v>
      </c>
      <c r="C66" s="340" t="s">
        <v>268</v>
      </c>
      <c r="D66" s="340" t="s">
        <v>260</v>
      </c>
      <c r="E66" s="340">
        <v>58</v>
      </c>
      <c r="F66" s="340">
        <v>5</v>
      </c>
      <c r="G66" s="340">
        <v>929.93</v>
      </c>
      <c r="H66" s="347">
        <f t="shared" si="1"/>
        <v>269679.7</v>
      </c>
      <c r="I66" s="340">
        <v>605</v>
      </c>
      <c r="J66" s="441">
        <f t="shared" ref="J66:J129" si="2">E66*F66</f>
        <v>290</v>
      </c>
      <c r="K66" s="748" t="str">
        <f>UPPER((TEXT(Tabla5[[#This Row],[FECHA]],"MMM")))</f>
        <v>FEB</v>
      </c>
      <c r="L66" s="780">
        <f>YEAR(Tabla5[[#This Row],[FECHA]])</f>
        <v>2024</v>
      </c>
      <c r="M66" s="749">
        <v>160</v>
      </c>
      <c r="N66" s="441" t="s">
        <v>680</v>
      </c>
      <c r="O66" s="441" t="s">
        <v>712</v>
      </c>
      <c r="P66" s="441" t="s">
        <v>110</v>
      </c>
    </row>
    <row r="67" spans="1:16">
      <c r="A67" s="387">
        <v>45336</v>
      </c>
      <c r="B67" s="340" t="s">
        <v>272</v>
      </c>
      <c r="C67" s="340" t="s">
        <v>278</v>
      </c>
      <c r="D67" s="340" t="s">
        <v>260</v>
      </c>
      <c r="E67" s="340">
        <v>58</v>
      </c>
      <c r="F67" s="340">
        <v>4</v>
      </c>
      <c r="G67" s="340">
        <v>929.93</v>
      </c>
      <c r="H67" s="347">
        <f t="shared" si="1"/>
        <v>215743.75999999998</v>
      </c>
      <c r="I67" s="340">
        <v>157</v>
      </c>
      <c r="J67" s="441">
        <f t="shared" si="2"/>
        <v>232</v>
      </c>
      <c r="K67" s="748" t="str">
        <f>UPPER((TEXT(Tabla5[[#This Row],[FECHA]],"MMM")))</f>
        <v>FEB</v>
      </c>
      <c r="L67" s="780">
        <f>YEAR(Tabla5[[#This Row],[FECHA]])</f>
        <v>2024</v>
      </c>
      <c r="M67" s="749">
        <v>160</v>
      </c>
      <c r="N67" s="441" t="s">
        <v>679</v>
      </c>
      <c r="O67" s="441" t="s">
        <v>712</v>
      </c>
      <c r="P67" s="441" t="s">
        <v>110</v>
      </c>
    </row>
    <row r="68" spans="1:16">
      <c r="A68" s="387">
        <v>45336</v>
      </c>
      <c r="B68" s="340" t="s">
        <v>287</v>
      </c>
      <c r="C68" s="340" t="s">
        <v>290</v>
      </c>
      <c r="D68" s="340" t="s">
        <v>265</v>
      </c>
      <c r="E68" s="340">
        <v>76</v>
      </c>
      <c r="F68" s="340">
        <v>9</v>
      </c>
      <c r="G68" s="340">
        <v>929.93</v>
      </c>
      <c r="H68" s="347">
        <f t="shared" si="1"/>
        <v>636072.12</v>
      </c>
      <c r="I68" s="340">
        <v>1370</v>
      </c>
      <c r="J68" s="441">
        <f t="shared" si="2"/>
        <v>684</v>
      </c>
      <c r="K68" s="748" t="str">
        <f>UPPER((TEXT(Tabla5[[#This Row],[FECHA]],"MMM")))</f>
        <v>FEB</v>
      </c>
      <c r="L68" s="780">
        <f>YEAR(Tabla5[[#This Row],[FECHA]])</f>
        <v>2024</v>
      </c>
      <c r="M68" s="749">
        <v>160</v>
      </c>
      <c r="N68" s="441" t="s">
        <v>676</v>
      </c>
      <c r="O68" s="441" t="s">
        <v>712</v>
      </c>
      <c r="P68" s="441" t="s">
        <v>110</v>
      </c>
    </row>
    <row r="69" spans="1:16">
      <c r="A69" s="387">
        <v>45336</v>
      </c>
      <c r="B69" s="340" t="s">
        <v>267</v>
      </c>
      <c r="C69" s="340" t="s">
        <v>268</v>
      </c>
      <c r="D69" s="340" t="s">
        <v>260</v>
      </c>
      <c r="E69" s="340">
        <v>58</v>
      </c>
      <c r="F69" s="340">
        <v>5</v>
      </c>
      <c r="G69" s="340">
        <v>929.93</v>
      </c>
      <c r="H69" s="347">
        <f t="shared" si="1"/>
        <v>269679.7</v>
      </c>
      <c r="I69" s="340">
        <v>353</v>
      </c>
      <c r="J69" s="441">
        <f t="shared" si="2"/>
        <v>290</v>
      </c>
      <c r="K69" s="748" t="str">
        <f>UPPER((TEXT(Tabla5[[#This Row],[FECHA]],"MMM")))</f>
        <v>FEB</v>
      </c>
      <c r="L69" s="780">
        <f>YEAR(Tabla5[[#This Row],[FECHA]])</f>
        <v>2024</v>
      </c>
      <c r="M69" s="749">
        <v>160</v>
      </c>
      <c r="N69" s="441" t="s">
        <v>680</v>
      </c>
      <c r="O69" s="441" t="s">
        <v>712</v>
      </c>
      <c r="P69" s="441" t="s">
        <v>110</v>
      </c>
    </row>
    <row r="70" spans="1:16">
      <c r="A70" s="387">
        <v>45337</v>
      </c>
      <c r="B70" s="340" t="s">
        <v>269</v>
      </c>
      <c r="C70" s="340" t="s">
        <v>270</v>
      </c>
      <c r="D70" s="340" t="s">
        <v>260</v>
      </c>
      <c r="E70" s="340">
        <v>58</v>
      </c>
      <c r="F70" s="340">
        <v>4</v>
      </c>
      <c r="G70" s="340">
        <v>929.93</v>
      </c>
      <c r="H70" s="347">
        <f t="shared" ref="H70:H133" si="3">E70*F70*G70</f>
        <v>215743.75999999998</v>
      </c>
      <c r="I70" s="340">
        <v>167</v>
      </c>
      <c r="J70" s="441">
        <f t="shared" si="2"/>
        <v>232</v>
      </c>
      <c r="K70" s="748" t="str">
        <f>UPPER((TEXT(Tabla5[[#This Row],[FECHA]],"MMM")))</f>
        <v>FEB</v>
      </c>
      <c r="L70" s="780">
        <f>YEAR(Tabla5[[#This Row],[FECHA]])</f>
        <v>2024</v>
      </c>
      <c r="M70" s="749">
        <v>160</v>
      </c>
      <c r="N70" s="441" t="s">
        <v>679</v>
      </c>
      <c r="O70" s="441" t="s">
        <v>712</v>
      </c>
      <c r="P70" s="441" t="s">
        <v>110</v>
      </c>
    </row>
    <row r="71" spans="1:16">
      <c r="A71" s="387">
        <v>45337</v>
      </c>
      <c r="B71" s="340" t="s">
        <v>287</v>
      </c>
      <c r="C71" s="340" t="s">
        <v>290</v>
      </c>
      <c r="D71" s="340" t="s">
        <v>265</v>
      </c>
      <c r="E71" s="340">
        <v>76</v>
      </c>
      <c r="F71" s="340">
        <v>9</v>
      </c>
      <c r="G71" s="340">
        <v>929.93</v>
      </c>
      <c r="H71" s="347">
        <f t="shared" si="3"/>
        <v>636072.12</v>
      </c>
      <c r="I71" s="340">
        <v>1097</v>
      </c>
      <c r="J71" s="441">
        <f t="shared" si="2"/>
        <v>684</v>
      </c>
      <c r="K71" s="748" t="str">
        <f>UPPER((TEXT(Tabla5[[#This Row],[FECHA]],"MMM")))</f>
        <v>FEB</v>
      </c>
      <c r="L71" s="780">
        <f>YEAR(Tabla5[[#This Row],[FECHA]])</f>
        <v>2024</v>
      </c>
      <c r="M71" s="749">
        <v>160</v>
      </c>
      <c r="N71" s="441" t="s">
        <v>676</v>
      </c>
      <c r="O71" s="441" t="s">
        <v>712</v>
      </c>
      <c r="P71" s="441" t="s">
        <v>110</v>
      </c>
    </row>
    <row r="72" spans="1:16">
      <c r="A72" s="387">
        <v>45337</v>
      </c>
      <c r="B72" s="340" t="s">
        <v>267</v>
      </c>
      <c r="C72" s="340" t="s">
        <v>268</v>
      </c>
      <c r="D72" s="340" t="s">
        <v>260</v>
      </c>
      <c r="E72" s="340">
        <v>58</v>
      </c>
      <c r="F72" s="340">
        <v>5</v>
      </c>
      <c r="G72" s="340">
        <v>929.93</v>
      </c>
      <c r="H72" s="347">
        <f t="shared" si="3"/>
        <v>269679.7</v>
      </c>
      <c r="I72" s="340">
        <v>635</v>
      </c>
      <c r="J72" s="441">
        <f t="shared" si="2"/>
        <v>290</v>
      </c>
      <c r="K72" s="748" t="str">
        <f>UPPER((TEXT(Tabla5[[#This Row],[FECHA]],"MMM")))</f>
        <v>FEB</v>
      </c>
      <c r="L72" s="780">
        <f>YEAR(Tabla5[[#This Row],[FECHA]])</f>
        <v>2024</v>
      </c>
      <c r="M72" s="749">
        <v>160</v>
      </c>
      <c r="N72" s="441" t="s">
        <v>680</v>
      </c>
      <c r="O72" s="441" t="s">
        <v>712</v>
      </c>
      <c r="P72" s="441" t="s">
        <v>110</v>
      </c>
    </row>
    <row r="73" spans="1:16">
      <c r="A73" s="387">
        <v>45338</v>
      </c>
      <c r="B73" s="340" t="s">
        <v>269</v>
      </c>
      <c r="C73" s="340" t="s">
        <v>270</v>
      </c>
      <c r="D73" s="340" t="s">
        <v>260</v>
      </c>
      <c r="E73" s="340">
        <v>58</v>
      </c>
      <c r="F73" s="340">
        <v>4</v>
      </c>
      <c r="G73" s="340">
        <v>929.93</v>
      </c>
      <c r="H73" s="347">
        <f t="shared" si="3"/>
        <v>215743.75999999998</v>
      </c>
      <c r="I73" s="340">
        <v>138</v>
      </c>
      <c r="J73" s="441">
        <f t="shared" si="2"/>
        <v>232</v>
      </c>
      <c r="K73" s="748" t="str">
        <f>UPPER((TEXT(Tabla5[[#This Row],[FECHA]],"MMM")))</f>
        <v>FEB</v>
      </c>
      <c r="L73" s="780">
        <f>YEAR(Tabla5[[#This Row],[FECHA]])</f>
        <v>2024</v>
      </c>
      <c r="M73" s="749">
        <v>160</v>
      </c>
      <c r="N73" s="441" t="s">
        <v>679</v>
      </c>
      <c r="O73" s="441" t="s">
        <v>712</v>
      </c>
      <c r="P73" s="441" t="s">
        <v>110</v>
      </c>
    </row>
    <row r="74" spans="1:16">
      <c r="A74" s="387">
        <v>45338</v>
      </c>
      <c r="B74" s="340" t="s">
        <v>287</v>
      </c>
      <c r="C74" s="340" t="s">
        <v>290</v>
      </c>
      <c r="D74" s="340" t="s">
        <v>265</v>
      </c>
      <c r="E74" s="340">
        <v>76</v>
      </c>
      <c r="F74" s="340">
        <v>9</v>
      </c>
      <c r="G74" s="340">
        <v>929.93</v>
      </c>
      <c r="H74" s="347">
        <f t="shared" si="3"/>
        <v>636072.12</v>
      </c>
      <c r="I74" s="340">
        <v>1377</v>
      </c>
      <c r="J74" s="441">
        <f t="shared" si="2"/>
        <v>684</v>
      </c>
      <c r="K74" s="748" t="str">
        <f>UPPER((TEXT(Tabla5[[#This Row],[FECHA]],"MMM")))</f>
        <v>FEB</v>
      </c>
      <c r="L74" s="780">
        <f>YEAR(Tabla5[[#This Row],[FECHA]])</f>
        <v>2024</v>
      </c>
      <c r="M74" s="749">
        <v>160</v>
      </c>
      <c r="N74" s="441" t="s">
        <v>676</v>
      </c>
      <c r="O74" s="441" t="s">
        <v>712</v>
      </c>
      <c r="P74" s="441" t="s">
        <v>110</v>
      </c>
    </row>
    <row r="75" spans="1:16">
      <c r="A75" s="387">
        <v>45338</v>
      </c>
      <c r="B75" s="340" t="s">
        <v>267</v>
      </c>
      <c r="C75" s="340" t="s">
        <v>268</v>
      </c>
      <c r="D75" s="340" t="s">
        <v>260</v>
      </c>
      <c r="E75" s="340">
        <v>58</v>
      </c>
      <c r="F75" s="340">
        <v>6</v>
      </c>
      <c r="G75" s="340">
        <v>929.93</v>
      </c>
      <c r="H75" s="347">
        <f t="shared" si="3"/>
        <v>323615.63999999996</v>
      </c>
      <c r="I75" s="340">
        <v>864</v>
      </c>
      <c r="J75" s="441">
        <f t="shared" si="2"/>
        <v>348</v>
      </c>
      <c r="K75" s="748" t="str">
        <f>UPPER((TEXT(Tabla5[[#This Row],[FECHA]],"MMM")))</f>
        <v>FEB</v>
      </c>
      <c r="L75" s="780">
        <f>YEAR(Tabla5[[#This Row],[FECHA]])</f>
        <v>2024</v>
      </c>
      <c r="M75" s="749">
        <v>160</v>
      </c>
      <c r="N75" s="441" t="s">
        <v>680</v>
      </c>
      <c r="O75" s="441" t="s">
        <v>712</v>
      </c>
      <c r="P75" s="441" t="s">
        <v>110</v>
      </c>
    </row>
    <row r="76" spans="1:16">
      <c r="A76" s="387">
        <v>45339</v>
      </c>
      <c r="B76" s="340" t="s">
        <v>272</v>
      </c>
      <c r="C76" s="340" t="s">
        <v>282</v>
      </c>
      <c r="D76" s="340" t="s">
        <v>265</v>
      </c>
      <c r="E76" s="340">
        <v>76</v>
      </c>
      <c r="F76" s="340">
        <v>3</v>
      </c>
      <c r="G76" s="340">
        <v>929.93</v>
      </c>
      <c r="H76" s="347">
        <f t="shared" si="3"/>
        <v>212024.03999999998</v>
      </c>
      <c r="I76" s="340">
        <v>428</v>
      </c>
      <c r="J76" s="441">
        <f t="shared" si="2"/>
        <v>228</v>
      </c>
      <c r="K76" s="748" t="str">
        <f>UPPER((TEXT(Tabla5[[#This Row],[FECHA]],"MMM")))</f>
        <v>FEB</v>
      </c>
      <c r="L76" s="780">
        <f>YEAR(Tabla5[[#This Row],[FECHA]])</f>
        <v>2024</v>
      </c>
      <c r="M76" s="749">
        <v>160</v>
      </c>
      <c r="N76" s="441" t="s">
        <v>676</v>
      </c>
      <c r="O76" s="441" t="s">
        <v>712</v>
      </c>
      <c r="P76" s="441" t="s">
        <v>110</v>
      </c>
    </row>
    <row r="77" spans="1:16">
      <c r="A77" s="387">
        <v>45339</v>
      </c>
      <c r="B77" s="340" t="s">
        <v>271</v>
      </c>
      <c r="C77" s="340" t="s">
        <v>292</v>
      </c>
      <c r="D77" s="340" t="s">
        <v>255</v>
      </c>
      <c r="E77" s="340">
        <v>96</v>
      </c>
      <c r="F77" s="340">
        <v>10</v>
      </c>
      <c r="G77" s="340">
        <v>929.93</v>
      </c>
      <c r="H77" s="347">
        <f t="shared" si="3"/>
        <v>892732.79999999993</v>
      </c>
      <c r="I77" s="340">
        <v>630</v>
      </c>
      <c r="J77" s="441">
        <f t="shared" si="2"/>
        <v>960</v>
      </c>
      <c r="K77" s="748" t="str">
        <f>UPPER((TEXT(Tabla5[[#This Row],[FECHA]],"MMM")))</f>
        <v>FEB</v>
      </c>
      <c r="L77" s="780">
        <f>YEAR(Tabla5[[#This Row],[FECHA]])</f>
        <v>2024</v>
      </c>
      <c r="M77" s="749">
        <v>160</v>
      </c>
      <c r="N77" s="441" t="s">
        <v>678</v>
      </c>
      <c r="O77" s="441" t="s">
        <v>713</v>
      </c>
      <c r="P77" s="441" t="s">
        <v>110</v>
      </c>
    </row>
    <row r="78" spans="1:16">
      <c r="A78" s="387">
        <v>45340</v>
      </c>
      <c r="B78" s="340" t="s">
        <v>256</v>
      </c>
      <c r="C78" s="340" t="s">
        <v>257</v>
      </c>
      <c r="D78" s="340" t="s">
        <v>255</v>
      </c>
      <c r="E78" s="340">
        <v>96</v>
      </c>
      <c r="F78" s="340">
        <v>11</v>
      </c>
      <c r="G78" s="340">
        <v>929.93</v>
      </c>
      <c r="H78" s="347">
        <f t="shared" si="3"/>
        <v>982006.08</v>
      </c>
      <c r="I78" s="340">
        <v>758</v>
      </c>
      <c r="J78" s="441">
        <f t="shared" si="2"/>
        <v>1056</v>
      </c>
      <c r="K78" s="748" t="str">
        <f>UPPER((TEXT(Tabla5[[#This Row],[FECHA]],"MMM")))</f>
        <v>FEB</v>
      </c>
      <c r="L78" s="780">
        <f>YEAR(Tabla5[[#This Row],[FECHA]])</f>
        <v>2024</v>
      </c>
      <c r="M78" s="749">
        <v>160</v>
      </c>
      <c r="N78" s="441" t="s">
        <v>678</v>
      </c>
      <c r="O78" s="441" t="s">
        <v>713</v>
      </c>
      <c r="P78" s="441" t="s">
        <v>110</v>
      </c>
    </row>
    <row r="79" spans="1:16">
      <c r="A79" s="387">
        <v>45341</v>
      </c>
      <c r="B79" s="340" t="s">
        <v>269</v>
      </c>
      <c r="C79" s="340" t="s">
        <v>270</v>
      </c>
      <c r="D79" s="340" t="s">
        <v>260</v>
      </c>
      <c r="E79" s="340">
        <v>58</v>
      </c>
      <c r="F79" s="340">
        <v>4</v>
      </c>
      <c r="G79" s="340">
        <v>929.93</v>
      </c>
      <c r="H79" s="347">
        <f t="shared" si="3"/>
        <v>215743.75999999998</v>
      </c>
      <c r="I79" s="340">
        <v>183</v>
      </c>
      <c r="J79" s="441">
        <f t="shared" si="2"/>
        <v>232</v>
      </c>
      <c r="K79" s="748" t="str">
        <f>UPPER((TEXT(Tabla5[[#This Row],[FECHA]],"MMM")))</f>
        <v>FEB</v>
      </c>
      <c r="L79" s="780">
        <f>YEAR(Tabla5[[#This Row],[FECHA]])</f>
        <v>2024</v>
      </c>
      <c r="M79" s="749">
        <v>160</v>
      </c>
      <c r="N79" s="441" t="s">
        <v>679</v>
      </c>
      <c r="O79" s="441" t="s">
        <v>712</v>
      </c>
      <c r="P79" s="441" t="s">
        <v>110</v>
      </c>
    </row>
    <row r="80" spans="1:16">
      <c r="A80" s="387">
        <v>45341</v>
      </c>
      <c r="B80" s="340" t="s">
        <v>271</v>
      </c>
      <c r="C80" s="340" t="s">
        <v>257</v>
      </c>
      <c r="D80" s="340" t="s">
        <v>265</v>
      </c>
      <c r="E80" s="340">
        <v>76</v>
      </c>
      <c r="F80" s="340">
        <v>9</v>
      </c>
      <c r="G80" s="340">
        <v>929.93</v>
      </c>
      <c r="H80" s="347">
        <f t="shared" si="3"/>
        <v>636072.12</v>
      </c>
      <c r="I80" s="340">
        <v>1044</v>
      </c>
      <c r="J80" s="441">
        <f t="shared" si="2"/>
        <v>684</v>
      </c>
      <c r="K80" s="748" t="str">
        <f>UPPER((TEXT(Tabla5[[#This Row],[FECHA]],"MMM")))</f>
        <v>FEB</v>
      </c>
      <c r="L80" s="780">
        <f>YEAR(Tabla5[[#This Row],[FECHA]])</f>
        <v>2024</v>
      </c>
      <c r="M80" s="749">
        <v>160</v>
      </c>
      <c r="N80" s="441" t="s">
        <v>676</v>
      </c>
      <c r="O80" s="441" t="s">
        <v>712</v>
      </c>
      <c r="P80" s="441" t="s">
        <v>110</v>
      </c>
    </row>
    <row r="81" spans="1:16">
      <c r="A81" s="387">
        <v>45341</v>
      </c>
      <c r="B81" s="340" t="s">
        <v>293</v>
      </c>
      <c r="C81" s="340" t="s">
        <v>273</v>
      </c>
      <c r="D81" s="340" t="s">
        <v>260</v>
      </c>
      <c r="E81" s="340">
        <v>58</v>
      </c>
      <c r="F81" s="340">
        <v>4</v>
      </c>
      <c r="G81" s="340">
        <v>929.93</v>
      </c>
      <c r="H81" s="347">
        <f t="shared" si="3"/>
        <v>215743.75999999998</v>
      </c>
      <c r="I81" s="340">
        <v>632</v>
      </c>
      <c r="J81" s="441">
        <f t="shared" si="2"/>
        <v>232</v>
      </c>
      <c r="K81" s="748" t="str">
        <f>UPPER((TEXT(Tabla5[[#This Row],[FECHA]],"MMM")))</f>
        <v>FEB</v>
      </c>
      <c r="L81" s="780">
        <f>YEAR(Tabla5[[#This Row],[FECHA]])</f>
        <v>2024</v>
      </c>
      <c r="M81" s="749">
        <v>160</v>
      </c>
      <c r="N81" s="441" t="s">
        <v>680</v>
      </c>
      <c r="O81" s="441" t="s">
        <v>712</v>
      </c>
      <c r="P81" s="441" t="s">
        <v>110</v>
      </c>
    </row>
    <row r="82" spans="1:16">
      <c r="A82" s="387">
        <v>45342</v>
      </c>
      <c r="B82" s="340" t="s">
        <v>272</v>
      </c>
      <c r="C82" s="340" t="s">
        <v>278</v>
      </c>
      <c r="D82" s="340" t="s">
        <v>260</v>
      </c>
      <c r="E82" s="340">
        <v>58</v>
      </c>
      <c r="F82" s="340">
        <v>4</v>
      </c>
      <c r="G82" s="340">
        <v>929.93</v>
      </c>
      <c r="H82" s="347">
        <f t="shared" si="3"/>
        <v>215743.75999999998</v>
      </c>
      <c r="I82" s="340">
        <v>191</v>
      </c>
      <c r="J82" s="441">
        <f t="shared" si="2"/>
        <v>232</v>
      </c>
      <c r="K82" s="748" t="str">
        <f>UPPER((TEXT(Tabla5[[#This Row],[FECHA]],"MMM")))</f>
        <v>FEB</v>
      </c>
      <c r="L82" s="780">
        <f>YEAR(Tabla5[[#This Row],[FECHA]])</f>
        <v>2024</v>
      </c>
      <c r="M82" s="749">
        <v>160</v>
      </c>
      <c r="N82" s="441" t="s">
        <v>679</v>
      </c>
      <c r="O82" s="441" t="s">
        <v>712</v>
      </c>
      <c r="P82" s="441" t="s">
        <v>110</v>
      </c>
    </row>
    <row r="83" spans="1:16">
      <c r="A83" s="387">
        <v>45342</v>
      </c>
      <c r="B83" s="340" t="s">
        <v>271</v>
      </c>
      <c r="C83" s="340" t="s">
        <v>257</v>
      </c>
      <c r="D83" s="340" t="s">
        <v>265</v>
      </c>
      <c r="E83" s="340">
        <v>76</v>
      </c>
      <c r="F83" s="340">
        <v>9</v>
      </c>
      <c r="G83" s="340">
        <v>929.93</v>
      </c>
      <c r="H83" s="347">
        <f t="shared" si="3"/>
        <v>636072.12</v>
      </c>
      <c r="I83" s="340">
        <v>1261</v>
      </c>
      <c r="J83" s="441">
        <f t="shared" si="2"/>
        <v>684</v>
      </c>
      <c r="K83" s="748" t="str">
        <f>UPPER((TEXT(Tabla5[[#This Row],[FECHA]],"MMM")))</f>
        <v>FEB</v>
      </c>
      <c r="L83" s="780">
        <f>YEAR(Tabla5[[#This Row],[FECHA]])</f>
        <v>2024</v>
      </c>
      <c r="M83" s="749">
        <v>160</v>
      </c>
      <c r="N83" s="441" t="s">
        <v>676</v>
      </c>
      <c r="O83" s="441" t="s">
        <v>712</v>
      </c>
      <c r="P83" s="441" t="s">
        <v>110</v>
      </c>
    </row>
    <row r="84" spans="1:16">
      <c r="A84" s="387">
        <v>45342</v>
      </c>
      <c r="B84" s="340" t="s">
        <v>294</v>
      </c>
      <c r="C84" s="340" t="s">
        <v>268</v>
      </c>
      <c r="D84" s="340" t="s">
        <v>260</v>
      </c>
      <c r="E84" s="340">
        <v>58</v>
      </c>
      <c r="F84" s="340">
        <v>5</v>
      </c>
      <c r="G84" s="340">
        <v>929.93</v>
      </c>
      <c r="H84" s="347">
        <f t="shared" si="3"/>
        <v>269679.7</v>
      </c>
      <c r="I84" s="340">
        <v>684</v>
      </c>
      <c r="J84" s="441">
        <f t="shared" si="2"/>
        <v>290</v>
      </c>
      <c r="K84" s="748" t="str">
        <f>UPPER((TEXT(Tabla5[[#This Row],[FECHA]],"MMM")))</f>
        <v>FEB</v>
      </c>
      <c r="L84" s="780">
        <f>YEAR(Tabla5[[#This Row],[FECHA]])</f>
        <v>2024</v>
      </c>
      <c r="M84" s="749">
        <v>160</v>
      </c>
      <c r="N84" s="441" t="s">
        <v>680</v>
      </c>
      <c r="O84" s="441" t="s">
        <v>712</v>
      </c>
      <c r="P84" s="441" t="s">
        <v>110</v>
      </c>
    </row>
    <row r="85" spans="1:16">
      <c r="A85" s="387">
        <v>45343</v>
      </c>
      <c r="B85" s="340" t="s">
        <v>272</v>
      </c>
      <c r="C85" s="340" t="s">
        <v>278</v>
      </c>
      <c r="D85" s="340" t="s">
        <v>260</v>
      </c>
      <c r="E85" s="340">
        <v>58</v>
      </c>
      <c r="F85" s="340">
        <v>4</v>
      </c>
      <c r="G85" s="340">
        <v>929.93</v>
      </c>
      <c r="H85" s="347">
        <f t="shared" si="3"/>
        <v>215743.75999999998</v>
      </c>
      <c r="I85" s="340">
        <v>174</v>
      </c>
      <c r="J85" s="441">
        <f t="shared" si="2"/>
        <v>232</v>
      </c>
      <c r="K85" s="748" t="str">
        <f>UPPER((TEXT(Tabla5[[#This Row],[FECHA]],"MMM")))</f>
        <v>FEB</v>
      </c>
      <c r="L85" s="780">
        <f>YEAR(Tabla5[[#This Row],[FECHA]])</f>
        <v>2024</v>
      </c>
      <c r="M85" s="749">
        <v>160</v>
      </c>
      <c r="N85" s="441" t="s">
        <v>679</v>
      </c>
      <c r="O85" s="441" t="s">
        <v>712</v>
      </c>
      <c r="P85" s="441" t="s">
        <v>110</v>
      </c>
    </row>
    <row r="86" spans="1:16">
      <c r="A86" s="387">
        <v>45343</v>
      </c>
      <c r="B86" s="340" t="s">
        <v>263</v>
      </c>
      <c r="C86" s="340" t="s">
        <v>264</v>
      </c>
      <c r="D86" s="340" t="s">
        <v>265</v>
      </c>
      <c r="E86" s="340">
        <v>76</v>
      </c>
      <c r="F86" s="340">
        <v>9</v>
      </c>
      <c r="G86" s="340">
        <v>929.93</v>
      </c>
      <c r="H86" s="347">
        <f t="shared" si="3"/>
        <v>636072.12</v>
      </c>
      <c r="I86" s="340">
        <v>1271</v>
      </c>
      <c r="J86" s="441">
        <f t="shared" si="2"/>
        <v>684</v>
      </c>
      <c r="K86" s="748" t="str">
        <f>UPPER((TEXT(Tabla5[[#This Row],[FECHA]],"MMM")))</f>
        <v>FEB</v>
      </c>
      <c r="L86" s="780">
        <f>YEAR(Tabla5[[#This Row],[FECHA]])</f>
        <v>2024</v>
      </c>
      <c r="M86" s="749">
        <v>160</v>
      </c>
      <c r="N86" s="441" t="s">
        <v>676</v>
      </c>
      <c r="O86" s="441" t="s">
        <v>712</v>
      </c>
      <c r="P86" s="441" t="s">
        <v>110</v>
      </c>
    </row>
    <row r="87" spans="1:16">
      <c r="A87" s="387">
        <v>45343</v>
      </c>
      <c r="B87" s="340" t="s">
        <v>267</v>
      </c>
      <c r="C87" s="340" t="s">
        <v>268</v>
      </c>
      <c r="D87" s="340" t="s">
        <v>260</v>
      </c>
      <c r="E87" s="340">
        <v>58</v>
      </c>
      <c r="F87" s="340">
        <v>5</v>
      </c>
      <c r="G87" s="340">
        <v>929.93</v>
      </c>
      <c r="H87" s="347">
        <f t="shared" si="3"/>
        <v>269679.7</v>
      </c>
      <c r="I87" s="340">
        <v>785</v>
      </c>
      <c r="J87" s="441">
        <f t="shared" si="2"/>
        <v>290</v>
      </c>
      <c r="K87" s="748" t="str">
        <f>UPPER((TEXT(Tabla5[[#This Row],[FECHA]],"MMM")))</f>
        <v>FEB</v>
      </c>
      <c r="L87" s="780">
        <f>YEAR(Tabla5[[#This Row],[FECHA]])</f>
        <v>2024</v>
      </c>
      <c r="M87" s="749">
        <v>160</v>
      </c>
      <c r="N87" s="441" t="s">
        <v>680</v>
      </c>
      <c r="O87" s="441" t="s">
        <v>712</v>
      </c>
      <c r="P87" s="441" t="s">
        <v>110</v>
      </c>
    </row>
    <row r="88" spans="1:16">
      <c r="A88" s="387">
        <v>45344</v>
      </c>
      <c r="B88" s="340" t="s">
        <v>261</v>
      </c>
      <c r="C88" s="340" t="s">
        <v>266</v>
      </c>
      <c r="D88" s="340" t="s">
        <v>260</v>
      </c>
      <c r="E88" s="340">
        <v>58</v>
      </c>
      <c r="F88" s="340">
        <v>4</v>
      </c>
      <c r="G88" s="340">
        <v>929.93</v>
      </c>
      <c r="H88" s="347">
        <f t="shared" si="3"/>
        <v>215743.75999999998</v>
      </c>
      <c r="I88" s="340">
        <v>176</v>
      </c>
      <c r="J88" s="441">
        <f t="shared" si="2"/>
        <v>232</v>
      </c>
      <c r="K88" s="748" t="str">
        <f>UPPER((TEXT(Tabla5[[#This Row],[FECHA]],"MMM")))</f>
        <v>FEB</v>
      </c>
      <c r="L88" s="780">
        <f>YEAR(Tabla5[[#This Row],[FECHA]])</f>
        <v>2024</v>
      </c>
      <c r="M88" s="749">
        <v>160</v>
      </c>
      <c r="N88" s="441" t="s">
        <v>679</v>
      </c>
      <c r="O88" s="441" t="s">
        <v>712</v>
      </c>
      <c r="P88" s="441" t="s">
        <v>110</v>
      </c>
    </row>
    <row r="89" spans="1:16">
      <c r="A89" s="387">
        <v>45344</v>
      </c>
      <c r="B89" s="340" t="s">
        <v>263</v>
      </c>
      <c r="C89" s="340" t="s">
        <v>264</v>
      </c>
      <c r="D89" s="340" t="s">
        <v>265</v>
      </c>
      <c r="E89" s="340">
        <v>76</v>
      </c>
      <c r="F89" s="340">
        <v>9</v>
      </c>
      <c r="G89" s="340">
        <v>929.93</v>
      </c>
      <c r="H89" s="347">
        <f t="shared" si="3"/>
        <v>636072.12</v>
      </c>
      <c r="I89" s="340">
        <v>1083</v>
      </c>
      <c r="J89" s="441">
        <f t="shared" si="2"/>
        <v>684</v>
      </c>
      <c r="K89" s="748" t="str">
        <f>UPPER((TEXT(Tabla5[[#This Row],[FECHA]],"MMM")))</f>
        <v>FEB</v>
      </c>
      <c r="L89" s="780">
        <f>YEAR(Tabla5[[#This Row],[FECHA]])</f>
        <v>2024</v>
      </c>
      <c r="M89" s="749">
        <v>160</v>
      </c>
      <c r="N89" s="441" t="s">
        <v>676</v>
      </c>
      <c r="O89" s="441" t="s">
        <v>712</v>
      </c>
      <c r="P89" s="441" t="s">
        <v>110</v>
      </c>
    </row>
    <row r="90" spans="1:16">
      <c r="A90" s="387">
        <v>45344</v>
      </c>
      <c r="B90" s="340" t="s">
        <v>267</v>
      </c>
      <c r="C90" s="340" t="s">
        <v>268</v>
      </c>
      <c r="D90" s="340" t="s">
        <v>260</v>
      </c>
      <c r="E90" s="340">
        <v>58</v>
      </c>
      <c r="F90" s="340">
        <v>5</v>
      </c>
      <c r="G90" s="340">
        <v>929.93</v>
      </c>
      <c r="H90" s="347">
        <f t="shared" si="3"/>
        <v>269679.7</v>
      </c>
      <c r="I90" s="340">
        <v>684</v>
      </c>
      <c r="J90" s="441">
        <f t="shared" si="2"/>
        <v>290</v>
      </c>
      <c r="K90" s="748" t="str">
        <f>UPPER((TEXT(Tabla5[[#This Row],[FECHA]],"MMM")))</f>
        <v>FEB</v>
      </c>
      <c r="L90" s="780">
        <f>YEAR(Tabla5[[#This Row],[FECHA]])</f>
        <v>2024</v>
      </c>
      <c r="M90" s="749">
        <v>160</v>
      </c>
      <c r="N90" s="441" t="s">
        <v>680</v>
      </c>
      <c r="O90" s="441" t="s">
        <v>712</v>
      </c>
      <c r="P90" s="441" t="s">
        <v>110</v>
      </c>
    </row>
    <row r="91" spans="1:16">
      <c r="A91" s="387">
        <v>45345</v>
      </c>
      <c r="B91" s="340" t="s">
        <v>261</v>
      </c>
      <c r="C91" s="340" t="s">
        <v>266</v>
      </c>
      <c r="D91" s="340" t="s">
        <v>260</v>
      </c>
      <c r="E91" s="340">
        <v>58</v>
      </c>
      <c r="F91" s="340">
        <v>4</v>
      </c>
      <c r="G91" s="340">
        <v>929.93</v>
      </c>
      <c r="H91" s="347">
        <f t="shared" si="3"/>
        <v>215743.75999999998</v>
      </c>
      <c r="I91" s="340">
        <v>149</v>
      </c>
      <c r="J91" s="441">
        <f t="shared" si="2"/>
        <v>232</v>
      </c>
      <c r="K91" s="748" t="str">
        <f>UPPER((TEXT(Tabla5[[#This Row],[FECHA]],"MMM")))</f>
        <v>FEB</v>
      </c>
      <c r="L91" s="780">
        <f>YEAR(Tabla5[[#This Row],[FECHA]])</f>
        <v>2024</v>
      </c>
      <c r="M91" s="749">
        <v>160</v>
      </c>
      <c r="N91" s="441" t="s">
        <v>679</v>
      </c>
      <c r="O91" s="441" t="s">
        <v>712</v>
      </c>
      <c r="P91" s="441" t="s">
        <v>110</v>
      </c>
    </row>
    <row r="92" spans="1:16">
      <c r="A92" s="387">
        <v>45345</v>
      </c>
      <c r="B92" s="340" t="s">
        <v>263</v>
      </c>
      <c r="C92" s="340" t="s">
        <v>264</v>
      </c>
      <c r="D92" s="340" t="s">
        <v>265</v>
      </c>
      <c r="E92" s="340">
        <v>76</v>
      </c>
      <c r="F92" s="340">
        <v>9</v>
      </c>
      <c r="G92" s="340">
        <v>929.93</v>
      </c>
      <c r="H92" s="347">
        <f t="shared" si="3"/>
        <v>636072.12</v>
      </c>
      <c r="I92" s="340">
        <v>1389</v>
      </c>
      <c r="J92" s="441">
        <f t="shared" si="2"/>
        <v>684</v>
      </c>
      <c r="K92" s="748" t="str">
        <f>UPPER((TEXT(Tabla5[[#This Row],[FECHA]],"MMM")))</f>
        <v>FEB</v>
      </c>
      <c r="L92" s="780">
        <f>YEAR(Tabla5[[#This Row],[FECHA]])</f>
        <v>2024</v>
      </c>
      <c r="M92" s="749">
        <v>160</v>
      </c>
      <c r="N92" s="441" t="s">
        <v>676</v>
      </c>
      <c r="O92" s="441" t="s">
        <v>712</v>
      </c>
      <c r="P92" s="441" t="s">
        <v>110</v>
      </c>
    </row>
    <row r="93" spans="1:16">
      <c r="A93" s="387">
        <v>45345</v>
      </c>
      <c r="B93" s="340" t="s">
        <v>267</v>
      </c>
      <c r="C93" s="340" t="s">
        <v>268</v>
      </c>
      <c r="D93" s="340" t="s">
        <v>260</v>
      </c>
      <c r="E93" s="340">
        <v>58</v>
      </c>
      <c r="F93" s="340">
        <v>6</v>
      </c>
      <c r="G93" s="340">
        <v>929.93</v>
      </c>
      <c r="H93" s="347">
        <f t="shared" si="3"/>
        <v>323615.63999999996</v>
      </c>
      <c r="I93" s="340">
        <v>880</v>
      </c>
      <c r="J93" s="441">
        <f t="shared" si="2"/>
        <v>348</v>
      </c>
      <c r="K93" s="748" t="str">
        <f>UPPER((TEXT(Tabla5[[#This Row],[FECHA]],"MMM")))</f>
        <v>FEB</v>
      </c>
      <c r="L93" s="780">
        <f>YEAR(Tabla5[[#This Row],[FECHA]])</f>
        <v>2024</v>
      </c>
      <c r="M93" s="749">
        <v>160</v>
      </c>
      <c r="N93" s="441" t="s">
        <v>680</v>
      </c>
      <c r="O93" s="441" t="s">
        <v>712</v>
      </c>
      <c r="P93" s="441" t="s">
        <v>110</v>
      </c>
    </row>
    <row r="94" spans="1:16">
      <c r="A94" s="387">
        <v>45346</v>
      </c>
      <c r="B94" s="340" t="s">
        <v>272</v>
      </c>
      <c r="C94" s="340" t="s">
        <v>282</v>
      </c>
      <c r="D94" s="340" t="s">
        <v>265</v>
      </c>
      <c r="E94" s="340">
        <v>76</v>
      </c>
      <c r="F94" s="340">
        <v>3</v>
      </c>
      <c r="G94" s="340">
        <v>929.93</v>
      </c>
      <c r="H94" s="347">
        <f t="shared" si="3"/>
        <v>212024.03999999998</v>
      </c>
      <c r="I94" s="340">
        <v>394</v>
      </c>
      <c r="J94" s="441">
        <f t="shared" si="2"/>
        <v>228</v>
      </c>
      <c r="K94" s="748" t="str">
        <f>UPPER((TEXT(Tabla5[[#This Row],[FECHA]],"MMM")))</f>
        <v>FEB</v>
      </c>
      <c r="L94" s="780">
        <f>YEAR(Tabla5[[#This Row],[FECHA]])</f>
        <v>2024</v>
      </c>
      <c r="M94" s="749">
        <v>160</v>
      </c>
      <c r="N94" s="441" t="s">
        <v>676</v>
      </c>
      <c r="O94" s="441" t="s">
        <v>712</v>
      </c>
      <c r="P94" s="441" t="s">
        <v>110</v>
      </c>
    </row>
    <row r="95" spans="1:16">
      <c r="A95" s="387">
        <v>45346</v>
      </c>
      <c r="B95" s="340" t="s">
        <v>271</v>
      </c>
      <c r="C95" s="340" t="s">
        <v>292</v>
      </c>
      <c r="D95" s="340" t="s">
        <v>255</v>
      </c>
      <c r="E95" s="340">
        <v>96</v>
      </c>
      <c r="F95" s="340">
        <v>12</v>
      </c>
      <c r="G95" s="340">
        <v>929.93</v>
      </c>
      <c r="H95" s="347">
        <f t="shared" si="3"/>
        <v>1071279.3599999999</v>
      </c>
      <c r="I95" s="340">
        <v>766</v>
      </c>
      <c r="J95" s="441">
        <f t="shared" si="2"/>
        <v>1152</v>
      </c>
      <c r="K95" s="748" t="str">
        <f>UPPER((TEXT(Tabla5[[#This Row],[FECHA]],"MMM")))</f>
        <v>FEB</v>
      </c>
      <c r="L95" s="780">
        <f>YEAR(Tabla5[[#This Row],[FECHA]])</f>
        <v>2024</v>
      </c>
      <c r="M95" s="749">
        <v>160</v>
      </c>
      <c r="N95" s="441" t="s">
        <v>678</v>
      </c>
      <c r="O95" s="441" t="s">
        <v>713</v>
      </c>
      <c r="P95" s="441" t="s">
        <v>110</v>
      </c>
    </row>
    <row r="96" spans="1:16">
      <c r="A96" s="387">
        <v>45347</v>
      </c>
      <c r="B96" s="340" t="s">
        <v>277</v>
      </c>
      <c r="C96" s="340" t="s">
        <v>264</v>
      </c>
      <c r="D96" s="340" t="s">
        <v>255</v>
      </c>
      <c r="E96" s="340">
        <v>96</v>
      </c>
      <c r="F96" s="340">
        <v>14</v>
      </c>
      <c r="G96" s="340">
        <v>929.93</v>
      </c>
      <c r="H96" s="347">
        <f t="shared" si="3"/>
        <v>1249825.92</v>
      </c>
      <c r="I96" s="340">
        <v>1076</v>
      </c>
      <c r="J96" s="441">
        <f t="shared" si="2"/>
        <v>1344</v>
      </c>
      <c r="K96" s="748" t="str">
        <f>UPPER((TEXT(Tabla5[[#This Row],[FECHA]],"MMM")))</f>
        <v>FEB</v>
      </c>
      <c r="L96" s="780">
        <f>YEAR(Tabla5[[#This Row],[FECHA]])</f>
        <v>2024</v>
      </c>
      <c r="M96" s="749">
        <v>160</v>
      </c>
      <c r="N96" s="441" t="s">
        <v>678</v>
      </c>
      <c r="O96" s="441" t="s">
        <v>713</v>
      </c>
      <c r="P96" s="441" t="s">
        <v>110</v>
      </c>
    </row>
    <row r="97" spans="1:16">
      <c r="A97" s="387">
        <v>45348</v>
      </c>
      <c r="B97" s="340" t="s">
        <v>269</v>
      </c>
      <c r="C97" s="340" t="s">
        <v>270</v>
      </c>
      <c r="D97" s="340" t="s">
        <v>260</v>
      </c>
      <c r="E97" s="340">
        <v>58</v>
      </c>
      <c r="F97" s="340">
        <v>4</v>
      </c>
      <c r="G97" s="340">
        <v>929.93</v>
      </c>
      <c r="H97" s="347">
        <f t="shared" si="3"/>
        <v>215743.75999999998</v>
      </c>
      <c r="I97" s="340">
        <v>186</v>
      </c>
      <c r="J97" s="441">
        <f t="shared" si="2"/>
        <v>232</v>
      </c>
      <c r="K97" s="748" t="str">
        <f>UPPER((TEXT(Tabla5[[#This Row],[FECHA]],"MMM")))</f>
        <v>FEB</v>
      </c>
      <c r="L97" s="780">
        <f>YEAR(Tabla5[[#This Row],[FECHA]])</f>
        <v>2024</v>
      </c>
      <c r="M97" s="749">
        <v>160</v>
      </c>
      <c r="N97" s="441" t="s">
        <v>679</v>
      </c>
      <c r="O97" s="441" t="s">
        <v>712</v>
      </c>
      <c r="P97" s="441" t="s">
        <v>110</v>
      </c>
    </row>
    <row r="98" spans="1:16">
      <c r="A98" s="387">
        <v>45348</v>
      </c>
      <c r="B98" s="340" t="s">
        <v>295</v>
      </c>
      <c r="C98" s="340" t="s">
        <v>258</v>
      </c>
      <c r="D98" s="340" t="s">
        <v>265</v>
      </c>
      <c r="E98" s="340">
        <v>76</v>
      </c>
      <c r="F98" s="340">
        <v>9</v>
      </c>
      <c r="G98" s="340">
        <v>929.93</v>
      </c>
      <c r="H98" s="347">
        <f t="shared" si="3"/>
        <v>636072.12</v>
      </c>
      <c r="I98" s="340">
        <v>971</v>
      </c>
      <c r="J98" s="441">
        <f t="shared" si="2"/>
        <v>684</v>
      </c>
      <c r="K98" s="748" t="str">
        <f>UPPER((TEXT(Tabla5[[#This Row],[FECHA]],"MMM")))</f>
        <v>FEB</v>
      </c>
      <c r="L98" s="780">
        <f>YEAR(Tabla5[[#This Row],[FECHA]])</f>
        <v>2024</v>
      </c>
      <c r="M98" s="749">
        <v>160</v>
      </c>
      <c r="N98" s="441" t="s">
        <v>676</v>
      </c>
      <c r="O98" s="441" t="s">
        <v>712</v>
      </c>
      <c r="P98" s="441" t="s">
        <v>110</v>
      </c>
    </row>
    <row r="99" spans="1:16">
      <c r="A99" s="387">
        <v>45348</v>
      </c>
      <c r="B99" s="340" t="s">
        <v>293</v>
      </c>
      <c r="C99" s="340" t="s">
        <v>273</v>
      </c>
      <c r="D99" s="340" t="s">
        <v>260</v>
      </c>
      <c r="E99" s="340">
        <v>58</v>
      </c>
      <c r="F99" s="340">
        <v>4</v>
      </c>
      <c r="G99" s="340">
        <v>929.93</v>
      </c>
      <c r="H99" s="347">
        <f t="shared" si="3"/>
        <v>215743.75999999998</v>
      </c>
      <c r="I99" s="340">
        <v>580</v>
      </c>
      <c r="J99" s="441">
        <f t="shared" si="2"/>
        <v>232</v>
      </c>
      <c r="K99" s="748" t="str">
        <f>UPPER((TEXT(Tabla5[[#This Row],[FECHA]],"MMM")))</f>
        <v>FEB</v>
      </c>
      <c r="L99" s="780">
        <f>YEAR(Tabla5[[#This Row],[FECHA]])</f>
        <v>2024</v>
      </c>
      <c r="M99" s="749">
        <v>160</v>
      </c>
      <c r="N99" s="441" t="s">
        <v>680</v>
      </c>
      <c r="O99" s="441" t="s">
        <v>712</v>
      </c>
      <c r="P99" s="441" t="s">
        <v>110</v>
      </c>
    </row>
    <row r="100" spans="1:16">
      <c r="A100" s="387">
        <v>45349</v>
      </c>
      <c r="B100" s="340" t="s">
        <v>269</v>
      </c>
      <c r="C100" s="340" t="s">
        <v>270</v>
      </c>
      <c r="D100" s="340" t="s">
        <v>260</v>
      </c>
      <c r="E100" s="340">
        <v>58</v>
      </c>
      <c r="F100" s="340">
        <v>4</v>
      </c>
      <c r="G100" s="340">
        <v>929.93</v>
      </c>
      <c r="H100" s="347">
        <f t="shared" si="3"/>
        <v>215743.75999999998</v>
      </c>
      <c r="I100" s="340">
        <v>204</v>
      </c>
      <c r="J100" s="441">
        <f t="shared" si="2"/>
        <v>232</v>
      </c>
      <c r="K100" s="748" t="str">
        <f>UPPER((TEXT(Tabla5[[#This Row],[FECHA]],"MMM")))</f>
        <v>FEB</v>
      </c>
      <c r="L100" s="780">
        <f>YEAR(Tabla5[[#This Row],[FECHA]])</f>
        <v>2024</v>
      </c>
      <c r="M100" s="749">
        <v>160</v>
      </c>
      <c r="N100" s="441" t="s">
        <v>679</v>
      </c>
      <c r="O100" s="441" t="s">
        <v>712</v>
      </c>
      <c r="P100" s="441" t="s">
        <v>110</v>
      </c>
    </row>
    <row r="101" spans="1:16">
      <c r="A101" s="387">
        <v>45349</v>
      </c>
      <c r="B101" s="340" t="s">
        <v>271</v>
      </c>
      <c r="C101" s="340" t="s">
        <v>257</v>
      </c>
      <c r="D101" s="340" t="s">
        <v>265</v>
      </c>
      <c r="E101" s="340">
        <v>76</v>
      </c>
      <c r="F101" s="340">
        <v>9</v>
      </c>
      <c r="G101" s="340">
        <v>929.93</v>
      </c>
      <c r="H101" s="347">
        <f t="shared" si="3"/>
        <v>636072.12</v>
      </c>
      <c r="I101" s="340">
        <v>1293</v>
      </c>
      <c r="J101" s="441">
        <f t="shared" si="2"/>
        <v>684</v>
      </c>
      <c r="K101" s="748" t="str">
        <f>UPPER((TEXT(Tabla5[[#This Row],[FECHA]],"MMM")))</f>
        <v>FEB</v>
      </c>
      <c r="L101" s="780">
        <f>YEAR(Tabla5[[#This Row],[FECHA]])</f>
        <v>2024</v>
      </c>
      <c r="M101" s="749">
        <v>160</v>
      </c>
      <c r="N101" s="441" t="s">
        <v>676</v>
      </c>
      <c r="O101" s="441" t="s">
        <v>712</v>
      </c>
      <c r="P101" s="441" t="s">
        <v>110</v>
      </c>
    </row>
    <row r="102" spans="1:16" ht="11.4" customHeight="1">
      <c r="A102" s="387">
        <v>45349</v>
      </c>
      <c r="B102" s="340" t="s">
        <v>284</v>
      </c>
      <c r="C102" s="340" t="s">
        <v>285</v>
      </c>
      <c r="D102" s="340" t="s">
        <v>260</v>
      </c>
      <c r="E102" s="340">
        <v>58</v>
      </c>
      <c r="F102" s="340">
        <v>5</v>
      </c>
      <c r="G102" s="340">
        <v>929.93</v>
      </c>
      <c r="H102" s="347">
        <f t="shared" si="3"/>
        <v>269679.7</v>
      </c>
      <c r="I102" s="340">
        <v>640</v>
      </c>
      <c r="J102" s="441">
        <f t="shared" si="2"/>
        <v>290</v>
      </c>
      <c r="K102" s="748" t="str">
        <f>UPPER((TEXT(Tabla5[[#This Row],[FECHA]],"MMM")))</f>
        <v>FEB</v>
      </c>
      <c r="L102" s="780">
        <f>YEAR(Tabla5[[#This Row],[FECHA]])</f>
        <v>2024</v>
      </c>
      <c r="M102" s="749">
        <v>160</v>
      </c>
      <c r="N102" s="441" t="s">
        <v>680</v>
      </c>
      <c r="O102" s="441" t="s">
        <v>712</v>
      </c>
      <c r="P102" s="441" t="s">
        <v>110</v>
      </c>
    </row>
    <row r="103" spans="1:16">
      <c r="A103" s="387">
        <v>45350</v>
      </c>
      <c r="B103" s="340" t="s">
        <v>272</v>
      </c>
      <c r="C103" s="340" t="s">
        <v>278</v>
      </c>
      <c r="D103" s="340" t="s">
        <v>260</v>
      </c>
      <c r="E103" s="340">
        <v>58</v>
      </c>
      <c r="F103" s="340">
        <v>4</v>
      </c>
      <c r="G103" s="340">
        <v>929.93</v>
      </c>
      <c r="H103" s="347">
        <f t="shared" si="3"/>
        <v>215743.75999999998</v>
      </c>
      <c r="I103" s="340">
        <v>150</v>
      </c>
      <c r="J103" s="441">
        <f t="shared" si="2"/>
        <v>232</v>
      </c>
      <c r="K103" s="748" t="str">
        <f>UPPER((TEXT(Tabla5[[#This Row],[FECHA]],"MMM")))</f>
        <v>FEB</v>
      </c>
      <c r="L103" s="780">
        <f>YEAR(Tabla5[[#This Row],[FECHA]])</f>
        <v>2024</v>
      </c>
      <c r="M103" s="749">
        <v>160</v>
      </c>
      <c r="N103" s="441" t="s">
        <v>679</v>
      </c>
      <c r="O103" s="441" t="s">
        <v>712</v>
      </c>
      <c r="P103" s="441" t="s">
        <v>110</v>
      </c>
    </row>
    <row r="104" spans="1:16">
      <c r="A104" s="387">
        <v>45350</v>
      </c>
      <c r="B104" s="340" t="s">
        <v>271</v>
      </c>
      <c r="C104" s="340" t="s">
        <v>257</v>
      </c>
      <c r="D104" s="340" t="s">
        <v>265</v>
      </c>
      <c r="E104" s="340">
        <v>76</v>
      </c>
      <c r="F104" s="340">
        <v>9</v>
      </c>
      <c r="G104" s="340">
        <v>929.93</v>
      </c>
      <c r="H104" s="347">
        <f t="shared" si="3"/>
        <v>636072.12</v>
      </c>
      <c r="I104" s="340">
        <v>1218</v>
      </c>
      <c r="J104" s="441">
        <f t="shared" si="2"/>
        <v>684</v>
      </c>
      <c r="K104" s="748" t="str">
        <f>UPPER((TEXT(Tabla5[[#This Row],[FECHA]],"MMM")))</f>
        <v>FEB</v>
      </c>
      <c r="L104" s="780">
        <f>YEAR(Tabla5[[#This Row],[FECHA]])</f>
        <v>2024</v>
      </c>
      <c r="M104" s="749">
        <v>160</v>
      </c>
      <c r="N104" s="441" t="s">
        <v>676</v>
      </c>
      <c r="O104" s="441" t="s">
        <v>712</v>
      </c>
      <c r="P104" s="441" t="s">
        <v>110</v>
      </c>
    </row>
    <row r="105" spans="1:16">
      <c r="A105" s="387">
        <v>45350</v>
      </c>
      <c r="B105" s="340" t="s">
        <v>284</v>
      </c>
      <c r="C105" s="340" t="s">
        <v>285</v>
      </c>
      <c r="D105" s="340" t="s">
        <v>260</v>
      </c>
      <c r="E105" s="340">
        <v>58</v>
      </c>
      <c r="F105" s="340">
        <v>5</v>
      </c>
      <c r="G105" s="340">
        <v>929.93</v>
      </c>
      <c r="H105" s="347">
        <f t="shared" si="3"/>
        <v>269679.7</v>
      </c>
      <c r="I105" s="340">
        <v>775</v>
      </c>
      <c r="J105" s="441">
        <f t="shared" si="2"/>
        <v>290</v>
      </c>
      <c r="K105" s="748" t="str">
        <f>UPPER((TEXT(Tabla5[[#This Row],[FECHA]],"MMM")))</f>
        <v>FEB</v>
      </c>
      <c r="L105" s="780">
        <f>YEAR(Tabla5[[#This Row],[FECHA]])</f>
        <v>2024</v>
      </c>
      <c r="M105" s="749">
        <v>160</v>
      </c>
      <c r="N105" s="441" t="s">
        <v>680</v>
      </c>
      <c r="O105" s="441" t="s">
        <v>712</v>
      </c>
      <c r="P105" s="441" t="s">
        <v>110</v>
      </c>
    </row>
    <row r="106" spans="1:16">
      <c r="A106" s="387">
        <v>45351</v>
      </c>
      <c r="B106" s="340" t="s">
        <v>272</v>
      </c>
      <c r="C106" s="340" t="s">
        <v>278</v>
      </c>
      <c r="D106" s="340" t="s">
        <v>260</v>
      </c>
      <c r="E106" s="340">
        <v>58</v>
      </c>
      <c r="F106" s="340">
        <v>4</v>
      </c>
      <c r="G106" s="340">
        <v>929.93</v>
      </c>
      <c r="H106" s="347">
        <f t="shared" si="3"/>
        <v>215743.75999999998</v>
      </c>
      <c r="I106" s="340">
        <v>194</v>
      </c>
      <c r="J106" s="441">
        <f t="shared" si="2"/>
        <v>232</v>
      </c>
      <c r="K106" s="748" t="str">
        <f>UPPER((TEXT(Tabla5[[#This Row],[FECHA]],"MMM")))</f>
        <v>FEB</v>
      </c>
      <c r="L106" s="780">
        <f>YEAR(Tabla5[[#This Row],[FECHA]])</f>
        <v>2024</v>
      </c>
      <c r="M106" s="749">
        <v>160</v>
      </c>
      <c r="N106" s="441" t="s">
        <v>679</v>
      </c>
      <c r="O106" s="441" t="s">
        <v>712</v>
      </c>
      <c r="P106" s="441" t="s">
        <v>110</v>
      </c>
    </row>
    <row r="107" spans="1:16">
      <c r="A107" s="387">
        <v>45351</v>
      </c>
      <c r="B107" s="340" t="s">
        <v>271</v>
      </c>
      <c r="C107" s="340" t="s">
        <v>257</v>
      </c>
      <c r="D107" s="340" t="s">
        <v>265</v>
      </c>
      <c r="E107" s="340">
        <v>76</v>
      </c>
      <c r="F107" s="340">
        <v>9</v>
      </c>
      <c r="G107" s="340">
        <v>929.93</v>
      </c>
      <c r="H107" s="347">
        <f t="shared" si="3"/>
        <v>636072.12</v>
      </c>
      <c r="I107" s="340">
        <v>951</v>
      </c>
      <c r="J107" s="441">
        <f t="shared" si="2"/>
        <v>684</v>
      </c>
      <c r="K107" s="748" t="str">
        <f>UPPER((TEXT(Tabla5[[#This Row],[FECHA]],"MMM")))</f>
        <v>FEB</v>
      </c>
      <c r="L107" s="780">
        <f>YEAR(Tabla5[[#This Row],[FECHA]])</f>
        <v>2024</v>
      </c>
      <c r="M107" s="749">
        <v>160</v>
      </c>
      <c r="N107" s="441" t="s">
        <v>676</v>
      </c>
      <c r="O107" s="441" t="s">
        <v>712</v>
      </c>
      <c r="P107" s="441" t="s">
        <v>110</v>
      </c>
    </row>
    <row r="108" spans="1:16">
      <c r="A108" s="391">
        <v>45351</v>
      </c>
      <c r="B108" s="392" t="s">
        <v>284</v>
      </c>
      <c r="C108" s="392" t="s">
        <v>285</v>
      </c>
      <c r="D108" s="392" t="s">
        <v>260</v>
      </c>
      <c r="E108" s="392">
        <v>58</v>
      </c>
      <c r="F108" s="392">
        <v>5</v>
      </c>
      <c r="G108" s="392">
        <v>929.93</v>
      </c>
      <c r="H108" s="393">
        <f t="shared" si="3"/>
        <v>269679.7</v>
      </c>
      <c r="I108" s="392">
        <v>641</v>
      </c>
      <c r="J108" s="442">
        <f t="shared" si="2"/>
        <v>290</v>
      </c>
      <c r="K108" s="748" t="str">
        <f>UPPER((TEXT(Tabla5[[#This Row],[FECHA]],"MMM")))</f>
        <v>FEB</v>
      </c>
      <c r="L108" s="780">
        <f>YEAR(Tabla5[[#This Row],[FECHA]])</f>
        <v>2024</v>
      </c>
      <c r="M108" s="750">
        <v>160</v>
      </c>
      <c r="N108" s="441" t="s">
        <v>680</v>
      </c>
      <c r="O108" s="441" t="s">
        <v>712</v>
      </c>
      <c r="P108" s="441" t="s">
        <v>110</v>
      </c>
    </row>
    <row r="109" spans="1:16">
      <c r="A109" s="387">
        <v>45352</v>
      </c>
      <c r="B109" s="340" t="s">
        <v>272</v>
      </c>
      <c r="C109" s="340" t="s">
        <v>278</v>
      </c>
      <c r="D109" s="340" t="s">
        <v>260</v>
      </c>
      <c r="E109" s="340">
        <v>58</v>
      </c>
      <c r="F109" s="340">
        <v>4</v>
      </c>
      <c r="G109" s="340">
        <v>929.93</v>
      </c>
      <c r="H109" s="347">
        <f t="shared" si="3"/>
        <v>215743.75999999998</v>
      </c>
      <c r="I109" s="340">
        <v>141</v>
      </c>
      <c r="J109" s="441">
        <f t="shared" si="2"/>
        <v>232</v>
      </c>
      <c r="K109" s="685" t="str">
        <f>UPPER((TEXT(Tabla5[[#This Row],[FECHA]],"MMM")))</f>
        <v>MAR</v>
      </c>
      <c r="L109" s="780">
        <f>YEAR(Tabla5[[#This Row],[FECHA]])</f>
        <v>2024</v>
      </c>
      <c r="M109" s="749">
        <v>177</v>
      </c>
      <c r="N109" s="441" t="s">
        <v>679</v>
      </c>
      <c r="O109" s="441" t="s">
        <v>712</v>
      </c>
      <c r="P109" s="441" t="s">
        <v>110</v>
      </c>
    </row>
    <row r="110" spans="1:16">
      <c r="A110" s="387">
        <v>45352</v>
      </c>
      <c r="B110" s="340" t="s">
        <v>281</v>
      </c>
      <c r="C110" s="340" t="s">
        <v>257</v>
      </c>
      <c r="D110" s="340" t="s">
        <v>265</v>
      </c>
      <c r="E110" s="340">
        <v>76</v>
      </c>
      <c r="F110" s="340">
        <v>9</v>
      </c>
      <c r="G110" s="340">
        <v>929.93</v>
      </c>
      <c r="H110" s="347">
        <f t="shared" si="3"/>
        <v>636072.12</v>
      </c>
      <c r="I110" s="340">
        <v>1309</v>
      </c>
      <c r="J110" s="441">
        <f t="shared" si="2"/>
        <v>684</v>
      </c>
      <c r="K110" s="685" t="str">
        <f>UPPER((TEXT(Tabla5[[#This Row],[FECHA]],"MMM")))</f>
        <v>MAR</v>
      </c>
      <c r="L110" s="780">
        <f>YEAR(Tabla5[[#This Row],[FECHA]])</f>
        <v>2024</v>
      </c>
      <c r="M110" s="749">
        <v>177</v>
      </c>
      <c r="N110" s="441" t="s">
        <v>676</v>
      </c>
      <c r="O110" s="441" t="s">
        <v>712</v>
      </c>
      <c r="P110" s="441" t="s">
        <v>110</v>
      </c>
    </row>
    <row r="111" spans="1:16">
      <c r="A111" s="387">
        <v>45352</v>
      </c>
      <c r="B111" s="340" t="s">
        <v>284</v>
      </c>
      <c r="C111" s="340" t="s">
        <v>285</v>
      </c>
      <c r="D111" s="340" t="s">
        <v>260</v>
      </c>
      <c r="E111" s="340">
        <v>58</v>
      </c>
      <c r="F111" s="340">
        <v>6</v>
      </c>
      <c r="G111" s="340">
        <v>929.93</v>
      </c>
      <c r="H111" s="347">
        <f t="shared" si="3"/>
        <v>323615.63999999996</v>
      </c>
      <c r="I111" s="340">
        <v>813</v>
      </c>
      <c r="J111" s="441">
        <f t="shared" si="2"/>
        <v>348</v>
      </c>
      <c r="K111" s="685" t="str">
        <f>UPPER((TEXT(Tabla5[[#This Row],[FECHA]],"MMM")))</f>
        <v>MAR</v>
      </c>
      <c r="L111" s="780">
        <f>YEAR(Tabla5[[#This Row],[FECHA]])</f>
        <v>2024</v>
      </c>
      <c r="M111" s="749">
        <v>177</v>
      </c>
      <c r="N111" s="441" t="s">
        <v>680</v>
      </c>
      <c r="O111" s="441" t="s">
        <v>712</v>
      </c>
      <c r="P111" s="441" t="s">
        <v>110</v>
      </c>
    </row>
    <row r="112" spans="1:16">
      <c r="A112" s="387">
        <v>45353</v>
      </c>
      <c r="B112" s="340" t="s">
        <v>269</v>
      </c>
      <c r="C112" s="340" t="s">
        <v>357</v>
      </c>
      <c r="D112" s="340" t="s">
        <v>265</v>
      </c>
      <c r="E112" s="340">
        <v>76</v>
      </c>
      <c r="F112" s="340">
        <v>3</v>
      </c>
      <c r="G112" s="340">
        <v>929.93</v>
      </c>
      <c r="H112" s="347">
        <f t="shared" si="3"/>
        <v>212024.03999999998</v>
      </c>
      <c r="I112" s="340">
        <v>393</v>
      </c>
      <c r="J112" s="441">
        <f t="shared" si="2"/>
        <v>228</v>
      </c>
      <c r="K112" s="685" t="str">
        <f>UPPER((TEXT(Tabla5[[#This Row],[FECHA]],"MMM")))</f>
        <v>MAR</v>
      </c>
      <c r="L112" s="780">
        <f>YEAR(Tabla5[[#This Row],[FECHA]])</f>
        <v>2024</v>
      </c>
      <c r="M112" s="749">
        <v>177</v>
      </c>
      <c r="N112" s="441" t="s">
        <v>676</v>
      </c>
      <c r="O112" s="441" t="s">
        <v>712</v>
      </c>
      <c r="P112" s="441" t="s">
        <v>110</v>
      </c>
    </row>
    <row r="113" spans="1:16">
      <c r="A113" s="387">
        <v>45353</v>
      </c>
      <c r="B113" s="340" t="s">
        <v>271</v>
      </c>
      <c r="C113" s="340" t="s">
        <v>292</v>
      </c>
      <c r="D113" s="340" t="s">
        <v>255</v>
      </c>
      <c r="E113" s="340">
        <v>96</v>
      </c>
      <c r="F113" s="340">
        <v>11</v>
      </c>
      <c r="G113" s="340">
        <v>929.93</v>
      </c>
      <c r="H113" s="347">
        <f t="shared" si="3"/>
        <v>982006.08</v>
      </c>
      <c r="I113" s="340">
        <v>648</v>
      </c>
      <c r="J113" s="441">
        <f t="shared" si="2"/>
        <v>1056</v>
      </c>
      <c r="K113" s="685" t="str">
        <f>UPPER((TEXT(Tabla5[[#This Row],[FECHA]],"MMM")))</f>
        <v>MAR</v>
      </c>
      <c r="L113" s="780">
        <f>YEAR(Tabla5[[#This Row],[FECHA]])</f>
        <v>2024</v>
      </c>
      <c r="M113" s="749">
        <v>177</v>
      </c>
      <c r="N113" s="441" t="s">
        <v>678</v>
      </c>
      <c r="O113" s="441" t="s">
        <v>713</v>
      </c>
      <c r="P113" s="441" t="s">
        <v>110</v>
      </c>
    </row>
    <row r="114" spans="1:16">
      <c r="A114" s="387">
        <v>45354</v>
      </c>
      <c r="B114" s="340" t="s">
        <v>256</v>
      </c>
      <c r="C114" s="340" t="s">
        <v>257</v>
      </c>
      <c r="D114" s="340" t="s">
        <v>255</v>
      </c>
      <c r="E114" s="340">
        <v>96</v>
      </c>
      <c r="F114" s="340">
        <v>15</v>
      </c>
      <c r="G114" s="340">
        <v>929.93</v>
      </c>
      <c r="H114" s="347">
        <f t="shared" si="3"/>
        <v>1339099.2</v>
      </c>
      <c r="I114" s="340">
        <v>1120</v>
      </c>
      <c r="J114" s="441">
        <f t="shared" si="2"/>
        <v>1440</v>
      </c>
      <c r="K114" s="685" t="str">
        <f>UPPER((TEXT(Tabla5[[#This Row],[FECHA]],"MMM")))</f>
        <v>MAR</v>
      </c>
      <c r="L114" s="780">
        <f>YEAR(Tabla5[[#This Row],[FECHA]])</f>
        <v>2024</v>
      </c>
      <c r="M114" s="749">
        <v>177</v>
      </c>
      <c r="N114" s="441" t="s">
        <v>678</v>
      </c>
      <c r="O114" s="441" t="s">
        <v>713</v>
      </c>
      <c r="P114" s="441" t="s">
        <v>110</v>
      </c>
    </row>
    <row r="115" spans="1:16">
      <c r="A115" s="387">
        <v>45355</v>
      </c>
      <c r="B115" s="340" t="s">
        <v>272</v>
      </c>
      <c r="C115" s="340" t="s">
        <v>278</v>
      </c>
      <c r="D115" s="340" t="s">
        <v>260</v>
      </c>
      <c r="E115" s="340">
        <v>58</v>
      </c>
      <c r="F115" s="340">
        <v>4</v>
      </c>
      <c r="G115" s="340">
        <v>929.93</v>
      </c>
      <c r="H115" s="347">
        <f t="shared" si="3"/>
        <v>215743.75999999998</v>
      </c>
      <c r="I115" s="340">
        <v>153</v>
      </c>
      <c r="J115" s="441">
        <f t="shared" si="2"/>
        <v>232</v>
      </c>
      <c r="K115" s="685" t="str">
        <f>UPPER((TEXT(Tabla5[[#This Row],[FECHA]],"MMM")))</f>
        <v>MAR</v>
      </c>
      <c r="L115" s="780">
        <f>YEAR(Tabla5[[#This Row],[FECHA]])</f>
        <v>2024</v>
      </c>
      <c r="M115" s="749">
        <v>177</v>
      </c>
      <c r="N115" s="441" t="s">
        <v>679</v>
      </c>
      <c r="O115" s="441" t="s">
        <v>712</v>
      </c>
      <c r="P115" s="441" t="s">
        <v>110</v>
      </c>
    </row>
    <row r="116" spans="1:16">
      <c r="A116" s="387">
        <v>45355</v>
      </c>
      <c r="B116" s="340" t="s">
        <v>358</v>
      </c>
      <c r="C116" s="340" t="s">
        <v>264</v>
      </c>
      <c r="D116" s="340" t="s">
        <v>265</v>
      </c>
      <c r="E116" s="340">
        <v>76</v>
      </c>
      <c r="F116" s="340">
        <v>9</v>
      </c>
      <c r="G116" s="340">
        <v>929.93</v>
      </c>
      <c r="H116" s="347">
        <f t="shared" si="3"/>
        <v>636072.12</v>
      </c>
      <c r="I116" s="340">
        <v>989</v>
      </c>
      <c r="J116" s="441">
        <f t="shared" si="2"/>
        <v>684</v>
      </c>
      <c r="K116" s="685" t="str">
        <f>UPPER((TEXT(Tabla5[[#This Row],[FECHA]],"MMM")))</f>
        <v>MAR</v>
      </c>
      <c r="L116" s="780">
        <f>YEAR(Tabla5[[#This Row],[FECHA]])</f>
        <v>2024</v>
      </c>
      <c r="M116" s="749">
        <v>177</v>
      </c>
      <c r="N116" s="441" t="s">
        <v>676</v>
      </c>
      <c r="O116" s="441" t="s">
        <v>712</v>
      </c>
      <c r="P116" s="441" t="s">
        <v>110</v>
      </c>
    </row>
    <row r="117" spans="1:16">
      <c r="A117" s="387">
        <v>45355</v>
      </c>
      <c r="B117" s="340" t="s">
        <v>359</v>
      </c>
      <c r="C117" s="340" t="s">
        <v>360</v>
      </c>
      <c r="D117" s="340" t="s">
        <v>260</v>
      </c>
      <c r="E117" s="340">
        <v>58</v>
      </c>
      <c r="F117" s="340">
        <v>4</v>
      </c>
      <c r="G117" s="340">
        <v>929.93</v>
      </c>
      <c r="H117" s="347">
        <f t="shared" si="3"/>
        <v>215743.75999999998</v>
      </c>
      <c r="I117" s="340">
        <v>580</v>
      </c>
      <c r="J117" s="441">
        <f t="shared" si="2"/>
        <v>232</v>
      </c>
      <c r="K117" s="685" t="str">
        <f>UPPER((TEXT(Tabla5[[#This Row],[FECHA]],"MMM")))</f>
        <v>MAR</v>
      </c>
      <c r="L117" s="780">
        <f>YEAR(Tabla5[[#This Row],[FECHA]])</f>
        <v>2024</v>
      </c>
      <c r="M117" s="749">
        <v>177</v>
      </c>
      <c r="N117" s="441" t="s">
        <v>680</v>
      </c>
      <c r="O117" s="441" t="s">
        <v>712</v>
      </c>
      <c r="P117" s="441" t="s">
        <v>110</v>
      </c>
    </row>
    <row r="118" spans="1:16">
      <c r="A118" s="387">
        <v>45356</v>
      </c>
      <c r="B118" s="340" t="s">
        <v>269</v>
      </c>
      <c r="C118" s="340" t="s">
        <v>270</v>
      </c>
      <c r="D118" s="340" t="s">
        <v>260</v>
      </c>
      <c r="E118" s="340">
        <v>58</v>
      </c>
      <c r="F118" s="340">
        <v>4</v>
      </c>
      <c r="G118" s="340">
        <v>929.93</v>
      </c>
      <c r="H118" s="347">
        <f t="shared" si="3"/>
        <v>215743.75999999998</v>
      </c>
      <c r="I118" s="340">
        <v>187</v>
      </c>
      <c r="J118" s="441">
        <f t="shared" si="2"/>
        <v>232</v>
      </c>
      <c r="K118" s="685" t="str">
        <f>UPPER((TEXT(Tabla5[[#This Row],[FECHA]],"MMM")))</f>
        <v>MAR</v>
      </c>
      <c r="L118" s="780">
        <f>YEAR(Tabla5[[#This Row],[FECHA]])</f>
        <v>2024</v>
      </c>
      <c r="M118" s="749">
        <v>177</v>
      </c>
      <c r="N118" s="441" t="s">
        <v>679</v>
      </c>
      <c r="O118" s="441" t="s">
        <v>712</v>
      </c>
      <c r="P118" s="441" t="s">
        <v>110</v>
      </c>
    </row>
    <row r="119" spans="1:16">
      <c r="A119" s="387">
        <v>45356</v>
      </c>
      <c r="B119" s="340" t="s">
        <v>281</v>
      </c>
      <c r="C119" s="340" t="s">
        <v>257</v>
      </c>
      <c r="D119" s="340" t="s">
        <v>265</v>
      </c>
      <c r="E119" s="340">
        <v>76</v>
      </c>
      <c r="F119" s="340">
        <v>9</v>
      </c>
      <c r="G119" s="340">
        <v>929.93</v>
      </c>
      <c r="H119" s="347">
        <f t="shared" si="3"/>
        <v>636072.12</v>
      </c>
      <c r="I119" s="340">
        <v>1328</v>
      </c>
      <c r="J119" s="441">
        <f t="shared" si="2"/>
        <v>684</v>
      </c>
      <c r="K119" s="685" t="str">
        <f>UPPER((TEXT(Tabla5[[#This Row],[FECHA]],"MMM")))</f>
        <v>MAR</v>
      </c>
      <c r="L119" s="780">
        <f>YEAR(Tabla5[[#This Row],[FECHA]])</f>
        <v>2024</v>
      </c>
      <c r="M119" s="749">
        <v>177</v>
      </c>
      <c r="N119" s="441" t="s">
        <v>676</v>
      </c>
      <c r="O119" s="441" t="s">
        <v>712</v>
      </c>
      <c r="P119" s="441" t="s">
        <v>110</v>
      </c>
    </row>
    <row r="120" spans="1:16">
      <c r="A120" s="387">
        <v>45356</v>
      </c>
      <c r="B120" s="340" t="s">
        <v>267</v>
      </c>
      <c r="C120" s="340" t="s">
        <v>268</v>
      </c>
      <c r="D120" s="340" t="s">
        <v>260</v>
      </c>
      <c r="E120" s="340">
        <v>58</v>
      </c>
      <c r="F120" s="340">
        <v>5</v>
      </c>
      <c r="G120" s="340">
        <v>929.93</v>
      </c>
      <c r="H120" s="347">
        <f t="shared" si="3"/>
        <v>269679.7</v>
      </c>
      <c r="I120" s="340">
        <v>601</v>
      </c>
      <c r="J120" s="441">
        <f t="shared" si="2"/>
        <v>290</v>
      </c>
      <c r="K120" s="685" t="str">
        <f>UPPER((TEXT(Tabla5[[#This Row],[FECHA]],"MMM")))</f>
        <v>MAR</v>
      </c>
      <c r="L120" s="780">
        <f>YEAR(Tabla5[[#This Row],[FECHA]])</f>
        <v>2024</v>
      </c>
      <c r="M120" s="749">
        <v>177</v>
      </c>
      <c r="N120" s="441" t="s">
        <v>680</v>
      </c>
      <c r="O120" s="441" t="s">
        <v>712</v>
      </c>
      <c r="P120" s="441" t="s">
        <v>110</v>
      </c>
    </row>
    <row r="121" spans="1:16">
      <c r="A121" s="387">
        <v>45357</v>
      </c>
      <c r="B121" s="340" t="s">
        <v>272</v>
      </c>
      <c r="C121" s="340" t="s">
        <v>278</v>
      </c>
      <c r="D121" s="340" t="s">
        <v>260</v>
      </c>
      <c r="E121" s="340">
        <v>58</v>
      </c>
      <c r="F121" s="340">
        <v>4</v>
      </c>
      <c r="G121" s="340">
        <v>929.93</v>
      </c>
      <c r="H121" s="347">
        <f t="shared" si="3"/>
        <v>215743.75999999998</v>
      </c>
      <c r="I121" s="340">
        <v>152</v>
      </c>
      <c r="J121" s="441">
        <f t="shared" si="2"/>
        <v>232</v>
      </c>
      <c r="K121" s="685" t="str">
        <f>UPPER((TEXT(Tabla5[[#This Row],[FECHA]],"MMM")))</f>
        <v>MAR</v>
      </c>
      <c r="L121" s="780">
        <f>YEAR(Tabla5[[#This Row],[FECHA]])</f>
        <v>2024</v>
      </c>
      <c r="M121" s="749">
        <v>177</v>
      </c>
      <c r="N121" s="441" t="s">
        <v>679</v>
      </c>
      <c r="O121" s="441" t="s">
        <v>712</v>
      </c>
      <c r="P121" s="441" t="s">
        <v>110</v>
      </c>
    </row>
    <row r="122" spans="1:16">
      <c r="A122" s="387">
        <v>45357</v>
      </c>
      <c r="B122" s="340" t="s">
        <v>358</v>
      </c>
      <c r="C122" s="340" t="s">
        <v>264</v>
      </c>
      <c r="D122" s="340" t="s">
        <v>265</v>
      </c>
      <c r="E122" s="340">
        <v>76</v>
      </c>
      <c r="F122" s="340">
        <v>9</v>
      </c>
      <c r="G122" s="340">
        <v>929.93</v>
      </c>
      <c r="H122" s="347">
        <f t="shared" si="3"/>
        <v>636072.12</v>
      </c>
      <c r="I122" s="340">
        <v>1247</v>
      </c>
      <c r="J122" s="441">
        <f t="shared" si="2"/>
        <v>684</v>
      </c>
      <c r="K122" s="685" t="str">
        <f>UPPER((TEXT(Tabla5[[#This Row],[FECHA]],"MMM")))</f>
        <v>MAR</v>
      </c>
      <c r="L122" s="780">
        <f>YEAR(Tabla5[[#This Row],[FECHA]])</f>
        <v>2024</v>
      </c>
      <c r="M122" s="749">
        <v>177</v>
      </c>
      <c r="N122" s="441" t="s">
        <v>676</v>
      </c>
      <c r="O122" s="441" t="s">
        <v>712</v>
      </c>
      <c r="P122" s="441" t="s">
        <v>110</v>
      </c>
    </row>
    <row r="123" spans="1:16">
      <c r="A123" s="387">
        <v>45357</v>
      </c>
      <c r="B123" s="340" t="s">
        <v>267</v>
      </c>
      <c r="C123" s="340" t="s">
        <v>268</v>
      </c>
      <c r="D123" s="340" t="s">
        <v>260</v>
      </c>
      <c r="E123" s="340">
        <v>58</v>
      </c>
      <c r="F123" s="340">
        <v>5</v>
      </c>
      <c r="G123" s="340">
        <v>929.93</v>
      </c>
      <c r="H123" s="347">
        <f t="shared" si="3"/>
        <v>269679.7</v>
      </c>
      <c r="I123" s="340">
        <v>775</v>
      </c>
      <c r="J123" s="441">
        <f t="shared" si="2"/>
        <v>290</v>
      </c>
      <c r="K123" s="685" t="str">
        <f>UPPER((TEXT(Tabla5[[#This Row],[FECHA]],"MMM")))</f>
        <v>MAR</v>
      </c>
      <c r="L123" s="780">
        <f>YEAR(Tabla5[[#This Row],[FECHA]])</f>
        <v>2024</v>
      </c>
      <c r="M123" s="749">
        <v>177</v>
      </c>
      <c r="N123" s="441" t="s">
        <v>680</v>
      </c>
      <c r="O123" s="441" t="s">
        <v>712</v>
      </c>
      <c r="P123" s="441" t="s">
        <v>110</v>
      </c>
    </row>
    <row r="124" spans="1:16">
      <c r="A124" s="387">
        <v>45358</v>
      </c>
      <c r="B124" s="340" t="s">
        <v>272</v>
      </c>
      <c r="C124" s="340" t="s">
        <v>278</v>
      </c>
      <c r="D124" s="340" t="s">
        <v>260</v>
      </c>
      <c r="E124" s="340">
        <v>58</v>
      </c>
      <c r="F124" s="340">
        <v>4</v>
      </c>
      <c r="G124" s="340">
        <v>929.93</v>
      </c>
      <c r="H124" s="347">
        <f t="shared" si="3"/>
        <v>215743.75999999998</v>
      </c>
      <c r="I124" s="340">
        <v>187</v>
      </c>
      <c r="J124" s="441">
        <f t="shared" si="2"/>
        <v>232</v>
      </c>
      <c r="K124" s="685" t="str">
        <f>UPPER((TEXT(Tabla5[[#This Row],[FECHA]],"MMM")))</f>
        <v>MAR</v>
      </c>
      <c r="L124" s="780">
        <f>YEAR(Tabla5[[#This Row],[FECHA]])</f>
        <v>2024</v>
      </c>
      <c r="M124" s="749">
        <v>177</v>
      </c>
      <c r="N124" s="441" t="s">
        <v>679</v>
      </c>
      <c r="O124" s="441" t="s">
        <v>712</v>
      </c>
      <c r="P124" s="441" t="s">
        <v>110</v>
      </c>
    </row>
    <row r="125" spans="1:16">
      <c r="A125" s="387">
        <v>45358</v>
      </c>
      <c r="B125" s="340" t="s">
        <v>358</v>
      </c>
      <c r="C125" s="340" t="s">
        <v>264</v>
      </c>
      <c r="D125" s="340" t="s">
        <v>265</v>
      </c>
      <c r="E125" s="340">
        <v>76</v>
      </c>
      <c r="F125" s="340">
        <v>9</v>
      </c>
      <c r="G125" s="340">
        <v>929.93</v>
      </c>
      <c r="H125" s="347">
        <f t="shared" si="3"/>
        <v>636072.12</v>
      </c>
      <c r="I125" s="340">
        <v>987</v>
      </c>
      <c r="J125" s="441">
        <f t="shared" si="2"/>
        <v>684</v>
      </c>
      <c r="K125" s="685" t="str">
        <f>UPPER((TEXT(Tabla5[[#This Row],[FECHA]],"MMM")))</f>
        <v>MAR</v>
      </c>
      <c r="L125" s="780">
        <f>YEAR(Tabla5[[#This Row],[FECHA]])</f>
        <v>2024</v>
      </c>
      <c r="M125" s="749">
        <v>177</v>
      </c>
      <c r="N125" s="441" t="s">
        <v>676</v>
      </c>
      <c r="O125" s="441" t="s">
        <v>712</v>
      </c>
      <c r="P125" s="441" t="s">
        <v>110</v>
      </c>
    </row>
    <row r="126" spans="1:16">
      <c r="A126" s="387">
        <v>45358</v>
      </c>
      <c r="B126" s="340" t="s">
        <v>267</v>
      </c>
      <c r="C126" s="340" t="s">
        <v>268</v>
      </c>
      <c r="D126" s="340" t="s">
        <v>260</v>
      </c>
      <c r="E126" s="340">
        <v>58</v>
      </c>
      <c r="F126" s="340">
        <v>5</v>
      </c>
      <c r="G126" s="340">
        <v>929.93</v>
      </c>
      <c r="H126" s="347">
        <f t="shared" si="3"/>
        <v>269679.7</v>
      </c>
      <c r="I126" s="340">
        <v>621</v>
      </c>
      <c r="J126" s="441">
        <f t="shared" si="2"/>
        <v>290</v>
      </c>
      <c r="K126" s="685" t="str">
        <f>UPPER((TEXT(Tabla5[[#This Row],[FECHA]],"MMM")))</f>
        <v>MAR</v>
      </c>
      <c r="L126" s="780">
        <f>YEAR(Tabla5[[#This Row],[FECHA]])</f>
        <v>2024</v>
      </c>
      <c r="M126" s="749">
        <v>177</v>
      </c>
      <c r="N126" s="441" t="s">
        <v>680</v>
      </c>
      <c r="O126" s="441" t="s">
        <v>712</v>
      </c>
      <c r="P126" s="441" t="s">
        <v>110</v>
      </c>
    </row>
    <row r="127" spans="1:16" ht="11.4" customHeight="1">
      <c r="A127" s="386">
        <v>45359</v>
      </c>
      <c r="B127" s="340" t="s">
        <v>272</v>
      </c>
      <c r="C127" s="340" t="s">
        <v>278</v>
      </c>
      <c r="D127" s="340" t="s">
        <v>260</v>
      </c>
      <c r="E127" s="340">
        <v>58</v>
      </c>
      <c r="F127" s="340">
        <v>4</v>
      </c>
      <c r="G127" s="340">
        <v>929.93</v>
      </c>
      <c r="H127" s="347">
        <f t="shared" si="3"/>
        <v>215743.75999999998</v>
      </c>
      <c r="I127" s="340">
        <v>118</v>
      </c>
      <c r="J127" s="441">
        <f t="shared" si="2"/>
        <v>232</v>
      </c>
      <c r="K127" s="685" t="str">
        <f>UPPER((TEXT(Tabla5[[#This Row],[FECHA]],"MMM")))</f>
        <v>MAR</v>
      </c>
      <c r="L127" s="780">
        <f>YEAR(Tabla5[[#This Row],[FECHA]])</f>
        <v>2024</v>
      </c>
      <c r="M127" s="749">
        <v>177</v>
      </c>
      <c r="N127" s="441" t="s">
        <v>679</v>
      </c>
      <c r="O127" s="441" t="s">
        <v>712</v>
      </c>
      <c r="P127" s="441" t="s">
        <v>110</v>
      </c>
    </row>
    <row r="128" spans="1:16">
      <c r="A128" s="386">
        <v>45359</v>
      </c>
      <c r="B128" s="340" t="s">
        <v>358</v>
      </c>
      <c r="C128" s="340" t="s">
        <v>264</v>
      </c>
      <c r="D128" s="340" t="s">
        <v>265</v>
      </c>
      <c r="E128" s="340">
        <v>76</v>
      </c>
      <c r="F128" s="340">
        <v>9</v>
      </c>
      <c r="G128" s="340">
        <v>929.93</v>
      </c>
      <c r="H128" s="347">
        <f t="shared" si="3"/>
        <v>636072.12</v>
      </c>
      <c r="I128" s="340">
        <v>1401</v>
      </c>
      <c r="J128" s="441">
        <f t="shared" si="2"/>
        <v>684</v>
      </c>
      <c r="K128" s="685" t="str">
        <f>UPPER((TEXT(Tabla5[[#This Row],[FECHA]],"MMM")))</f>
        <v>MAR</v>
      </c>
      <c r="L128" s="780">
        <f>YEAR(Tabla5[[#This Row],[FECHA]])</f>
        <v>2024</v>
      </c>
      <c r="M128" s="749">
        <v>177</v>
      </c>
      <c r="N128" s="441" t="s">
        <v>676</v>
      </c>
      <c r="O128" s="441" t="s">
        <v>712</v>
      </c>
      <c r="P128" s="441" t="s">
        <v>110</v>
      </c>
    </row>
    <row r="129" spans="1:16">
      <c r="A129" s="386">
        <v>45359</v>
      </c>
      <c r="B129" s="340" t="s">
        <v>267</v>
      </c>
      <c r="C129" s="340" t="s">
        <v>268</v>
      </c>
      <c r="D129" s="340" t="s">
        <v>260</v>
      </c>
      <c r="E129" s="340">
        <v>58</v>
      </c>
      <c r="F129" s="340">
        <v>6</v>
      </c>
      <c r="G129" s="340">
        <v>929.93</v>
      </c>
      <c r="H129" s="347">
        <f t="shared" si="3"/>
        <v>323615.63999999996</v>
      </c>
      <c r="I129" s="340">
        <v>856</v>
      </c>
      <c r="J129" s="441">
        <f t="shared" si="2"/>
        <v>348</v>
      </c>
      <c r="K129" s="685" t="str">
        <f>UPPER((TEXT(Tabla5[[#This Row],[FECHA]],"MMM")))</f>
        <v>MAR</v>
      </c>
      <c r="L129" s="780">
        <f>YEAR(Tabla5[[#This Row],[FECHA]])</f>
        <v>2024</v>
      </c>
      <c r="M129" s="749">
        <v>177</v>
      </c>
      <c r="N129" s="441" t="s">
        <v>680</v>
      </c>
      <c r="O129" s="441" t="s">
        <v>712</v>
      </c>
      <c r="P129" s="441" t="s">
        <v>110</v>
      </c>
    </row>
    <row r="130" spans="1:16">
      <c r="A130" s="386">
        <v>45360</v>
      </c>
      <c r="B130" s="340" t="s">
        <v>269</v>
      </c>
      <c r="C130" s="340" t="s">
        <v>357</v>
      </c>
      <c r="D130" s="340" t="s">
        <v>265</v>
      </c>
      <c r="E130" s="340">
        <v>76</v>
      </c>
      <c r="F130" s="340">
        <v>3</v>
      </c>
      <c r="G130" s="340">
        <v>929.93</v>
      </c>
      <c r="H130" s="347">
        <f t="shared" si="3"/>
        <v>212024.03999999998</v>
      </c>
      <c r="I130" s="340">
        <v>384</v>
      </c>
      <c r="J130" s="441">
        <f t="shared" ref="J130:J193" si="4">E130*F130</f>
        <v>228</v>
      </c>
      <c r="K130" s="685" t="str">
        <f>UPPER((TEXT(Tabla5[[#This Row],[FECHA]],"MMM")))</f>
        <v>MAR</v>
      </c>
      <c r="L130" s="780">
        <f>YEAR(Tabla5[[#This Row],[FECHA]])</f>
        <v>2024</v>
      </c>
      <c r="M130" s="749">
        <v>177</v>
      </c>
      <c r="N130" s="441" t="s">
        <v>676</v>
      </c>
      <c r="O130" s="441" t="s">
        <v>712</v>
      </c>
      <c r="P130" s="441" t="s">
        <v>110</v>
      </c>
    </row>
    <row r="131" spans="1:16">
      <c r="A131" s="386">
        <v>45360</v>
      </c>
      <c r="B131" s="340" t="s">
        <v>287</v>
      </c>
      <c r="C131" s="340" t="s">
        <v>288</v>
      </c>
      <c r="D131" s="340" t="s">
        <v>255</v>
      </c>
      <c r="E131" s="340">
        <v>96</v>
      </c>
      <c r="F131" s="340">
        <v>10</v>
      </c>
      <c r="G131" s="340">
        <v>929.93</v>
      </c>
      <c r="H131" s="347">
        <f t="shared" si="3"/>
        <v>892732.79999999993</v>
      </c>
      <c r="I131" s="340">
        <v>776</v>
      </c>
      <c r="J131" s="441">
        <f t="shared" si="4"/>
        <v>960</v>
      </c>
      <c r="K131" s="685" t="str">
        <f>UPPER((TEXT(Tabla5[[#This Row],[FECHA]],"MMM")))</f>
        <v>MAR</v>
      </c>
      <c r="L131" s="780">
        <f>YEAR(Tabla5[[#This Row],[FECHA]])</f>
        <v>2024</v>
      </c>
      <c r="M131" s="749">
        <v>177</v>
      </c>
      <c r="N131" s="441" t="s">
        <v>678</v>
      </c>
      <c r="O131" s="441" t="s">
        <v>713</v>
      </c>
      <c r="P131" s="441" t="s">
        <v>110</v>
      </c>
    </row>
    <row r="132" spans="1:16">
      <c r="A132" s="386">
        <v>45361</v>
      </c>
      <c r="B132" s="340" t="s">
        <v>256</v>
      </c>
      <c r="C132" s="340" t="s">
        <v>257</v>
      </c>
      <c r="D132" s="340" t="s">
        <v>255</v>
      </c>
      <c r="E132" s="340">
        <v>96</v>
      </c>
      <c r="F132" s="340">
        <v>13</v>
      </c>
      <c r="G132" s="340">
        <v>929.93</v>
      </c>
      <c r="H132" s="347">
        <f t="shared" si="3"/>
        <v>1160552.6399999999</v>
      </c>
      <c r="I132" s="340">
        <v>988</v>
      </c>
      <c r="J132" s="441">
        <f t="shared" si="4"/>
        <v>1248</v>
      </c>
      <c r="K132" s="685" t="str">
        <f>UPPER((TEXT(Tabla5[[#This Row],[FECHA]],"MMM")))</f>
        <v>MAR</v>
      </c>
      <c r="L132" s="780">
        <f>YEAR(Tabla5[[#This Row],[FECHA]])</f>
        <v>2024</v>
      </c>
      <c r="M132" s="749">
        <v>177</v>
      </c>
      <c r="N132" s="441" t="s">
        <v>678</v>
      </c>
      <c r="O132" s="441" t="s">
        <v>713</v>
      </c>
      <c r="P132" s="441" t="s">
        <v>110</v>
      </c>
    </row>
    <row r="133" spans="1:16">
      <c r="A133" s="386">
        <v>45362</v>
      </c>
      <c r="B133" s="340" t="s">
        <v>272</v>
      </c>
      <c r="C133" s="340" t="s">
        <v>278</v>
      </c>
      <c r="D133" s="340" t="s">
        <v>260</v>
      </c>
      <c r="E133" s="340">
        <v>58</v>
      </c>
      <c r="F133" s="340">
        <v>4</v>
      </c>
      <c r="G133" s="340">
        <v>929.93</v>
      </c>
      <c r="H133" s="347">
        <f t="shared" si="3"/>
        <v>215743.75999999998</v>
      </c>
      <c r="I133" s="340">
        <v>164</v>
      </c>
      <c r="J133" s="441">
        <f t="shared" si="4"/>
        <v>232</v>
      </c>
      <c r="K133" s="685" t="str">
        <f>UPPER((TEXT(Tabla5[[#This Row],[FECHA]],"MMM")))</f>
        <v>MAR</v>
      </c>
      <c r="L133" s="780">
        <f>YEAR(Tabla5[[#This Row],[FECHA]])</f>
        <v>2024</v>
      </c>
      <c r="M133" s="749">
        <v>177</v>
      </c>
      <c r="N133" s="441" t="s">
        <v>679</v>
      </c>
      <c r="O133" s="441" t="s">
        <v>712</v>
      </c>
      <c r="P133" s="441" t="s">
        <v>110</v>
      </c>
    </row>
    <row r="134" spans="1:16">
      <c r="A134" s="386">
        <v>45362</v>
      </c>
      <c r="B134" s="340" t="s">
        <v>281</v>
      </c>
      <c r="C134" s="340" t="s">
        <v>257</v>
      </c>
      <c r="D134" s="340" t="s">
        <v>265</v>
      </c>
      <c r="E134" s="340">
        <v>76</v>
      </c>
      <c r="F134" s="340">
        <v>9</v>
      </c>
      <c r="G134" s="340">
        <v>929.93</v>
      </c>
      <c r="H134" s="347">
        <f t="shared" ref="H134:H197" si="5">E134*F134*G134</f>
        <v>636072.12</v>
      </c>
      <c r="I134" s="340">
        <v>1032</v>
      </c>
      <c r="J134" s="441">
        <f t="shared" si="4"/>
        <v>684</v>
      </c>
      <c r="K134" s="685" t="str">
        <f>UPPER((TEXT(Tabla5[[#This Row],[FECHA]],"MMM")))</f>
        <v>MAR</v>
      </c>
      <c r="L134" s="780">
        <f>YEAR(Tabla5[[#This Row],[FECHA]])</f>
        <v>2024</v>
      </c>
      <c r="M134" s="749">
        <v>177</v>
      </c>
      <c r="N134" s="441" t="s">
        <v>676</v>
      </c>
      <c r="O134" s="441" t="s">
        <v>712</v>
      </c>
      <c r="P134" s="441" t="s">
        <v>110</v>
      </c>
    </row>
    <row r="135" spans="1:16">
      <c r="A135" s="386">
        <v>45362</v>
      </c>
      <c r="B135" s="340" t="s">
        <v>291</v>
      </c>
      <c r="C135" s="340" t="s">
        <v>280</v>
      </c>
      <c r="D135" s="340" t="s">
        <v>260</v>
      </c>
      <c r="E135" s="340">
        <v>58</v>
      </c>
      <c r="F135" s="340">
        <v>4</v>
      </c>
      <c r="G135" s="340">
        <v>929.93</v>
      </c>
      <c r="H135" s="347">
        <f t="shared" si="5"/>
        <v>215743.75999999998</v>
      </c>
      <c r="I135" s="340">
        <v>603</v>
      </c>
      <c r="J135" s="441">
        <f t="shared" si="4"/>
        <v>232</v>
      </c>
      <c r="K135" s="685" t="str">
        <f>UPPER((TEXT(Tabla5[[#This Row],[FECHA]],"MMM")))</f>
        <v>MAR</v>
      </c>
      <c r="L135" s="780">
        <f>YEAR(Tabla5[[#This Row],[FECHA]])</f>
        <v>2024</v>
      </c>
      <c r="M135" s="749">
        <v>177</v>
      </c>
      <c r="N135" s="441" t="s">
        <v>680</v>
      </c>
      <c r="O135" s="441" t="s">
        <v>712</v>
      </c>
      <c r="P135" s="441" t="s">
        <v>110</v>
      </c>
    </row>
    <row r="136" spans="1:16">
      <c r="A136" s="386">
        <v>45363</v>
      </c>
      <c r="B136" s="340" t="s">
        <v>272</v>
      </c>
      <c r="C136" s="340" t="s">
        <v>278</v>
      </c>
      <c r="D136" s="340" t="s">
        <v>260</v>
      </c>
      <c r="E136" s="340">
        <v>58</v>
      </c>
      <c r="F136" s="340">
        <v>4</v>
      </c>
      <c r="G136" s="340">
        <v>929.93</v>
      </c>
      <c r="H136" s="347">
        <f t="shared" si="5"/>
        <v>215743.75999999998</v>
      </c>
      <c r="I136" s="340">
        <v>184</v>
      </c>
      <c r="J136" s="441">
        <f t="shared" si="4"/>
        <v>232</v>
      </c>
      <c r="K136" s="685" t="str">
        <f>UPPER((TEXT(Tabla5[[#This Row],[FECHA]],"MMM")))</f>
        <v>MAR</v>
      </c>
      <c r="L136" s="780">
        <f>YEAR(Tabla5[[#This Row],[FECHA]])</f>
        <v>2024</v>
      </c>
      <c r="M136" s="749">
        <v>177</v>
      </c>
      <c r="N136" s="441" t="s">
        <v>679</v>
      </c>
      <c r="O136" s="441" t="s">
        <v>712</v>
      </c>
      <c r="P136" s="441" t="s">
        <v>110</v>
      </c>
    </row>
    <row r="137" spans="1:16">
      <c r="A137" s="386">
        <v>45363</v>
      </c>
      <c r="B137" s="340" t="s">
        <v>281</v>
      </c>
      <c r="C137" s="340" t="s">
        <v>257</v>
      </c>
      <c r="D137" s="340" t="s">
        <v>265</v>
      </c>
      <c r="E137" s="340">
        <v>76</v>
      </c>
      <c r="F137" s="340">
        <v>9</v>
      </c>
      <c r="G137" s="340">
        <v>929.93</v>
      </c>
      <c r="H137" s="347">
        <f t="shared" si="5"/>
        <v>636072.12</v>
      </c>
      <c r="I137" s="340">
        <v>1275</v>
      </c>
      <c r="J137" s="441">
        <f t="shared" si="4"/>
        <v>684</v>
      </c>
      <c r="K137" s="685" t="str">
        <f>UPPER((TEXT(Tabla5[[#This Row],[FECHA]],"MMM")))</f>
        <v>MAR</v>
      </c>
      <c r="L137" s="780">
        <f>YEAR(Tabla5[[#This Row],[FECHA]])</f>
        <v>2024</v>
      </c>
      <c r="M137" s="749">
        <v>177</v>
      </c>
      <c r="N137" s="441" t="s">
        <v>676</v>
      </c>
      <c r="O137" s="441" t="s">
        <v>712</v>
      </c>
      <c r="P137" s="441" t="s">
        <v>110</v>
      </c>
    </row>
    <row r="138" spans="1:16">
      <c r="A138" s="386">
        <v>45363</v>
      </c>
      <c r="B138" s="340" t="s">
        <v>284</v>
      </c>
      <c r="C138" s="340" t="s">
        <v>285</v>
      </c>
      <c r="D138" s="340" t="s">
        <v>260</v>
      </c>
      <c r="E138" s="340">
        <v>58</v>
      </c>
      <c r="F138" s="340">
        <v>5</v>
      </c>
      <c r="G138" s="340">
        <v>929.93</v>
      </c>
      <c r="H138" s="347">
        <f t="shared" si="5"/>
        <v>269679.7</v>
      </c>
      <c r="I138" s="340">
        <v>617</v>
      </c>
      <c r="J138" s="441">
        <f t="shared" si="4"/>
        <v>290</v>
      </c>
      <c r="K138" s="685" t="str">
        <f>UPPER((TEXT(Tabla5[[#This Row],[FECHA]],"MMM")))</f>
        <v>MAR</v>
      </c>
      <c r="L138" s="780">
        <f>YEAR(Tabla5[[#This Row],[FECHA]])</f>
        <v>2024</v>
      </c>
      <c r="M138" s="749">
        <v>177</v>
      </c>
      <c r="N138" s="441" t="s">
        <v>680</v>
      </c>
      <c r="O138" s="441" t="s">
        <v>712</v>
      </c>
      <c r="P138" s="441" t="s">
        <v>110</v>
      </c>
    </row>
    <row r="139" spans="1:16">
      <c r="A139" s="387">
        <v>45364</v>
      </c>
      <c r="B139" s="340" t="s">
        <v>272</v>
      </c>
      <c r="C139" s="340" t="s">
        <v>278</v>
      </c>
      <c r="D139" s="340" t="s">
        <v>260</v>
      </c>
      <c r="E139" s="340">
        <v>58</v>
      </c>
      <c r="F139" s="340">
        <v>4</v>
      </c>
      <c r="G139" s="340">
        <v>929.93</v>
      </c>
      <c r="H139" s="347">
        <f t="shared" si="5"/>
        <v>215743.75999999998</v>
      </c>
      <c r="I139" s="340">
        <v>160</v>
      </c>
      <c r="J139" s="441">
        <f t="shared" si="4"/>
        <v>232</v>
      </c>
      <c r="K139" s="685" t="str">
        <f>UPPER((TEXT(Tabla5[[#This Row],[FECHA]],"MMM")))</f>
        <v>MAR</v>
      </c>
      <c r="L139" s="780">
        <f>YEAR(Tabla5[[#This Row],[FECHA]])</f>
        <v>2024</v>
      </c>
      <c r="M139" s="749">
        <v>177</v>
      </c>
      <c r="N139" s="441" t="s">
        <v>679</v>
      </c>
      <c r="O139" s="441" t="s">
        <v>712</v>
      </c>
      <c r="P139" s="441" t="s">
        <v>110</v>
      </c>
    </row>
    <row r="140" spans="1:16">
      <c r="A140" s="387">
        <v>45364</v>
      </c>
      <c r="B140" s="340" t="s">
        <v>281</v>
      </c>
      <c r="C140" s="340" t="s">
        <v>257</v>
      </c>
      <c r="D140" s="340" t="s">
        <v>265</v>
      </c>
      <c r="E140" s="340">
        <v>76</v>
      </c>
      <c r="F140" s="340">
        <v>9</v>
      </c>
      <c r="G140" s="340">
        <v>929.93</v>
      </c>
      <c r="H140" s="347">
        <f t="shared" si="5"/>
        <v>636072.12</v>
      </c>
      <c r="I140" s="340">
        <v>1353</v>
      </c>
      <c r="J140" s="441">
        <f t="shared" si="4"/>
        <v>684</v>
      </c>
      <c r="K140" s="685" t="str">
        <f>UPPER((TEXT(Tabla5[[#This Row],[FECHA]],"MMM")))</f>
        <v>MAR</v>
      </c>
      <c r="L140" s="780">
        <f>YEAR(Tabla5[[#This Row],[FECHA]])</f>
        <v>2024</v>
      </c>
      <c r="M140" s="749">
        <v>177</v>
      </c>
      <c r="N140" s="441" t="s">
        <v>676</v>
      </c>
      <c r="O140" s="441" t="s">
        <v>712</v>
      </c>
      <c r="P140" s="441" t="s">
        <v>110</v>
      </c>
    </row>
    <row r="141" spans="1:16">
      <c r="A141" s="387">
        <v>45364</v>
      </c>
      <c r="B141" s="340" t="s">
        <v>284</v>
      </c>
      <c r="C141" s="340" t="s">
        <v>285</v>
      </c>
      <c r="D141" s="340" t="s">
        <v>260</v>
      </c>
      <c r="E141" s="340">
        <v>58</v>
      </c>
      <c r="F141" s="340">
        <v>5</v>
      </c>
      <c r="G141" s="340">
        <v>929.93</v>
      </c>
      <c r="H141" s="347">
        <f t="shared" si="5"/>
        <v>269679.7</v>
      </c>
      <c r="I141" s="340">
        <v>735</v>
      </c>
      <c r="J141" s="441">
        <f t="shared" si="4"/>
        <v>290</v>
      </c>
      <c r="K141" s="685" t="str">
        <f>UPPER((TEXT(Tabla5[[#This Row],[FECHA]],"MMM")))</f>
        <v>MAR</v>
      </c>
      <c r="L141" s="780">
        <f>YEAR(Tabla5[[#This Row],[FECHA]])</f>
        <v>2024</v>
      </c>
      <c r="M141" s="749">
        <v>177</v>
      </c>
      <c r="N141" s="441" t="s">
        <v>680</v>
      </c>
      <c r="O141" s="441" t="s">
        <v>712</v>
      </c>
      <c r="P141" s="441" t="s">
        <v>110</v>
      </c>
    </row>
    <row r="142" spans="1:16">
      <c r="A142" s="387">
        <v>45365</v>
      </c>
      <c r="B142" s="340" t="s">
        <v>269</v>
      </c>
      <c r="C142" s="340" t="s">
        <v>270</v>
      </c>
      <c r="D142" s="340" t="s">
        <v>260</v>
      </c>
      <c r="E142" s="340">
        <v>58</v>
      </c>
      <c r="F142" s="340">
        <v>4</v>
      </c>
      <c r="G142" s="340">
        <v>929.93</v>
      </c>
      <c r="H142" s="347">
        <f t="shared" si="5"/>
        <v>215743.75999999998</v>
      </c>
      <c r="I142" s="340">
        <v>176</v>
      </c>
      <c r="J142" s="441">
        <f t="shared" si="4"/>
        <v>232</v>
      </c>
      <c r="K142" s="685" t="str">
        <f>UPPER((TEXT(Tabla5[[#This Row],[FECHA]],"MMM")))</f>
        <v>MAR</v>
      </c>
      <c r="L142" s="780">
        <f>YEAR(Tabla5[[#This Row],[FECHA]])</f>
        <v>2024</v>
      </c>
      <c r="M142" s="749">
        <v>177</v>
      </c>
      <c r="N142" s="441" t="s">
        <v>679</v>
      </c>
      <c r="O142" s="441" t="s">
        <v>712</v>
      </c>
      <c r="P142" s="441" t="s">
        <v>110</v>
      </c>
    </row>
    <row r="143" spans="1:16">
      <c r="A143" s="387">
        <v>45365</v>
      </c>
      <c r="B143" s="340" t="s">
        <v>361</v>
      </c>
      <c r="C143" s="340" t="s">
        <v>290</v>
      </c>
      <c r="D143" s="340" t="s">
        <v>265</v>
      </c>
      <c r="E143" s="340">
        <v>76</v>
      </c>
      <c r="F143" s="340">
        <v>9</v>
      </c>
      <c r="G143" s="340">
        <v>929.93</v>
      </c>
      <c r="H143" s="347">
        <f t="shared" si="5"/>
        <v>636072.12</v>
      </c>
      <c r="I143" s="340">
        <v>1272</v>
      </c>
      <c r="J143" s="441">
        <f t="shared" si="4"/>
        <v>684</v>
      </c>
      <c r="K143" s="685" t="str">
        <f>UPPER((TEXT(Tabla5[[#This Row],[FECHA]],"MMM")))</f>
        <v>MAR</v>
      </c>
      <c r="L143" s="780">
        <f>YEAR(Tabla5[[#This Row],[FECHA]])</f>
        <v>2024</v>
      </c>
      <c r="M143" s="749">
        <v>177</v>
      </c>
      <c r="N143" s="441" t="s">
        <v>676</v>
      </c>
      <c r="O143" s="441" t="s">
        <v>712</v>
      </c>
      <c r="P143" s="441" t="s">
        <v>110</v>
      </c>
    </row>
    <row r="144" spans="1:16">
      <c r="A144" s="387">
        <v>45365</v>
      </c>
      <c r="B144" s="340" t="s">
        <v>267</v>
      </c>
      <c r="C144" s="340" t="s">
        <v>268</v>
      </c>
      <c r="D144" s="340" t="s">
        <v>260</v>
      </c>
      <c r="E144" s="340">
        <v>58</v>
      </c>
      <c r="F144" s="340">
        <v>5</v>
      </c>
      <c r="G144" s="340">
        <v>929.93</v>
      </c>
      <c r="H144" s="347">
        <f t="shared" si="5"/>
        <v>269679.7</v>
      </c>
      <c r="I144" s="340">
        <v>475</v>
      </c>
      <c r="J144" s="441">
        <f t="shared" si="4"/>
        <v>290</v>
      </c>
      <c r="K144" s="685" t="str">
        <f>UPPER((TEXT(Tabla5[[#This Row],[FECHA]],"MMM")))</f>
        <v>MAR</v>
      </c>
      <c r="L144" s="780">
        <f>YEAR(Tabla5[[#This Row],[FECHA]])</f>
        <v>2024</v>
      </c>
      <c r="M144" s="749">
        <v>177</v>
      </c>
      <c r="N144" s="441" t="s">
        <v>680</v>
      </c>
      <c r="O144" s="441" t="s">
        <v>712</v>
      </c>
      <c r="P144" s="441" t="s">
        <v>110</v>
      </c>
    </row>
    <row r="145" spans="1:22">
      <c r="A145" s="387">
        <v>45366</v>
      </c>
      <c r="B145" s="340" t="s">
        <v>272</v>
      </c>
      <c r="C145" s="340" t="s">
        <v>278</v>
      </c>
      <c r="D145" s="340" t="s">
        <v>260</v>
      </c>
      <c r="E145" s="340">
        <v>58</v>
      </c>
      <c r="F145" s="340">
        <v>4</v>
      </c>
      <c r="G145" s="340">
        <v>929.93</v>
      </c>
      <c r="H145" s="347">
        <f t="shared" si="5"/>
        <v>215743.75999999998</v>
      </c>
      <c r="I145" s="340">
        <v>116</v>
      </c>
      <c r="J145" s="441">
        <f t="shared" si="4"/>
        <v>232</v>
      </c>
      <c r="K145" s="685" t="str">
        <f>UPPER((TEXT(Tabla5[[#This Row],[FECHA]],"MMM")))</f>
        <v>MAR</v>
      </c>
      <c r="L145" s="780">
        <f>YEAR(Tabla5[[#This Row],[FECHA]])</f>
        <v>2024</v>
      </c>
      <c r="M145" s="749">
        <v>177</v>
      </c>
      <c r="N145" s="441" t="s">
        <v>679</v>
      </c>
      <c r="O145" s="441" t="s">
        <v>712</v>
      </c>
      <c r="P145" s="441" t="s">
        <v>110</v>
      </c>
    </row>
    <row r="146" spans="1:22">
      <c r="A146" s="387">
        <v>45366</v>
      </c>
      <c r="B146" s="340" t="s">
        <v>361</v>
      </c>
      <c r="C146" s="340" t="s">
        <v>290</v>
      </c>
      <c r="D146" s="340" t="s">
        <v>265</v>
      </c>
      <c r="E146" s="340">
        <v>76</v>
      </c>
      <c r="F146" s="340">
        <v>9</v>
      </c>
      <c r="G146" s="340">
        <v>929.93</v>
      </c>
      <c r="H146" s="347">
        <f t="shared" si="5"/>
        <v>636072.12</v>
      </c>
      <c r="I146" s="340">
        <v>1368</v>
      </c>
      <c r="J146" s="441">
        <f t="shared" si="4"/>
        <v>684</v>
      </c>
      <c r="K146" s="685" t="str">
        <f>UPPER((TEXT(Tabla5[[#This Row],[FECHA]],"MMM")))</f>
        <v>MAR</v>
      </c>
      <c r="L146" s="780">
        <f>YEAR(Tabla5[[#This Row],[FECHA]])</f>
        <v>2024</v>
      </c>
      <c r="M146" s="749">
        <v>177</v>
      </c>
      <c r="N146" s="441" t="s">
        <v>676</v>
      </c>
      <c r="O146" s="441" t="s">
        <v>712</v>
      </c>
      <c r="P146" s="441" t="s">
        <v>110</v>
      </c>
    </row>
    <row r="147" spans="1:22">
      <c r="A147" s="387">
        <v>45366</v>
      </c>
      <c r="B147" s="340" t="s">
        <v>267</v>
      </c>
      <c r="C147" s="340" t="s">
        <v>268</v>
      </c>
      <c r="D147" s="340" t="s">
        <v>260</v>
      </c>
      <c r="E147" s="340">
        <v>58</v>
      </c>
      <c r="F147" s="340">
        <v>6</v>
      </c>
      <c r="G147" s="340">
        <v>929.93</v>
      </c>
      <c r="H147" s="347">
        <f t="shared" si="5"/>
        <v>323615.63999999996</v>
      </c>
      <c r="I147" s="340">
        <v>822</v>
      </c>
      <c r="J147" s="441">
        <f t="shared" si="4"/>
        <v>348</v>
      </c>
      <c r="K147" s="685" t="str">
        <f>UPPER((TEXT(Tabla5[[#This Row],[FECHA]],"MMM")))</f>
        <v>MAR</v>
      </c>
      <c r="L147" s="780">
        <f>YEAR(Tabla5[[#This Row],[FECHA]])</f>
        <v>2024</v>
      </c>
      <c r="M147" s="749">
        <v>177</v>
      </c>
      <c r="N147" s="441" t="s">
        <v>680</v>
      </c>
      <c r="O147" s="441" t="s">
        <v>712</v>
      </c>
      <c r="P147" s="441" t="s">
        <v>110</v>
      </c>
    </row>
    <row r="148" spans="1:22">
      <c r="A148" s="387">
        <v>45367</v>
      </c>
      <c r="B148" s="340" t="s">
        <v>269</v>
      </c>
      <c r="C148" s="340" t="s">
        <v>357</v>
      </c>
      <c r="D148" s="340" t="s">
        <v>265</v>
      </c>
      <c r="E148" s="340">
        <v>76</v>
      </c>
      <c r="F148" s="340">
        <v>3</v>
      </c>
      <c r="G148" s="340">
        <v>929.93</v>
      </c>
      <c r="H148" s="347">
        <f t="shared" si="5"/>
        <v>212024.03999999998</v>
      </c>
      <c r="I148" s="340">
        <v>333</v>
      </c>
      <c r="J148" s="441">
        <f t="shared" si="4"/>
        <v>228</v>
      </c>
      <c r="K148" s="685" t="str">
        <f>UPPER((TEXT(Tabla5[[#This Row],[FECHA]],"MMM")))</f>
        <v>MAR</v>
      </c>
      <c r="L148" s="780">
        <f>YEAR(Tabla5[[#This Row],[FECHA]])</f>
        <v>2024</v>
      </c>
      <c r="M148" s="749">
        <v>177</v>
      </c>
      <c r="N148" s="441" t="s">
        <v>676</v>
      </c>
      <c r="O148" s="441" t="s">
        <v>712</v>
      </c>
      <c r="P148" s="441" t="s">
        <v>110</v>
      </c>
    </row>
    <row r="149" spans="1:22">
      <c r="A149" s="387">
        <v>45367</v>
      </c>
      <c r="B149" s="340" t="s">
        <v>271</v>
      </c>
      <c r="C149" s="340" t="s">
        <v>292</v>
      </c>
      <c r="D149" s="340" t="s">
        <v>255</v>
      </c>
      <c r="E149" s="340">
        <v>96</v>
      </c>
      <c r="F149" s="340">
        <v>10</v>
      </c>
      <c r="G149" s="340">
        <v>929.93</v>
      </c>
      <c r="H149" s="347">
        <f t="shared" si="5"/>
        <v>892732.79999999993</v>
      </c>
      <c r="I149" s="340">
        <v>614</v>
      </c>
      <c r="J149" s="441">
        <f t="shared" si="4"/>
        <v>960</v>
      </c>
      <c r="K149" s="685" t="str">
        <f>UPPER((TEXT(Tabla5[[#This Row],[FECHA]],"MMM")))</f>
        <v>MAR</v>
      </c>
      <c r="L149" s="780">
        <f>YEAR(Tabla5[[#This Row],[FECHA]])</f>
        <v>2024</v>
      </c>
      <c r="M149" s="749">
        <v>177</v>
      </c>
      <c r="N149" s="441" t="s">
        <v>678</v>
      </c>
      <c r="O149" s="441" t="s">
        <v>713</v>
      </c>
      <c r="P149" s="441" t="s">
        <v>110</v>
      </c>
    </row>
    <row r="150" spans="1:22">
      <c r="A150" s="387">
        <v>45368</v>
      </c>
      <c r="B150" s="340" t="s">
        <v>289</v>
      </c>
      <c r="C150" s="340" t="s">
        <v>290</v>
      </c>
      <c r="D150" s="340" t="s">
        <v>255</v>
      </c>
      <c r="E150" s="340">
        <v>96</v>
      </c>
      <c r="F150" s="340">
        <v>13</v>
      </c>
      <c r="G150" s="340">
        <v>929.93</v>
      </c>
      <c r="H150" s="347">
        <f t="shared" si="5"/>
        <v>1160552.6399999999</v>
      </c>
      <c r="I150" s="340">
        <v>1128</v>
      </c>
      <c r="J150" s="441">
        <f t="shared" si="4"/>
        <v>1248</v>
      </c>
      <c r="K150" s="685" t="str">
        <f>UPPER((TEXT(Tabla5[[#This Row],[FECHA]],"MMM")))</f>
        <v>MAR</v>
      </c>
      <c r="L150" s="780">
        <f>YEAR(Tabla5[[#This Row],[FECHA]])</f>
        <v>2024</v>
      </c>
      <c r="M150" s="749">
        <v>177</v>
      </c>
      <c r="N150" s="441" t="s">
        <v>678</v>
      </c>
      <c r="O150" s="441" t="s">
        <v>713</v>
      </c>
      <c r="P150" s="441" t="s">
        <v>110</v>
      </c>
    </row>
    <row r="151" spans="1:22">
      <c r="A151" s="387">
        <v>45369</v>
      </c>
      <c r="B151" s="340" t="s">
        <v>272</v>
      </c>
      <c r="C151" s="340" t="s">
        <v>278</v>
      </c>
      <c r="D151" s="340" t="s">
        <v>260</v>
      </c>
      <c r="E151" s="340">
        <v>58</v>
      </c>
      <c r="F151" s="340">
        <v>4</v>
      </c>
      <c r="G151" s="340">
        <v>929.93</v>
      </c>
      <c r="H151" s="347">
        <f t="shared" si="5"/>
        <v>215743.75999999998</v>
      </c>
      <c r="I151" s="340">
        <v>151</v>
      </c>
      <c r="J151" s="441">
        <f t="shared" si="4"/>
        <v>232</v>
      </c>
      <c r="K151" s="685" t="str">
        <f>UPPER((TEXT(Tabla5[[#This Row],[FECHA]],"MMM")))</f>
        <v>MAR</v>
      </c>
      <c r="L151" s="780">
        <f>YEAR(Tabla5[[#This Row],[FECHA]])</f>
        <v>2024</v>
      </c>
      <c r="M151" s="749">
        <v>177</v>
      </c>
      <c r="N151" s="441" t="s">
        <v>679</v>
      </c>
      <c r="O151" s="441" t="s">
        <v>712</v>
      </c>
      <c r="P151" s="441" t="s">
        <v>110</v>
      </c>
    </row>
    <row r="152" spans="1:22">
      <c r="A152" s="387">
        <v>45369</v>
      </c>
      <c r="B152" s="340" t="s">
        <v>361</v>
      </c>
      <c r="C152" s="340" t="s">
        <v>290</v>
      </c>
      <c r="D152" s="340" t="s">
        <v>265</v>
      </c>
      <c r="E152" s="340">
        <v>76</v>
      </c>
      <c r="F152" s="340">
        <v>9</v>
      </c>
      <c r="G152" s="340">
        <v>929.93</v>
      </c>
      <c r="H152" s="347">
        <f t="shared" si="5"/>
        <v>636072.12</v>
      </c>
      <c r="I152" s="340">
        <v>986</v>
      </c>
      <c r="J152" s="441">
        <f t="shared" si="4"/>
        <v>684</v>
      </c>
      <c r="K152" s="685" t="str">
        <f>UPPER((TEXT(Tabla5[[#This Row],[FECHA]],"MMM")))</f>
        <v>MAR</v>
      </c>
      <c r="L152" s="780">
        <f>YEAR(Tabla5[[#This Row],[FECHA]])</f>
        <v>2024</v>
      </c>
      <c r="M152" s="780">
        <v>177</v>
      </c>
      <c r="N152" s="1020" t="s">
        <v>676</v>
      </c>
      <c r="O152" s="1020" t="s">
        <v>712</v>
      </c>
      <c r="P152" s="441" t="s">
        <v>110</v>
      </c>
      <c r="Q152" s="1019"/>
      <c r="R152" s="780"/>
      <c r="S152" s="780"/>
      <c r="T152" s="780"/>
      <c r="U152" s="780"/>
      <c r="V152" s="780"/>
    </row>
    <row r="153" spans="1:22">
      <c r="A153" s="387">
        <v>45369</v>
      </c>
      <c r="B153" s="340" t="s">
        <v>291</v>
      </c>
      <c r="C153" s="340" t="s">
        <v>280</v>
      </c>
      <c r="D153" s="340" t="s">
        <v>260</v>
      </c>
      <c r="E153" s="340">
        <v>58</v>
      </c>
      <c r="F153" s="340">
        <v>4</v>
      </c>
      <c r="G153" s="340">
        <v>929.93</v>
      </c>
      <c r="H153" s="347">
        <f t="shared" si="5"/>
        <v>215743.75999999998</v>
      </c>
      <c r="I153" s="340">
        <v>581</v>
      </c>
      <c r="J153" s="441">
        <f t="shared" si="4"/>
        <v>232</v>
      </c>
      <c r="K153" s="685" t="str">
        <f>UPPER((TEXT(Tabla5[[#This Row],[FECHA]],"MMM")))</f>
        <v>MAR</v>
      </c>
      <c r="L153" s="780">
        <f>YEAR(Tabla5[[#This Row],[FECHA]])</f>
        <v>2024</v>
      </c>
      <c r="M153" s="749">
        <v>177</v>
      </c>
      <c r="N153" s="441" t="s">
        <v>680</v>
      </c>
      <c r="O153" s="441" t="s">
        <v>712</v>
      </c>
      <c r="P153" s="441" t="s">
        <v>110</v>
      </c>
    </row>
    <row r="154" spans="1:22">
      <c r="A154" s="387">
        <v>45370</v>
      </c>
      <c r="B154" s="340" t="s">
        <v>272</v>
      </c>
      <c r="C154" s="340" t="s">
        <v>278</v>
      </c>
      <c r="D154" s="340" t="s">
        <v>260</v>
      </c>
      <c r="E154" s="340">
        <v>58</v>
      </c>
      <c r="F154" s="340">
        <v>4</v>
      </c>
      <c r="G154" s="340">
        <v>929.93</v>
      </c>
      <c r="H154" s="347">
        <f t="shared" si="5"/>
        <v>215743.75999999998</v>
      </c>
      <c r="I154" s="340">
        <v>183</v>
      </c>
      <c r="J154" s="441">
        <f t="shared" si="4"/>
        <v>232</v>
      </c>
      <c r="K154" s="685" t="str">
        <f>UPPER((TEXT(Tabla5[[#This Row],[FECHA]],"MMM")))</f>
        <v>MAR</v>
      </c>
      <c r="L154" s="780">
        <f>YEAR(Tabla5[[#This Row],[FECHA]])</f>
        <v>2024</v>
      </c>
      <c r="M154" s="749">
        <v>177</v>
      </c>
      <c r="N154" s="441" t="s">
        <v>679</v>
      </c>
      <c r="O154" s="441" t="s">
        <v>712</v>
      </c>
      <c r="P154" s="441" t="s">
        <v>110</v>
      </c>
    </row>
    <row r="155" spans="1:22">
      <c r="A155" s="387">
        <v>45370</v>
      </c>
      <c r="B155" s="340" t="s">
        <v>361</v>
      </c>
      <c r="C155" s="340" t="s">
        <v>290</v>
      </c>
      <c r="D155" s="340" t="s">
        <v>265</v>
      </c>
      <c r="E155" s="340">
        <v>76</v>
      </c>
      <c r="F155" s="340">
        <v>9</v>
      </c>
      <c r="G155" s="340">
        <v>929.93</v>
      </c>
      <c r="H155" s="347">
        <f t="shared" si="5"/>
        <v>636072.12</v>
      </c>
      <c r="I155" s="340">
        <v>1256</v>
      </c>
      <c r="J155" s="441">
        <f t="shared" si="4"/>
        <v>684</v>
      </c>
      <c r="K155" s="685" t="str">
        <f>UPPER((TEXT(Tabla5[[#This Row],[FECHA]],"MMM")))</f>
        <v>MAR</v>
      </c>
      <c r="L155" s="780">
        <f>YEAR(Tabla5[[#This Row],[FECHA]])</f>
        <v>2024</v>
      </c>
      <c r="M155" s="749">
        <v>177</v>
      </c>
      <c r="N155" s="441" t="s">
        <v>676</v>
      </c>
      <c r="O155" s="441" t="s">
        <v>712</v>
      </c>
      <c r="P155" s="441" t="s">
        <v>110</v>
      </c>
    </row>
    <row r="156" spans="1:22">
      <c r="A156" s="387">
        <v>45370</v>
      </c>
      <c r="B156" s="340" t="s">
        <v>267</v>
      </c>
      <c r="C156" s="340" t="s">
        <v>268</v>
      </c>
      <c r="D156" s="340" t="s">
        <v>260</v>
      </c>
      <c r="E156" s="340">
        <v>58</v>
      </c>
      <c r="F156" s="340">
        <v>5</v>
      </c>
      <c r="G156" s="340">
        <v>929.93</v>
      </c>
      <c r="H156" s="347">
        <f t="shared" si="5"/>
        <v>269679.7</v>
      </c>
      <c r="I156" s="340">
        <v>626</v>
      </c>
      <c r="J156" s="441">
        <f t="shared" si="4"/>
        <v>290</v>
      </c>
      <c r="K156" s="685" t="str">
        <f>UPPER((TEXT(Tabla5[[#This Row],[FECHA]],"MMM")))</f>
        <v>MAR</v>
      </c>
      <c r="L156" s="780">
        <f>YEAR(Tabla5[[#This Row],[FECHA]])</f>
        <v>2024</v>
      </c>
      <c r="M156" s="749">
        <v>177</v>
      </c>
      <c r="N156" s="441" t="s">
        <v>680</v>
      </c>
      <c r="O156" s="441" t="s">
        <v>712</v>
      </c>
      <c r="P156" s="441" t="s">
        <v>110</v>
      </c>
    </row>
    <row r="157" spans="1:22">
      <c r="A157" s="387">
        <v>45371</v>
      </c>
      <c r="B157" s="340" t="s">
        <v>272</v>
      </c>
      <c r="C157" s="340" t="s">
        <v>278</v>
      </c>
      <c r="D157" s="340" t="s">
        <v>260</v>
      </c>
      <c r="E157" s="340">
        <v>58</v>
      </c>
      <c r="F157" s="340">
        <v>4</v>
      </c>
      <c r="G157" s="340">
        <v>929.93</v>
      </c>
      <c r="H157" s="347">
        <f t="shared" si="5"/>
        <v>215743.75999999998</v>
      </c>
      <c r="I157" s="340">
        <v>163</v>
      </c>
      <c r="J157" s="441">
        <f t="shared" si="4"/>
        <v>232</v>
      </c>
      <c r="K157" s="685" t="str">
        <f>UPPER((TEXT(Tabla5[[#This Row],[FECHA]],"MMM")))</f>
        <v>MAR</v>
      </c>
      <c r="L157" s="780">
        <f>YEAR(Tabla5[[#This Row],[FECHA]])</f>
        <v>2024</v>
      </c>
      <c r="M157" s="749">
        <v>177</v>
      </c>
      <c r="N157" s="441" t="s">
        <v>679</v>
      </c>
      <c r="O157" s="441" t="s">
        <v>712</v>
      </c>
      <c r="P157" s="441" t="s">
        <v>110</v>
      </c>
    </row>
    <row r="158" spans="1:22">
      <c r="A158" s="387">
        <v>45371</v>
      </c>
      <c r="B158" s="340" t="s">
        <v>281</v>
      </c>
      <c r="C158" s="340" t="s">
        <v>257</v>
      </c>
      <c r="D158" s="340" t="s">
        <v>265</v>
      </c>
      <c r="E158" s="340">
        <v>76</v>
      </c>
      <c r="F158" s="340">
        <v>9</v>
      </c>
      <c r="G158" s="340">
        <v>929.93</v>
      </c>
      <c r="H158" s="347">
        <f t="shared" si="5"/>
        <v>636072.12</v>
      </c>
      <c r="I158" s="340">
        <v>1255</v>
      </c>
      <c r="J158" s="441">
        <f t="shared" si="4"/>
        <v>684</v>
      </c>
      <c r="K158" s="685" t="str">
        <f>UPPER((TEXT(Tabla5[[#This Row],[FECHA]],"MMM")))</f>
        <v>MAR</v>
      </c>
      <c r="L158" s="780">
        <f>YEAR(Tabla5[[#This Row],[FECHA]])</f>
        <v>2024</v>
      </c>
      <c r="M158" s="749">
        <v>177</v>
      </c>
      <c r="N158" s="441" t="s">
        <v>676</v>
      </c>
      <c r="O158" s="441" t="s">
        <v>712</v>
      </c>
      <c r="P158" s="441" t="s">
        <v>110</v>
      </c>
    </row>
    <row r="159" spans="1:22">
      <c r="A159" s="387">
        <v>45371</v>
      </c>
      <c r="B159" s="340" t="s">
        <v>267</v>
      </c>
      <c r="C159" s="340" t="s">
        <v>268</v>
      </c>
      <c r="D159" s="340" t="s">
        <v>260</v>
      </c>
      <c r="E159" s="340">
        <v>58</v>
      </c>
      <c r="F159" s="340">
        <v>5</v>
      </c>
      <c r="G159" s="340">
        <v>929.93</v>
      </c>
      <c r="H159" s="347">
        <f t="shared" si="5"/>
        <v>269679.7</v>
      </c>
      <c r="I159" s="340">
        <v>745</v>
      </c>
      <c r="J159" s="441">
        <f t="shared" si="4"/>
        <v>290</v>
      </c>
      <c r="K159" s="685" t="str">
        <f>UPPER((TEXT(Tabla5[[#This Row],[FECHA]],"MMM")))</f>
        <v>MAR</v>
      </c>
      <c r="L159" s="780">
        <f>YEAR(Tabla5[[#This Row],[FECHA]])</f>
        <v>2024</v>
      </c>
      <c r="M159" s="749">
        <v>177</v>
      </c>
      <c r="N159" s="441" t="s">
        <v>680</v>
      </c>
      <c r="O159" s="441" t="s">
        <v>712</v>
      </c>
      <c r="P159" s="441" t="s">
        <v>110</v>
      </c>
    </row>
    <row r="160" spans="1:22">
      <c r="A160" s="387">
        <v>45372</v>
      </c>
      <c r="B160" s="340" t="s">
        <v>269</v>
      </c>
      <c r="C160" s="340" t="s">
        <v>270</v>
      </c>
      <c r="D160" s="340" t="s">
        <v>260</v>
      </c>
      <c r="E160" s="340">
        <v>58</v>
      </c>
      <c r="F160" s="340">
        <v>4</v>
      </c>
      <c r="G160" s="340">
        <v>929.93</v>
      </c>
      <c r="H160" s="347">
        <f t="shared" si="5"/>
        <v>215743.75999999998</v>
      </c>
      <c r="I160" s="340">
        <v>174</v>
      </c>
      <c r="J160" s="441">
        <f t="shared" si="4"/>
        <v>232</v>
      </c>
      <c r="K160" s="685" t="str">
        <f>UPPER((TEXT(Tabla5[[#This Row],[FECHA]],"MMM")))</f>
        <v>MAR</v>
      </c>
      <c r="L160" s="780">
        <f>YEAR(Tabla5[[#This Row],[FECHA]])</f>
        <v>2024</v>
      </c>
      <c r="M160" s="749">
        <v>177</v>
      </c>
      <c r="N160" s="441" t="s">
        <v>679</v>
      </c>
      <c r="O160" s="441" t="s">
        <v>712</v>
      </c>
      <c r="P160" s="441" t="s">
        <v>110</v>
      </c>
    </row>
    <row r="161" spans="1:16">
      <c r="A161" s="387">
        <v>45372</v>
      </c>
      <c r="B161" s="340" t="s">
        <v>281</v>
      </c>
      <c r="C161" s="340" t="s">
        <v>257</v>
      </c>
      <c r="D161" s="340" t="s">
        <v>265</v>
      </c>
      <c r="E161" s="340">
        <v>76</v>
      </c>
      <c r="F161" s="340">
        <v>9</v>
      </c>
      <c r="G161" s="340">
        <v>929.93</v>
      </c>
      <c r="H161" s="347">
        <f t="shared" si="5"/>
        <v>636072.12</v>
      </c>
      <c r="I161" s="340">
        <v>903</v>
      </c>
      <c r="J161" s="441">
        <f t="shared" si="4"/>
        <v>684</v>
      </c>
      <c r="K161" s="685" t="str">
        <f>UPPER((TEXT(Tabla5[[#This Row],[FECHA]],"MMM")))</f>
        <v>MAR</v>
      </c>
      <c r="L161" s="780">
        <f>YEAR(Tabla5[[#This Row],[FECHA]])</f>
        <v>2024</v>
      </c>
      <c r="M161" s="749">
        <v>177</v>
      </c>
      <c r="N161" s="441" t="s">
        <v>676</v>
      </c>
      <c r="O161" s="441" t="s">
        <v>712</v>
      </c>
      <c r="P161" s="441" t="s">
        <v>110</v>
      </c>
    </row>
    <row r="162" spans="1:16">
      <c r="A162" s="387">
        <v>45372</v>
      </c>
      <c r="B162" s="340" t="s">
        <v>267</v>
      </c>
      <c r="C162" s="340" t="s">
        <v>268</v>
      </c>
      <c r="D162" s="340" t="s">
        <v>260</v>
      </c>
      <c r="E162" s="340">
        <v>58</v>
      </c>
      <c r="F162" s="340">
        <v>5</v>
      </c>
      <c r="G162" s="340">
        <v>929.93</v>
      </c>
      <c r="H162" s="347">
        <f t="shared" si="5"/>
        <v>269679.7</v>
      </c>
      <c r="I162" s="340">
        <v>625</v>
      </c>
      <c r="J162" s="441">
        <f t="shared" si="4"/>
        <v>290</v>
      </c>
      <c r="K162" s="685" t="str">
        <f>UPPER((TEXT(Tabla5[[#This Row],[FECHA]],"MMM")))</f>
        <v>MAR</v>
      </c>
      <c r="L162" s="780">
        <f>YEAR(Tabla5[[#This Row],[FECHA]])</f>
        <v>2024</v>
      </c>
      <c r="M162" s="749">
        <v>177</v>
      </c>
      <c r="N162" s="441" t="s">
        <v>680</v>
      </c>
      <c r="O162" s="441" t="s">
        <v>712</v>
      </c>
      <c r="P162" s="441" t="s">
        <v>110</v>
      </c>
    </row>
    <row r="163" spans="1:16">
      <c r="A163" s="387">
        <v>45373</v>
      </c>
      <c r="B163" s="340" t="s">
        <v>269</v>
      </c>
      <c r="C163" s="340" t="s">
        <v>270</v>
      </c>
      <c r="D163" s="340" t="s">
        <v>260</v>
      </c>
      <c r="E163" s="340">
        <v>58</v>
      </c>
      <c r="F163" s="340">
        <v>4</v>
      </c>
      <c r="G163" s="340">
        <v>929.93</v>
      </c>
      <c r="H163" s="347">
        <f t="shared" si="5"/>
        <v>215743.75999999998</v>
      </c>
      <c r="I163" s="340">
        <v>135</v>
      </c>
      <c r="J163" s="441">
        <f t="shared" si="4"/>
        <v>232</v>
      </c>
      <c r="K163" s="685" t="str">
        <f>UPPER((TEXT(Tabla5[[#This Row],[FECHA]],"MMM")))</f>
        <v>MAR</v>
      </c>
      <c r="L163" s="780">
        <f>YEAR(Tabla5[[#This Row],[FECHA]])</f>
        <v>2024</v>
      </c>
      <c r="M163" s="749">
        <v>177</v>
      </c>
      <c r="N163" s="441" t="s">
        <v>679</v>
      </c>
      <c r="O163" s="441" t="s">
        <v>712</v>
      </c>
      <c r="P163" s="441" t="s">
        <v>110</v>
      </c>
    </row>
    <row r="164" spans="1:16">
      <c r="A164" s="387">
        <v>45373</v>
      </c>
      <c r="B164" s="340" t="s">
        <v>281</v>
      </c>
      <c r="C164" s="340" t="s">
        <v>257</v>
      </c>
      <c r="D164" s="340" t="s">
        <v>265</v>
      </c>
      <c r="E164" s="340">
        <v>76</v>
      </c>
      <c r="F164" s="340">
        <v>9</v>
      </c>
      <c r="G164" s="340">
        <v>929.93</v>
      </c>
      <c r="H164" s="347">
        <f t="shared" si="5"/>
        <v>636072.12</v>
      </c>
      <c r="I164" s="340">
        <v>1293</v>
      </c>
      <c r="J164" s="441">
        <f t="shared" si="4"/>
        <v>684</v>
      </c>
      <c r="K164" s="685" t="str">
        <f>UPPER((TEXT(Tabla5[[#This Row],[FECHA]],"MMM")))</f>
        <v>MAR</v>
      </c>
      <c r="L164" s="780">
        <f>YEAR(Tabla5[[#This Row],[FECHA]])</f>
        <v>2024</v>
      </c>
      <c r="M164" s="749">
        <v>177</v>
      </c>
      <c r="N164" s="441" t="s">
        <v>676</v>
      </c>
      <c r="O164" s="441" t="s">
        <v>712</v>
      </c>
      <c r="P164" s="441" t="s">
        <v>110</v>
      </c>
    </row>
    <row r="165" spans="1:16">
      <c r="A165" s="387">
        <v>45373</v>
      </c>
      <c r="B165" s="340" t="s">
        <v>267</v>
      </c>
      <c r="C165" s="340" t="s">
        <v>268</v>
      </c>
      <c r="D165" s="340" t="s">
        <v>260</v>
      </c>
      <c r="E165" s="340">
        <v>58</v>
      </c>
      <c r="F165" s="340">
        <v>6</v>
      </c>
      <c r="G165" s="340">
        <v>929.93</v>
      </c>
      <c r="H165" s="347">
        <f t="shared" si="5"/>
        <v>323615.63999999996</v>
      </c>
      <c r="I165" s="340">
        <v>688</v>
      </c>
      <c r="J165" s="441">
        <f t="shared" si="4"/>
        <v>348</v>
      </c>
      <c r="K165" s="685" t="str">
        <f>UPPER((TEXT(Tabla5[[#This Row],[FECHA]],"MMM")))</f>
        <v>MAR</v>
      </c>
      <c r="L165" s="780">
        <f>YEAR(Tabla5[[#This Row],[FECHA]])</f>
        <v>2024</v>
      </c>
      <c r="M165" s="749">
        <v>177</v>
      </c>
      <c r="N165" s="441" t="s">
        <v>680</v>
      </c>
      <c r="O165" s="441" t="s">
        <v>712</v>
      </c>
      <c r="P165" s="441" t="s">
        <v>110</v>
      </c>
    </row>
    <row r="166" spans="1:16">
      <c r="A166" s="387">
        <v>45374</v>
      </c>
      <c r="B166" s="340" t="s">
        <v>272</v>
      </c>
      <c r="C166" s="340" t="s">
        <v>282</v>
      </c>
      <c r="D166" s="340" t="s">
        <v>265</v>
      </c>
      <c r="E166" s="340">
        <v>76</v>
      </c>
      <c r="F166" s="340">
        <v>3</v>
      </c>
      <c r="G166" s="340">
        <v>929.93</v>
      </c>
      <c r="H166" s="347">
        <f t="shared" si="5"/>
        <v>212024.03999999998</v>
      </c>
      <c r="I166" s="340">
        <v>270</v>
      </c>
      <c r="J166" s="441">
        <f t="shared" si="4"/>
        <v>228</v>
      </c>
      <c r="K166" s="685" t="str">
        <f>UPPER((TEXT(Tabla5[[#This Row],[FECHA]],"MMM")))</f>
        <v>MAR</v>
      </c>
      <c r="L166" s="780">
        <f>YEAR(Tabla5[[#This Row],[FECHA]])</f>
        <v>2024</v>
      </c>
      <c r="M166" s="749">
        <v>177</v>
      </c>
      <c r="N166" s="441" t="s">
        <v>676</v>
      </c>
      <c r="O166" s="441" t="s">
        <v>712</v>
      </c>
      <c r="P166" s="441" t="s">
        <v>110</v>
      </c>
    </row>
    <row r="167" spans="1:16">
      <c r="A167" s="387">
        <v>45374</v>
      </c>
      <c r="B167" s="340" t="s">
        <v>287</v>
      </c>
      <c r="C167" s="340" t="s">
        <v>288</v>
      </c>
      <c r="D167" s="340" t="s">
        <v>255</v>
      </c>
      <c r="E167" s="340">
        <v>96</v>
      </c>
      <c r="F167" s="340">
        <v>12</v>
      </c>
      <c r="G167" s="340">
        <v>929.93</v>
      </c>
      <c r="H167" s="347">
        <f t="shared" si="5"/>
        <v>1071279.3599999999</v>
      </c>
      <c r="I167" s="340">
        <v>644</v>
      </c>
      <c r="J167" s="441">
        <f t="shared" si="4"/>
        <v>1152</v>
      </c>
      <c r="K167" s="685" t="str">
        <f>UPPER((TEXT(Tabla5[[#This Row],[FECHA]],"MMM")))</f>
        <v>MAR</v>
      </c>
      <c r="L167" s="780">
        <f>YEAR(Tabla5[[#This Row],[FECHA]])</f>
        <v>2024</v>
      </c>
      <c r="M167" s="749">
        <v>177</v>
      </c>
      <c r="N167" s="441" t="s">
        <v>678</v>
      </c>
      <c r="O167" s="441" t="s">
        <v>713</v>
      </c>
      <c r="P167" s="441" t="s">
        <v>110</v>
      </c>
    </row>
    <row r="168" spans="1:16">
      <c r="A168" s="387">
        <v>45375</v>
      </c>
      <c r="B168" s="340" t="s">
        <v>253</v>
      </c>
      <c r="C168" s="340" t="s">
        <v>258</v>
      </c>
      <c r="D168" s="340" t="s">
        <v>255</v>
      </c>
      <c r="E168" s="340">
        <v>96</v>
      </c>
      <c r="F168" s="340">
        <v>18</v>
      </c>
      <c r="G168" s="340">
        <v>929.93</v>
      </c>
      <c r="H168" s="347">
        <f t="shared" si="5"/>
        <v>1606919.0399999998</v>
      </c>
      <c r="I168" s="340">
        <v>1572</v>
      </c>
      <c r="J168" s="441">
        <f t="shared" si="4"/>
        <v>1728</v>
      </c>
      <c r="K168" s="685" t="str">
        <f>UPPER((TEXT(Tabla5[[#This Row],[FECHA]],"MMM")))</f>
        <v>MAR</v>
      </c>
      <c r="L168" s="780">
        <f>YEAR(Tabla5[[#This Row],[FECHA]])</f>
        <v>2024</v>
      </c>
      <c r="M168" s="749">
        <v>177</v>
      </c>
      <c r="N168" s="441" t="s">
        <v>678</v>
      </c>
      <c r="O168" s="441" t="s">
        <v>713</v>
      </c>
      <c r="P168" s="441" t="s">
        <v>110</v>
      </c>
    </row>
    <row r="169" spans="1:16">
      <c r="A169" s="387">
        <v>45375</v>
      </c>
      <c r="B169" s="340" t="s">
        <v>263</v>
      </c>
      <c r="C169" s="340" t="s">
        <v>285</v>
      </c>
      <c r="D169" s="340" t="s">
        <v>362</v>
      </c>
      <c r="E169" s="340">
        <v>62</v>
      </c>
      <c r="F169" s="340">
        <v>8</v>
      </c>
      <c r="G169" s="340">
        <v>929.93</v>
      </c>
      <c r="H169" s="347">
        <f t="shared" si="5"/>
        <v>461245.27999999997</v>
      </c>
      <c r="I169" s="340">
        <v>160</v>
      </c>
      <c r="J169" s="441">
        <f t="shared" si="4"/>
        <v>496</v>
      </c>
      <c r="K169" s="685" t="str">
        <f>UPPER((TEXT(Tabla5[[#This Row],[FECHA]],"MMM")))</f>
        <v>MAR</v>
      </c>
      <c r="L169" s="780">
        <f>YEAR(Tabla5[[#This Row],[FECHA]])</f>
        <v>2024</v>
      </c>
      <c r="M169" s="749">
        <v>177</v>
      </c>
      <c r="N169" s="441" t="s">
        <v>675</v>
      </c>
      <c r="O169" s="441" t="s">
        <v>713</v>
      </c>
      <c r="P169" s="441" t="s">
        <v>110</v>
      </c>
    </row>
    <row r="170" spans="1:16">
      <c r="A170" s="387">
        <v>45376</v>
      </c>
      <c r="B170" s="340" t="s">
        <v>256</v>
      </c>
      <c r="C170" s="340" t="s">
        <v>257</v>
      </c>
      <c r="D170" s="340" t="s">
        <v>255</v>
      </c>
      <c r="E170" s="340">
        <v>96</v>
      </c>
      <c r="F170" s="340">
        <v>18</v>
      </c>
      <c r="G170" s="340">
        <v>929.93</v>
      </c>
      <c r="H170" s="347">
        <f t="shared" si="5"/>
        <v>1606919.0399999998</v>
      </c>
      <c r="I170" s="340">
        <v>1426</v>
      </c>
      <c r="J170" s="441">
        <f t="shared" si="4"/>
        <v>1728</v>
      </c>
      <c r="K170" s="685" t="str">
        <f>UPPER((TEXT(Tabla5[[#This Row],[FECHA]],"MMM")))</f>
        <v>MAR</v>
      </c>
      <c r="L170" s="780">
        <f>YEAR(Tabla5[[#This Row],[FECHA]])</f>
        <v>2024</v>
      </c>
      <c r="M170" s="749">
        <v>177</v>
      </c>
      <c r="N170" s="441" t="s">
        <v>678</v>
      </c>
      <c r="O170" s="441" t="s">
        <v>713</v>
      </c>
      <c r="P170" s="441" t="s">
        <v>110</v>
      </c>
    </row>
    <row r="171" spans="1:16">
      <c r="A171" s="387">
        <v>45376</v>
      </c>
      <c r="B171" s="340" t="s">
        <v>263</v>
      </c>
      <c r="C171" s="340" t="s">
        <v>285</v>
      </c>
      <c r="D171" s="340" t="s">
        <v>362</v>
      </c>
      <c r="E171" s="340">
        <v>62</v>
      </c>
      <c r="F171" s="340">
        <v>8</v>
      </c>
      <c r="G171" s="340">
        <v>929.93</v>
      </c>
      <c r="H171" s="347">
        <f t="shared" si="5"/>
        <v>461245.27999999997</v>
      </c>
      <c r="I171" s="340">
        <v>262</v>
      </c>
      <c r="J171" s="441">
        <f t="shared" si="4"/>
        <v>496</v>
      </c>
      <c r="K171" s="685" t="str">
        <f>UPPER((TEXT(Tabla5[[#This Row],[FECHA]],"MMM")))</f>
        <v>MAR</v>
      </c>
      <c r="L171" s="780">
        <f>YEAR(Tabla5[[#This Row],[FECHA]])</f>
        <v>2024</v>
      </c>
      <c r="M171" s="749">
        <v>177</v>
      </c>
      <c r="N171" s="441" t="s">
        <v>675</v>
      </c>
      <c r="O171" s="441" t="s">
        <v>713</v>
      </c>
      <c r="P171" s="441" t="s">
        <v>110</v>
      </c>
    </row>
    <row r="172" spans="1:16">
      <c r="A172" s="387">
        <v>45377</v>
      </c>
      <c r="B172" s="340" t="s">
        <v>256</v>
      </c>
      <c r="C172" s="340" t="s">
        <v>257</v>
      </c>
      <c r="D172" s="340" t="s">
        <v>255</v>
      </c>
      <c r="E172" s="340">
        <v>96</v>
      </c>
      <c r="F172" s="340">
        <v>9</v>
      </c>
      <c r="G172" s="340">
        <v>929.93</v>
      </c>
      <c r="H172" s="347">
        <f t="shared" si="5"/>
        <v>803459.5199999999</v>
      </c>
      <c r="I172" s="340">
        <v>574</v>
      </c>
      <c r="J172" s="441">
        <f t="shared" si="4"/>
        <v>864</v>
      </c>
      <c r="K172" s="685" t="str">
        <f>UPPER((TEXT(Tabla5[[#This Row],[FECHA]],"MMM")))</f>
        <v>MAR</v>
      </c>
      <c r="L172" s="780">
        <f>YEAR(Tabla5[[#This Row],[FECHA]])</f>
        <v>2024</v>
      </c>
      <c r="M172" s="749">
        <v>177</v>
      </c>
      <c r="N172" s="441" t="s">
        <v>678</v>
      </c>
      <c r="O172" s="441" t="s">
        <v>713</v>
      </c>
      <c r="P172" s="441" t="s">
        <v>110</v>
      </c>
    </row>
    <row r="173" spans="1:16">
      <c r="A173" s="387">
        <v>45377</v>
      </c>
      <c r="B173" s="340" t="s">
        <v>263</v>
      </c>
      <c r="C173" s="340" t="s">
        <v>285</v>
      </c>
      <c r="D173" s="340" t="s">
        <v>362</v>
      </c>
      <c r="E173" s="340">
        <v>62</v>
      </c>
      <c r="F173" s="340">
        <v>8</v>
      </c>
      <c r="G173" s="340">
        <v>929.93</v>
      </c>
      <c r="H173" s="347">
        <f t="shared" si="5"/>
        <v>461245.27999999997</v>
      </c>
      <c r="I173" s="340">
        <v>250</v>
      </c>
      <c r="J173" s="441">
        <f t="shared" si="4"/>
        <v>496</v>
      </c>
      <c r="K173" s="685" t="str">
        <f>UPPER((TEXT(Tabla5[[#This Row],[FECHA]],"MMM")))</f>
        <v>MAR</v>
      </c>
      <c r="L173" s="780">
        <f>YEAR(Tabla5[[#This Row],[FECHA]])</f>
        <v>2024</v>
      </c>
      <c r="M173" s="749">
        <v>177</v>
      </c>
      <c r="N173" s="441" t="s">
        <v>675</v>
      </c>
      <c r="O173" s="441" t="s">
        <v>713</v>
      </c>
      <c r="P173" s="441" t="s">
        <v>110</v>
      </c>
    </row>
    <row r="174" spans="1:16">
      <c r="A174" s="387">
        <v>45378</v>
      </c>
      <c r="B174" s="340" t="s">
        <v>253</v>
      </c>
      <c r="C174" s="340" t="s">
        <v>258</v>
      </c>
      <c r="D174" s="340" t="s">
        <v>255</v>
      </c>
      <c r="E174" s="340">
        <v>96</v>
      </c>
      <c r="F174" s="340">
        <v>10</v>
      </c>
      <c r="G174" s="340">
        <v>929.93</v>
      </c>
      <c r="H174" s="347">
        <f t="shared" si="5"/>
        <v>892732.79999999993</v>
      </c>
      <c r="I174" s="340">
        <v>518</v>
      </c>
      <c r="J174" s="441">
        <f t="shared" si="4"/>
        <v>960</v>
      </c>
      <c r="K174" s="685" t="str">
        <f>UPPER((TEXT(Tabla5[[#This Row],[FECHA]],"MMM")))</f>
        <v>MAR</v>
      </c>
      <c r="L174" s="780">
        <f>YEAR(Tabla5[[#This Row],[FECHA]])</f>
        <v>2024</v>
      </c>
      <c r="M174" s="749">
        <v>177</v>
      </c>
      <c r="N174" s="441" t="s">
        <v>678</v>
      </c>
      <c r="O174" s="441" t="s">
        <v>713</v>
      </c>
      <c r="P174" s="441" t="s">
        <v>110</v>
      </c>
    </row>
    <row r="175" spans="1:16">
      <c r="A175" s="387">
        <v>45378</v>
      </c>
      <c r="B175" s="340" t="s">
        <v>263</v>
      </c>
      <c r="C175" s="340" t="s">
        <v>285</v>
      </c>
      <c r="D175" s="340" t="s">
        <v>362</v>
      </c>
      <c r="E175" s="340">
        <v>62</v>
      </c>
      <c r="F175" s="340">
        <v>8</v>
      </c>
      <c r="G175" s="340">
        <v>929.93</v>
      </c>
      <c r="H175" s="347">
        <f t="shared" si="5"/>
        <v>461245.27999999997</v>
      </c>
      <c r="I175" s="340">
        <v>302</v>
      </c>
      <c r="J175" s="441">
        <f t="shared" si="4"/>
        <v>496</v>
      </c>
      <c r="K175" s="685" t="str">
        <f>UPPER((TEXT(Tabla5[[#This Row],[FECHA]],"MMM")))</f>
        <v>MAR</v>
      </c>
      <c r="L175" s="780">
        <f>YEAR(Tabla5[[#This Row],[FECHA]])</f>
        <v>2024</v>
      </c>
      <c r="M175" s="749">
        <v>177</v>
      </c>
      <c r="N175" s="441" t="s">
        <v>675</v>
      </c>
      <c r="O175" s="441" t="s">
        <v>713</v>
      </c>
      <c r="P175" s="441" t="s">
        <v>110</v>
      </c>
    </row>
    <row r="176" spans="1:16">
      <c r="A176" s="387">
        <v>45379</v>
      </c>
      <c r="B176" s="340" t="s">
        <v>289</v>
      </c>
      <c r="C176" s="340" t="s">
        <v>290</v>
      </c>
      <c r="D176" s="340" t="s">
        <v>255</v>
      </c>
      <c r="E176" s="340">
        <v>96</v>
      </c>
      <c r="F176" s="340">
        <v>18</v>
      </c>
      <c r="G176" s="340">
        <v>929.93</v>
      </c>
      <c r="H176" s="347">
        <f t="shared" si="5"/>
        <v>1606919.0399999998</v>
      </c>
      <c r="I176" s="340">
        <v>1544</v>
      </c>
      <c r="J176" s="441">
        <f t="shared" si="4"/>
        <v>1728</v>
      </c>
      <c r="K176" s="685" t="str">
        <f>UPPER((TEXT(Tabla5[[#This Row],[FECHA]],"MMM")))</f>
        <v>MAR</v>
      </c>
      <c r="L176" s="780">
        <f>YEAR(Tabla5[[#This Row],[FECHA]])</f>
        <v>2024</v>
      </c>
      <c r="M176" s="749">
        <v>177</v>
      </c>
      <c r="N176" s="441" t="s">
        <v>678</v>
      </c>
      <c r="O176" s="441" t="s">
        <v>713</v>
      </c>
      <c r="P176" s="441" t="s">
        <v>110</v>
      </c>
    </row>
    <row r="177" spans="1:16">
      <c r="A177" s="387">
        <v>45379</v>
      </c>
      <c r="B177" s="340" t="s">
        <v>263</v>
      </c>
      <c r="C177" s="340" t="s">
        <v>285</v>
      </c>
      <c r="D177" s="340" t="s">
        <v>362</v>
      </c>
      <c r="E177" s="340">
        <v>62</v>
      </c>
      <c r="F177" s="340">
        <v>8</v>
      </c>
      <c r="G177" s="340">
        <v>929.93</v>
      </c>
      <c r="H177" s="347">
        <f t="shared" si="5"/>
        <v>461245.27999999997</v>
      </c>
      <c r="I177" s="340">
        <v>482</v>
      </c>
      <c r="J177" s="441">
        <f t="shared" si="4"/>
        <v>496</v>
      </c>
      <c r="K177" s="685" t="str">
        <f>UPPER((TEXT(Tabla5[[#This Row],[FECHA]],"MMM")))</f>
        <v>MAR</v>
      </c>
      <c r="L177" s="780">
        <f>YEAR(Tabla5[[#This Row],[FECHA]])</f>
        <v>2024</v>
      </c>
      <c r="M177" s="749">
        <v>177</v>
      </c>
      <c r="N177" s="441" t="s">
        <v>675</v>
      </c>
      <c r="O177" s="441" t="s">
        <v>713</v>
      </c>
      <c r="P177" s="441" t="s">
        <v>110</v>
      </c>
    </row>
    <row r="178" spans="1:16">
      <c r="A178" s="387">
        <v>45380</v>
      </c>
      <c r="B178" s="340" t="s">
        <v>253</v>
      </c>
      <c r="C178" s="340" t="s">
        <v>258</v>
      </c>
      <c r="D178" s="340" t="s">
        <v>255</v>
      </c>
      <c r="E178" s="340">
        <v>96</v>
      </c>
      <c r="F178" s="340">
        <v>18</v>
      </c>
      <c r="G178" s="340">
        <v>929.93</v>
      </c>
      <c r="H178" s="347">
        <f t="shared" si="5"/>
        <v>1606919.0399999998</v>
      </c>
      <c r="I178" s="340">
        <v>1566</v>
      </c>
      <c r="J178" s="441">
        <f t="shared" si="4"/>
        <v>1728</v>
      </c>
      <c r="K178" s="685" t="str">
        <f>UPPER((TEXT(Tabla5[[#This Row],[FECHA]],"MMM")))</f>
        <v>MAR</v>
      </c>
      <c r="L178" s="780">
        <f>YEAR(Tabla5[[#This Row],[FECHA]])</f>
        <v>2024</v>
      </c>
      <c r="M178" s="749">
        <v>177</v>
      </c>
      <c r="N178" s="441" t="s">
        <v>678</v>
      </c>
      <c r="O178" s="441" t="s">
        <v>713</v>
      </c>
      <c r="P178" s="441" t="s">
        <v>110</v>
      </c>
    </row>
    <row r="179" spans="1:16">
      <c r="A179" s="387">
        <v>45380</v>
      </c>
      <c r="B179" s="340" t="s">
        <v>263</v>
      </c>
      <c r="C179" s="340" t="s">
        <v>285</v>
      </c>
      <c r="D179" s="340" t="s">
        <v>362</v>
      </c>
      <c r="E179" s="340">
        <v>62</v>
      </c>
      <c r="F179" s="340">
        <v>8</v>
      </c>
      <c r="G179" s="340">
        <v>929.93</v>
      </c>
      <c r="H179" s="347">
        <f t="shared" si="5"/>
        <v>461245.27999999997</v>
      </c>
      <c r="I179" s="340">
        <v>510</v>
      </c>
      <c r="J179" s="441">
        <f t="shared" si="4"/>
        <v>496</v>
      </c>
      <c r="K179" s="685" t="str">
        <f>UPPER((TEXT(Tabla5[[#This Row],[FECHA]],"MMM")))</f>
        <v>MAR</v>
      </c>
      <c r="L179" s="780">
        <f>YEAR(Tabla5[[#This Row],[FECHA]])</f>
        <v>2024</v>
      </c>
      <c r="M179" s="749">
        <v>177</v>
      </c>
      <c r="N179" s="441" t="s">
        <v>675</v>
      </c>
      <c r="O179" s="441" t="s">
        <v>713</v>
      </c>
      <c r="P179" s="441" t="s">
        <v>110</v>
      </c>
    </row>
    <row r="180" spans="1:16">
      <c r="A180" s="387">
        <v>45381</v>
      </c>
      <c r="B180" s="340" t="s">
        <v>253</v>
      </c>
      <c r="C180" s="340" t="s">
        <v>258</v>
      </c>
      <c r="D180" s="340" t="s">
        <v>255</v>
      </c>
      <c r="E180" s="340">
        <v>96</v>
      </c>
      <c r="F180" s="340">
        <v>18</v>
      </c>
      <c r="G180" s="340">
        <v>929.93</v>
      </c>
      <c r="H180" s="347">
        <f t="shared" si="5"/>
        <v>1606919.0399999998</v>
      </c>
      <c r="I180" s="340">
        <v>1606</v>
      </c>
      <c r="J180" s="441">
        <f t="shared" si="4"/>
        <v>1728</v>
      </c>
      <c r="K180" s="685" t="str">
        <f>UPPER((TEXT(Tabla5[[#This Row],[FECHA]],"MMM")))</f>
        <v>MAR</v>
      </c>
      <c r="L180" s="780">
        <f>YEAR(Tabla5[[#This Row],[FECHA]])</f>
        <v>2024</v>
      </c>
      <c r="M180" s="749">
        <v>177</v>
      </c>
      <c r="N180" s="441" t="s">
        <v>678</v>
      </c>
      <c r="O180" s="441" t="s">
        <v>713</v>
      </c>
      <c r="P180" s="441" t="s">
        <v>110</v>
      </c>
    </row>
    <row r="181" spans="1:16">
      <c r="A181" s="387">
        <v>45381</v>
      </c>
      <c r="B181" s="340" t="s">
        <v>263</v>
      </c>
      <c r="C181" s="340" t="s">
        <v>285</v>
      </c>
      <c r="D181" s="340" t="s">
        <v>362</v>
      </c>
      <c r="E181" s="340">
        <v>62</v>
      </c>
      <c r="F181" s="340">
        <v>8</v>
      </c>
      <c r="G181" s="340">
        <v>929.93</v>
      </c>
      <c r="H181" s="347">
        <f t="shared" si="5"/>
        <v>461245.27999999997</v>
      </c>
      <c r="I181" s="340">
        <v>606</v>
      </c>
      <c r="J181" s="441">
        <f t="shared" si="4"/>
        <v>496</v>
      </c>
      <c r="K181" s="685" t="str">
        <f>UPPER((TEXT(Tabla5[[#This Row],[FECHA]],"MMM")))</f>
        <v>MAR</v>
      </c>
      <c r="L181" s="780">
        <f>YEAR(Tabla5[[#This Row],[FECHA]])</f>
        <v>2024</v>
      </c>
      <c r="M181" s="749">
        <v>177</v>
      </c>
      <c r="N181" s="441" t="s">
        <v>675</v>
      </c>
      <c r="O181" s="441" t="s">
        <v>713</v>
      </c>
      <c r="P181" s="441" t="s">
        <v>110</v>
      </c>
    </row>
    <row r="182" spans="1:16">
      <c r="A182" s="391">
        <v>45382</v>
      </c>
      <c r="B182" s="392" t="s">
        <v>289</v>
      </c>
      <c r="C182" s="392" t="s">
        <v>290</v>
      </c>
      <c r="D182" s="392" t="s">
        <v>255</v>
      </c>
      <c r="E182" s="392">
        <v>96</v>
      </c>
      <c r="F182" s="392">
        <v>12</v>
      </c>
      <c r="G182" s="392">
        <v>929.93</v>
      </c>
      <c r="H182" s="393">
        <f t="shared" si="5"/>
        <v>1071279.3599999999</v>
      </c>
      <c r="I182" s="392">
        <v>766</v>
      </c>
      <c r="J182" s="442">
        <f t="shared" si="4"/>
        <v>1152</v>
      </c>
      <c r="K182" s="751" t="str">
        <f>UPPER((TEXT(Tabla5[[#This Row],[FECHA]],"MMM")))</f>
        <v>MAR</v>
      </c>
      <c r="L182" s="780">
        <f>YEAR(Tabla5[[#This Row],[FECHA]])</f>
        <v>2024</v>
      </c>
      <c r="M182" s="749">
        <v>177</v>
      </c>
      <c r="N182" s="441" t="s">
        <v>678</v>
      </c>
      <c r="O182" s="441" t="s">
        <v>713</v>
      </c>
      <c r="P182" s="441" t="s">
        <v>110</v>
      </c>
    </row>
    <row r="183" spans="1:16">
      <c r="A183" s="387">
        <v>45383</v>
      </c>
      <c r="B183" s="340" t="s">
        <v>272</v>
      </c>
      <c r="C183" s="340" t="s">
        <v>278</v>
      </c>
      <c r="D183" s="340" t="s">
        <v>260</v>
      </c>
      <c r="E183" s="340">
        <v>58</v>
      </c>
      <c r="F183" s="340">
        <v>4</v>
      </c>
      <c r="G183" s="340">
        <v>929.93</v>
      </c>
      <c r="H183" s="347">
        <f t="shared" si="5"/>
        <v>215743.75999999998</v>
      </c>
      <c r="I183" s="340">
        <v>163</v>
      </c>
      <c r="J183" s="441">
        <f t="shared" si="4"/>
        <v>232</v>
      </c>
      <c r="K183" s="685" t="str">
        <f>UPPER((TEXT(Tabla5[[#This Row],[FECHA]],"MMM")))</f>
        <v>ABR</v>
      </c>
      <c r="L183" s="780">
        <f>YEAR(Tabla5[[#This Row],[FECHA]])</f>
        <v>2024</v>
      </c>
      <c r="M183" s="749">
        <v>201</v>
      </c>
      <c r="N183" s="441" t="s">
        <v>679</v>
      </c>
      <c r="O183" s="441" t="s">
        <v>712</v>
      </c>
      <c r="P183" s="441" t="s">
        <v>110</v>
      </c>
    </row>
    <row r="184" spans="1:16">
      <c r="A184" s="387">
        <v>45383</v>
      </c>
      <c r="B184" s="340" t="s">
        <v>286</v>
      </c>
      <c r="C184" s="340" t="s">
        <v>258</v>
      </c>
      <c r="D184" s="340" t="s">
        <v>265</v>
      </c>
      <c r="E184" s="340">
        <v>76</v>
      </c>
      <c r="F184" s="340">
        <v>9</v>
      </c>
      <c r="G184" s="340">
        <v>929.93</v>
      </c>
      <c r="H184" s="347">
        <f t="shared" si="5"/>
        <v>636072.12</v>
      </c>
      <c r="I184" s="340">
        <v>910</v>
      </c>
      <c r="J184" s="441">
        <f t="shared" si="4"/>
        <v>684</v>
      </c>
      <c r="K184" s="685" t="str">
        <f>UPPER((TEXT(Tabla5[[#This Row],[FECHA]],"MMM")))</f>
        <v>ABR</v>
      </c>
      <c r="L184" s="780">
        <f>YEAR(Tabla5[[#This Row],[FECHA]])</f>
        <v>2024</v>
      </c>
      <c r="M184" s="749">
        <v>201</v>
      </c>
      <c r="N184" s="441" t="s">
        <v>676</v>
      </c>
      <c r="O184" s="441" t="s">
        <v>712</v>
      </c>
      <c r="P184" s="441" t="s">
        <v>110</v>
      </c>
    </row>
    <row r="185" spans="1:16">
      <c r="A185" s="387">
        <v>45383</v>
      </c>
      <c r="B185" s="340" t="s">
        <v>291</v>
      </c>
      <c r="C185" s="340" t="s">
        <v>280</v>
      </c>
      <c r="D185" s="340" t="s">
        <v>260</v>
      </c>
      <c r="E185" s="340">
        <v>58</v>
      </c>
      <c r="F185" s="340">
        <v>4</v>
      </c>
      <c r="G185" s="340">
        <v>929.93</v>
      </c>
      <c r="H185" s="347">
        <f t="shared" si="5"/>
        <v>215743.75999999998</v>
      </c>
      <c r="I185" s="340">
        <v>588</v>
      </c>
      <c r="J185" s="441">
        <f t="shared" si="4"/>
        <v>232</v>
      </c>
      <c r="K185" s="685" t="str">
        <f>UPPER((TEXT(Tabla5[[#This Row],[FECHA]],"MMM")))</f>
        <v>ABR</v>
      </c>
      <c r="L185" s="780">
        <f>YEAR(Tabla5[[#This Row],[FECHA]])</f>
        <v>2024</v>
      </c>
      <c r="M185" s="749">
        <v>201</v>
      </c>
      <c r="N185" s="441" t="s">
        <v>680</v>
      </c>
      <c r="O185" s="441" t="s">
        <v>712</v>
      </c>
      <c r="P185" s="441" t="s">
        <v>110</v>
      </c>
    </row>
    <row r="186" spans="1:16">
      <c r="A186" s="387">
        <v>45384</v>
      </c>
      <c r="B186" s="340" t="s">
        <v>272</v>
      </c>
      <c r="C186" s="340" t="s">
        <v>278</v>
      </c>
      <c r="D186" s="340" t="s">
        <v>260</v>
      </c>
      <c r="E186" s="340">
        <v>58</v>
      </c>
      <c r="F186" s="340">
        <v>4</v>
      </c>
      <c r="G186" s="340">
        <v>929.93</v>
      </c>
      <c r="H186" s="347">
        <f t="shared" si="5"/>
        <v>215743.75999999998</v>
      </c>
      <c r="I186" s="340">
        <v>189</v>
      </c>
      <c r="J186" s="441">
        <f t="shared" si="4"/>
        <v>232</v>
      </c>
      <c r="K186" s="685" t="str">
        <f>UPPER((TEXT(Tabla5[[#This Row],[FECHA]],"MMM")))</f>
        <v>ABR</v>
      </c>
      <c r="L186" s="780">
        <f>YEAR(Tabla5[[#This Row],[FECHA]])</f>
        <v>2024</v>
      </c>
      <c r="M186" s="749">
        <v>201</v>
      </c>
      <c r="N186" s="441" t="s">
        <v>679</v>
      </c>
      <c r="O186" s="441" t="s">
        <v>712</v>
      </c>
      <c r="P186" s="441" t="s">
        <v>110</v>
      </c>
    </row>
    <row r="187" spans="1:16">
      <c r="A187" s="387">
        <v>45384</v>
      </c>
      <c r="B187" s="340" t="s">
        <v>358</v>
      </c>
      <c r="C187" s="340" t="s">
        <v>264</v>
      </c>
      <c r="D187" s="340" t="s">
        <v>265</v>
      </c>
      <c r="E187" s="340">
        <v>76</v>
      </c>
      <c r="F187" s="340">
        <v>9</v>
      </c>
      <c r="G187" s="340">
        <v>929.93</v>
      </c>
      <c r="H187" s="347">
        <f t="shared" si="5"/>
        <v>636072.12</v>
      </c>
      <c r="I187" s="340">
        <v>1299</v>
      </c>
      <c r="J187" s="441">
        <f t="shared" si="4"/>
        <v>684</v>
      </c>
      <c r="K187" s="685" t="str">
        <f>UPPER((TEXT(Tabla5[[#This Row],[FECHA]],"MMM")))</f>
        <v>ABR</v>
      </c>
      <c r="L187" s="780">
        <f>YEAR(Tabla5[[#This Row],[FECHA]])</f>
        <v>2024</v>
      </c>
      <c r="M187" s="749">
        <v>201</v>
      </c>
      <c r="N187" s="441" t="s">
        <v>676</v>
      </c>
      <c r="O187" s="441" t="s">
        <v>712</v>
      </c>
      <c r="P187" s="441" t="s">
        <v>110</v>
      </c>
    </row>
    <row r="188" spans="1:16">
      <c r="A188" s="387">
        <v>45384</v>
      </c>
      <c r="B188" s="340" t="s">
        <v>403</v>
      </c>
      <c r="C188" s="340" t="s">
        <v>404</v>
      </c>
      <c r="D188" s="340" t="s">
        <v>260</v>
      </c>
      <c r="E188" s="340">
        <v>58</v>
      </c>
      <c r="F188" s="340">
        <v>5</v>
      </c>
      <c r="G188" s="340">
        <v>929.93</v>
      </c>
      <c r="H188" s="347">
        <f t="shared" si="5"/>
        <v>269679.7</v>
      </c>
      <c r="I188" s="340">
        <v>666</v>
      </c>
      <c r="J188" s="441">
        <f t="shared" si="4"/>
        <v>290</v>
      </c>
      <c r="K188" s="685" t="str">
        <f>UPPER((TEXT(Tabla5[[#This Row],[FECHA]],"MMM")))</f>
        <v>ABR</v>
      </c>
      <c r="L188" s="780">
        <f>YEAR(Tabla5[[#This Row],[FECHA]])</f>
        <v>2024</v>
      </c>
      <c r="M188" s="749">
        <v>201</v>
      </c>
      <c r="N188" s="441" t="s">
        <v>680</v>
      </c>
      <c r="O188" s="441" t="s">
        <v>712</v>
      </c>
      <c r="P188" s="441" t="s">
        <v>110</v>
      </c>
    </row>
    <row r="189" spans="1:16">
      <c r="A189" s="387">
        <v>45385</v>
      </c>
      <c r="B189" s="340" t="s">
        <v>272</v>
      </c>
      <c r="C189" s="340" t="s">
        <v>278</v>
      </c>
      <c r="D189" s="340" t="s">
        <v>260</v>
      </c>
      <c r="E189" s="340">
        <v>58</v>
      </c>
      <c r="F189" s="340">
        <v>4</v>
      </c>
      <c r="G189" s="340">
        <v>929.93</v>
      </c>
      <c r="H189" s="347">
        <f t="shared" si="5"/>
        <v>215743.75999999998</v>
      </c>
      <c r="I189" s="340">
        <v>174</v>
      </c>
      <c r="J189" s="441">
        <f t="shared" si="4"/>
        <v>232</v>
      </c>
      <c r="K189" s="685" t="str">
        <f>UPPER((TEXT(Tabla5[[#This Row],[FECHA]],"MMM")))</f>
        <v>ABR</v>
      </c>
      <c r="L189" s="780">
        <f>YEAR(Tabla5[[#This Row],[FECHA]])</f>
        <v>2024</v>
      </c>
      <c r="M189" s="749">
        <v>201</v>
      </c>
      <c r="N189" s="441" t="s">
        <v>679</v>
      </c>
      <c r="O189" s="441" t="s">
        <v>712</v>
      </c>
      <c r="P189" s="441" t="s">
        <v>110</v>
      </c>
    </row>
    <row r="190" spans="1:16">
      <c r="A190" s="387">
        <v>45385</v>
      </c>
      <c r="B190" s="340" t="s">
        <v>358</v>
      </c>
      <c r="C190" s="340" t="s">
        <v>264</v>
      </c>
      <c r="D190" s="340" t="s">
        <v>265</v>
      </c>
      <c r="E190" s="340">
        <v>76</v>
      </c>
      <c r="F190" s="340">
        <v>11</v>
      </c>
      <c r="G190" s="340">
        <v>929.93</v>
      </c>
      <c r="H190" s="347">
        <f t="shared" si="5"/>
        <v>777421.48</v>
      </c>
      <c r="I190" s="340">
        <v>1346</v>
      </c>
      <c r="J190" s="441">
        <f t="shared" si="4"/>
        <v>836</v>
      </c>
      <c r="K190" s="685" t="str">
        <f>UPPER((TEXT(Tabla5[[#This Row],[FECHA]],"MMM")))</f>
        <v>ABR</v>
      </c>
      <c r="L190" s="780">
        <f>YEAR(Tabla5[[#This Row],[FECHA]])</f>
        <v>2024</v>
      </c>
      <c r="M190" s="749">
        <v>201</v>
      </c>
      <c r="N190" s="441" t="s">
        <v>676</v>
      </c>
      <c r="O190" s="441" t="s">
        <v>712</v>
      </c>
      <c r="P190" s="441" t="s">
        <v>110</v>
      </c>
    </row>
    <row r="191" spans="1:16">
      <c r="A191" s="387">
        <v>45385</v>
      </c>
      <c r="B191" s="340" t="s">
        <v>403</v>
      </c>
      <c r="C191" s="340" t="s">
        <v>404</v>
      </c>
      <c r="D191" s="340" t="s">
        <v>260</v>
      </c>
      <c r="E191" s="340">
        <v>58</v>
      </c>
      <c r="F191" s="340">
        <v>5</v>
      </c>
      <c r="G191" s="340">
        <v>929.93</v>
      </c>
      <c r="H191" s="347">
        <f t="shared" si="5"/>
        <v>269679.7</v>
      </c>
      <c r="I191" s="340">
        <v>760</v>
      </c>
      <c r="J191" s="441">
        <f t="shared" si="4"/>
        <v>290</v>
      </c>
      <c r="K191" s="685" t="str">
        <f>UPPER((TEXT(Tabla5[[#This Row],[FECHA]],"MMM")))</f>
        <v>ABR</v>
      </c>
      <c r="L191" s="780">
        <f>YEAR(Tabla5[[#This Row],[FECHA]])</f>
        <v>2024</v>
      </c>
      <c r="M191" s="749">
        <v>201</v>
      </c>
      <c r="N191" s="441" t="s">
        <v>680</v>
      </c>
      <c r="O191" s="441" t="s">
        <v>712</v>
      </c>
      <c r="P191" s="441" t="s">
        <v>110</v>
      </c>
    </row>
    <row r="192" spans="1:16">
      <c r="A192" s="387">
        <v>45386</v>
      </c>
      <c r="B192" s="340" t="s">
        <v>272</v>
      </c>
      <c r="C192" s="340" t="s">
        <v>278</v>
      </c>
      <c r="D192" s="340" t="s">
        <v>260</v>
      </c>
      <c r="E192" s="340">
        <v>58</v>
      </c>
      <c r="F192" s="340">
        <v>4</v>
      </c>
      <c r="G192" s="340">
        <v>929.93</v>
      </c>
      <c r="H192" s="347">
        <f t="shared" si="5"/>
        <v>215743.75999999998</v>
      </c>
      <c r="I192" s="340">
        <v>196</v>
      </c>
      <c r="J192" s="441">
        <f t="shared" si="4"/>
        <v>232</v>
      </c>
      <c r="K192" s="685" t="str">
        <f>UPPER((TEXT(Tabla5[[#This Row],[FECHA]],"MMM")))</f>
        <v>ABR</v>
      </c>
      <c r="L192" s="780">
        <f>YEAR(Tabla5[[#This Row],[FECHA]])</f>
        <v>2024</v>
      </c>
      <c r="M192" s="749">
        <v>201</v>
      </c>
      <c r="N192" s="441" t="s">
        <v>679</v>
      </c>
      <c r="O192" s="441" t="s">
        <v>712</v>
      </c>
      <c r="P192" s="441" t="s">
        <v>110</v>
      </c>
    </row>
    <row r="193" spans="1:16">
      <c r="A193" s="387">
        <v>45386</v>
      </c>
      <c r="B193" s="340" t="s">
        <v>358</v>
      </c>
      <c r="C193" s="340" t="s">
        <v>264</v>
      </c>
      <c r="D193" s="340" t="s">
        <v>265</v>
      </c>
      <c r="E193" s="340">
        <v>76</v>
      </c>
      <c r="F193" s="340">
        <v>9</v>
      </c>
      <c r="G193" s="340">
        <v>929.93</v>
      </c>
      <c r="H193" s="347">
        <f t="shared" si="5"/>
        <v>636072.12</v>
      </c>
      <c r="I193" s="340">
        <v>959</v>
      </c>
      <c r="J193" s="441">
        <f t="shared" si="4"/>
        <v>684</v>
      </c>
      <c r="K193" s="685" t="str">
        <f>UPPER((TEXT(Tabla5[[#This Row],[FECHA]],"MMM")))</f>
        <v>ABR</v>
      </c>
      <c r="L193" s="780">
        <f>YEAR(Tabla5[[#This Row],[FECHA]])</f>
        <v>2024</v>
      </c>
      <c r="M193" s="749">
        <v>201</v>
      </c>
      <c r="N193" s="441" t="s">
        <v>676</v>
      </c>
      <c r="O193" s="441" t="s">
        <v>712</v>
      </c>
      <c r="P193" s="441" t="s">
        <v>110</v>
      </c>
    </row>
    <row r="194" spans="1:16">
      <c r="A194" s="387">
        <v>45386</v>
      </c>
      <c r="B194" s="340" t="s">
        <v>403</v>
      </c>
      <c r="C194" s="340" t="s">
        <v>404</v>
      </c>
      <c r="D194" s="340" t="s">
        <v>260</v>
      </c>
      <c r="E194" s="340">
        <v>58</v>
      </c>
      <c r="F194" s="340">
        <v>5</v>
      </c>
      <c r="G194" s="340">
        <v>929.93</v>
      </c>
      <c r="H194" s="347">
        <f t="shared" si="5"/>
        <v>269679.7</v>
      </c>
      <c r="I194" s="340">
        <v>575</v>
      </c>
      <c r="J194" s="441">
        <f t="shared" ref="J194:J257" si="6">E194*F194</f>
        <v>290</v>
      </c>
      <c r="K194" s="685" t="str">
        <f>UPPER((TEXT(Tabla5[[#This Row],[FECHA]],"MMM")))</f>
        <v>ABR</v>
      </c>
      <c r="L194" s="780">
        <f>YEAR(Tabla5[[#This Row],[FECHA]])</f>
        <v>2024</v>
      </c>
      <c r="M194" s="749">
        <v>201</v>
      </c>
      <c r="N194" s="441" t="s">
        <v>680</v>
      </c>
      <c r="O194" s="441" t="s">
        <v>712</v>
      </c>
      <c r="P194" s="441" t="s">
        <v>110</v>
      </c>
    </row>
    <row r="195" spans="1:16">
      <c r="A195" s="387">
        <v>45387</v>
      </c>
      <c r="B195" s="340" t="s">
        <v>269</v>
      </c>
      <c r="C195" s="340" t="s">
        <v>270</v>
      </c>
      <c r="D195" s="340" t="s">
        <v>260</v>
      </c>
      <c r="E195" s="340">
        <v>58</v>
      </c>
      <c r="F195" s="340">
        <v>4</v>
      </c>
      <c r="G195" s="340">
        <v>929.93</v>
      </c>
      <c r="H195" s="347">
        <f t="shared" si="5"/>
        <v>215743.75999999998</v>
      </c>
      <c r="I195" s="340">
        <v>160</v>
      </c>
      <c r="J195" s="441">
        <f t="shared" si="6"/>
        <v>232</v>
      </c>
      <c r="K195" s="685" t="str">
        <f>UPPER((TEXT(Tabla5[[#This Row],[FECHA]],"MMM")))</f>
        <v>ABR</v>
      </c>
      <c r="L195" s="780">
        <f>YEAR(Tabla5[[#This Row],[FECHA]])</f>
        <v>2024</v>
      </c>
      <c r="M195" s="749">
        <v>201</v>
      </c>
      <c r="N195" s="441" t="s">
        <v>679</v>
      </c>
      <c r="O195" s="441" t="s">
        <v>712</v>
      </c>
      <c r="P195" s="441" t="s">
        <v>110</v>
      </c>
    </row>
    <row r="196" spans="1:16">
      <c r="A196" s="387">
        <v>45387</v>
      </c>
      <c r="B196" s="340" t="s">
        <v>358</v>
      </c>
      <c r="C196" s="340" t="s">
        <v>264</v>
      </c>
      <c r="D196" s="340" t="s">
        <v>265</v>
      </c>
      <c r="E196" s="340">
        <v>76</v>
      </c>
      <c r="F196" s="340">
        <v>9</v>
      </c>
      <c r="G196" s="340">
        <v>929.93</v>
      </c>
      <c r="H196" s="347">
        <f t="shared" si="5"/>
        <v>636072.12</v>
      </c>
      <c r="I196" s="340">
        <v>1329</v>
      </c>
      <c r="J196" s="441">
        <f t="shared" si="6"/>
        <v>684</v>
      </c>
      <c r="K196" s="685" t="str">
        <f>UPPER((TEXT(Tabla5[[#This Row],[FECHA]],"MMM")))</f>
        <v>ABR</v>
      </c>
      <c r="L196" s="780">
        <f>YEAR(Tabla5[[#This Row],[FECHA]])</f>
        <v>2024</v>
      </c>
      <c r="M196" s="749">
        <v>201</v>
      </c>
      <c r="N196" s="441" t="s">
        <v>676</v>
      </c>
      <c r="O196" s="441" t="s">
        <v>712</v>
      </c>
      <c r="P196" s="441" t="s">
        <v>110</v>
      </c>
    </row>
    <row r="197" spans="1:16">
      <c r="A197" s="387">
        <v>45387</v>
      </c>
      <c r="B197" s="340" t="s">
        <v>403</v>
      </c>
      <c r="C197" s="340" t="s">
        <v>404</v>
      </c>
      <c r="D197" s="340" t="s">
        <v>260</v>
      </c>
      <c r="E197" s="340">
        <v>58</v>
      </c>
      <c r="F197" s="340">
        <v>6</v>
      </c>
      <c r="G197" s="340">
        <v>929.93</v>
      </c>
      <c r="H197" s="347">
        <f t="shared" si="5"/>
        <v>323615.63999999996</v>
      </c>
      <c r="I197" s="340">
        <v>277</v>
      </c>
      <c r="J197" s="441">
        <f t="shared" si="6"/>
        <v>348</v>
      </c>
      <c r="K197" s="685" t="str">
        <f>UPPER((TEXT(Tabla5[[#This Row],[FECHA]],"MMM")))</f>
        <v>ABR</v>
      </c>
      <c r="L197" s="780">
        <f>YEAR(Tabla5[[#This Row],[FECHA]])</f>
        <v>2024</v>
      </c>
      <c r="M197" s="749">
        <v>201</v>
      </c>
      <c r="N197" s="441" t="s">
        <v>680</v>
      </c>
      <c r="O197" s="441" t="s">
        <v>712</v>
      </c>
      <c r="P197" s="441" t="s">
        <v>110</v>
      </c>
    </row>
    <row r="198" spans="1:16">
      <c r="A198" s="387">
        <v>45388</v>
      </c>
      <c r="B198" s="340" t="s">
        <v>272</v>
      </c>
      <c r="C198" s="340" t="s">
        <v>282</v>
      </c>
      <c r="D198" s="340" t="s">
        <v>265</v>
      </c>
      <c r="E198" s="340">
        <v>76</v>
      </c>
      <c r="F198" s="340">
        <v>3</v>
      </c>
      <c r="G198" s="340">
        <v>929.93</v>
      </c>
      <c r="H198" s="347">
        <f t="shared" ref="H198:H261" si="7">E198*F198*G198</f>
        <v>212024.03999999998</v>
      </c>
      <c r="I198" s="340">
        <v>425</v>
      </c>
      <c r="J198" s="441">
        <f t="shared" si="6"/>
        <v>228</v>
      </c>
      <c r="K198" s="685" t="str">
        <f>UPPER((TEXT(Tabla5[[#This Row],[FECHA]],"MMM")))</f>
        <v>ABR</v>
      </c>
      <c r="L198" s="780">
        <f>YEAR(Tabla5[[#This Row],[FECHA]])</f>
        <v>2024</v>
      </c>
      <c r="M198" s="749">
        <v>201</v>
      </c>
      <c r="N198" s="441" t="s">
        <v>676</v>
      </c>
      <c r="O198" s="441" t="s">
        <v>712</v>
      </c>
      <c r="P198" s="441" t="s">
        <v>110</v>
      </c>
    </row>
    <row r="199" spans="1:16">
      <c r="A199" s="387">
        <v>45388</v>
      </c>
      <c r="B199" s="340" t="s">
        <v>295</v>
      </c>
      <c r="C199" s="340" t="s">
        <v>276</v>
      </c>
      <c r="D199" s="340" t="s">
        <v>405</v>
      </c>
      <c r="E199" s="340">
        <v>96</v>
      </c>
      <c r="F199" s="340">
        <v>10</v>
      </c>
      <c r="G199" s="340">
        <v>929.93</v>
      </c>
      <c r="H199" s="347">
        <f t="shared" si="7"/>
        <v>892732.79999999993</v>
      </c>
      <c r="I199" s="340">
        <v>546</v>
      </c>
      <c r="J199" s="441">
        <f t="shared" si="6"/>
        <v>960</v>
      </c>
      <c r="K199" s="685" t="str">
        <f>UPPER((TEXT(Tabla5[[#This Row],[FECHA]],"MMM")))</f>
        <v>ABR</v>
      </c>
      <c r="L199" s="780">
        <f>YEAR(Tabla5[[#This Row],[FECHA]])</f>
        <v>2024</v>
      </c>
      <c r="M199" s="749">
        <v>201</v>
      </c>
      <c r="N199" s="441" t="s">
        <v>678</v>
      </c>
      <c r="O199" s="441" t="s">
        <v>713</v>
      </c>
      <c r="P199" s="441" t="s">
        <v>110</v>
      </c>
    </row>
    <row r="200" spans="1:16">
      <c r="A200" s="387">
        <v>45389</v>
      </c>
      <c r="B200" s="340" t="s">
        <v>256</v>
      </c>
      <c r="C200" s="340" t="s">
        <v>257</v>
      </c>
      <c r="D200" s="340" t="s">
        <v>405</v>
      </c>
      <c r="E200" s="340">
        <v>96</v>
      </c>
      <c r="F200" s="340">
        <v>9</v>
      </c>
      <c r="G200" s="340">
        <v>929.93</v>
      </c>
      <c r="H200" s="347">
        <f t="shared" si="7"/>
        <v>803459.5199999999</v>
      </c>
      <c r="I200" s="340">
        <v>714</v>
      </c>
      <c r="J200" s="441">
        <f t="shared" si="6"/>
        <v>864</v>
      </c>
      <c r="K200" s="685" t="str">
        <f>UPPER((TEXT(Tabla5[[#This Row],[FECHA]],"MMM")))</f>
        <v>ABR</v>
      </c>
      <c r="L200" s="780">
        <f>YEAR(Tabla5[[#This Row],[FECHA]])</f>
        <v>2024</v>
      </c>
      <c r="M200" s="749">
        <v>201</v>
      </c>
      <c r="N200" s="441" t="s">
        <v>678</v>
      </c>
      <c r="O200" s="441" t="s">
        <v>713</v>
      </c>
      <c r="P200" s="441" t="s">
        <v>110</v>
      </c>
    </row>
    <row r="201" spans="1:16">
      <c r="A201" s="386">
        <v>45390</v>
      </c>
      <c r="B201" s="340" t="s">
        <v>272</v>
      </c>
      <c r="C201" s="340" t="s">
        <v>278</v>
      </c>
      <c r="D201" s="340" t="s">
        <v>260</v>
      </c>
      <c r="E201" s="340">
        <v>58</v>
      </c>
      <c r="F201" s="340">
        <v>4</v>
      </c>
      <c r="G201" s="340">
        <v>929.93</v>
      </c>
      <c r="H201" s="347">
        <f t="shared" si="7"/>
        <v>215743.75999999998</v>
      </c>
      <c r="I201" s="340">
        <v>177</v>
      </c>
      <c r="J201" s="441">
        <f t="shared" si="6"/>
        <v>232</v>
      </c>
      <c r="K201" s="685" t="str">
        <f>UPPER((TEXT(Tabla5[[#This Row],[FECHA]],"MMM")))</f>
        <v>ABR</v>
      </c>
      <c r="L201" s="780">
        <f>YEAR(Tabla5[[#This Row],[FECHA]])</f>
        <v>2024</v>
      </c>
      <c r="M201" s="749">
        <v>201</v>
      </c>
      <c r="N201" s="441" t="s">
        <v>679</v>
      </c>
      <c r="O201" s="441" t="s">
        <v>712</v>
      </c>
      <c r="P201" s="441" t="s">
        <v>110</v>
      </c>
    </row>
    <row r="202" spans="1:16">
      <c r="A202" s="386">
        <v>45390</v>
      </c>
      <c r="B202" s="340" t="s">
        <v>295</v>
      </c>
      <c r="C202" s="340" t="s">
        <v>258</v>
      </c>
      <c r="D202" s="340" t="s">
        <v>265</v>
      </c>
      <c r="E202" s="340">
        <v>76</v>
      </c>
      <c r="F202" s="340">
        <v>9</v>
      </c>
      <c r="G202" s="340">
        <v>929.93</v>
      </c>
      <c r="H202" s="347">
        <f t="shared" si="7"/>
        <v>636072.12</v>
      </c>
      <c r="I202" s="340">
        <v>938</v>
      </c>
      <c r="J202" s="441">
        <f t="shared" si="6"/>
        <v>684</v>
      </c>
      <c r="K202" s="685" t="str">
        <f>UPPER((TEXT(Tabla5[[#This Row],[FECHA]],"MMM")))</f>
        <v>ABR</v>
      </c>
      <c r="L202" s="780">
        <f>YEAR(Tabla5[[#This Row],[FECHA]])</f>
        <v>2024</v>
      </c>
      <c r="M202" s="749">
        <v>201</v>
      </c>
      <c r="N202" s="441" t="s">
        <v>676</v>
      </c>
      <c r="O202" s="441" t="s">
        <v>712</v>
      </c>
      <c r="P202" s="441" t="s">
        <v>110</v>
      </c>
    </row>
    <row r="203" spans="1:16">
      <c r="A203" s="386">
        <v>45390</v>
      </c>
      <c r="B203" s="340" t="s">
        <v>291</v>
      </c>
      <c r="C203" s="340" t="s">
        <v>280</v>
      </c>
      <c r="D203" s="340" t="s">
        <v>260</v>
      </c>
      <c r="E203" s="340">
        <v>58</v>
      </c>
      <c r="F203" s="340">
        <v>4</v>
      </c>
      <c r="G203" s="340">
        <v>929.93</v>
      </c>
      <c r="H203" s="347">
        <f t="shared" si="7"/>
        <v>215743.75999999998</v>
      </c>
      <c r="I203" s="340">
        <v>547</v>
      </c>
      <c r="J203" s="441">
        <f t="shared" si="6"/>
        <v>232</v>
      </c>
      <c r="K203" s="685" t="str">
        <f>UPPER((TEXT(Tabla5[[#This Row],[FECHA]],"MMM")))</f>
        <v>ABR</v>
      </c>
      <c r="L203" s="780">
        <f>YEAR(Tabla5[[#This Row],[FECHA]])</f>
        <v>2024</v>
      </c>
      <c r="M203" s="749">
        <v>201</v>
      </c>
      <c r="N203" s="441" t="s">
        <v>680</v>
      </c>
      <c r="O203" s="441" t="s">
        <v>712</v>
      </c>
      <c r="P203" s="441" t="s">
        <v>110</v>
      </c>
    </row>
    <row r="204" spans="1:16">
      <c r="A204" s="386">
        <v>45391</v>
      </c>
      <c r="B204" s="340" t="s">
        <v>272</v>
      </c>
      <c r="C204" s="340" t="s">
        <v>278</v>
      </c>
      <c r="D204" s="340" t="s">
        <v>260</v>
      </c>
      <c r="E204" s="340">
        <v>58</v>
      </c>
      <c r="F204" s="340">
        <v>4</v>
      </c>
      <c r="G204" s="340">
        <v>929.93</v>
      </c>
      <c r="H204" s="347">
        <f t="shared" si="7"/>
        <v>215743.75999999998</v>
      </c>
      <c r="I204" s="340">
        <v>204</v>
      </c>
      <c r="J204" s="441">
        <f t="shared" si="6"/>
        <v>232</v>
      </c>
      <c r="K204" s="685" t="str">
        <f>UPPER((TEXT(Tabla5[[#This Row],[FECHA]],"MMM")))</f>
        <v>ABR</v>
      </c>
      <c r="L204" s="780">
        <f>YEAR(Tabla5[[#This Row],[FECHA]])</f>
        <v>2024</v>
      </c>
      <c r="M204" s="749">
        <v>201</v>
      </c>
      <c r="N204" s="441" t="s">
        <v>679</v>
      </c>
      <c r="O204" s="441" t="s">
        <v>712</v>
      </c>
      <c r="P204" s="441" t="s">
        <v>110</v>
      </c>
    </row>
    <row r="205" spans="1:16">
      <c r="A205" s="386">
        <v>45391</v>
      </c>
      <c r="B205" s="340" t="s">
        <v>263</v>
      </c>
      <c r="C205" s="340" t="s">
        <v>264</v>
      </c>
      <c r="D205" s="340" t="s">
        <v>265</v>
      </c>
      <c r="E205" s="340">
        <v>76</v>
      </c>
      <c r="F205" s="340">
        <v>10</v>
      </c>
      <c r="G205" s="340">
        <v>929.93</v>
      </c>
      <c r="H205" s="347">
        <f t="shared" si="7"/>
        <v>706746.79999999993</v>
      </c>
      <c r="I205" s="340">
        <v>1163</v>
      </c>
      <c r="J205" s="441">
        <f t="shared" si="6"/>
        <v>760</v>
      </c>
      <c r="K205" s="685" t="str">
        <f>UPPER((TEXT(Tabla5[[#This Row],[FECHA]],"MMM")))</f>
        <v>ABR</v>
      </c>
      <c r="L205" s="780">
        <f>YEAR(Tabla5[[#This Row],[FECHA]])</f>
        <v>2024</v>
      </c>
      <c r="M205" s="749">
        <v>201</v>
      </c>
      <c r="N205" s="441" t="s">
        <v>676</v>
      </c>
      <c r="O205" s="441" t="s">
        <v>712</v>
      </c>
      <c r="P205" s="441" t="s">
        <v>110</v>
      </c>
    </row>
    <row r="206" spans="1:16">
      <c r="A206" s="386">
        <v>45391</v>
      </c>
      <c r="B206" s="340" t="s">
        <v>406</v>
      </c>
      <c r="C206" s="340" t="s">
        <v>259</v>
      </c>
      <c r="D206" s="340" t="s">
        <v>260</v>
      </c>
      <c r="E206" s="340">
        <v>58</v>
      </c>
      <c r="F206" s="340">
        <v>5</v>
      </c>
      <c r="G206" s="340">
        <v>929.93</v>
      </c>
      <c r="H206" s="347">
        <f t="shared" si="7"/>
        <v>269679.7</v>
      </c>
      <c r="I206" s="340">
        <v>664</v>
      </c>
      <c r="J206" s="441">
        <f t="shared" si="6"/>
        <v>290</v>
      </c>
      <c r="K206" s="685" t="str">
        <f>UPPER((TEXT(Tabla5[[#This Row],[FECHA]],"MMM")))</f>
        <v>ABR</v>
      </c>
      <c r="L206" s="780">
        <f>YEAR(Tabla5[[#This Row],[FECHA]])</f>
        <v>2024</v>
      </c>
      <c r="M206" s="749">
        <v>201</v>
      </c>
      <c r="N206" s="441" t="s">
        <v>680</v>
      </c>
      <c r="O206" s="441" t="s">
        <v>712</v>
      </c>
      <c r="P206" s="441" t="s">
        <v>110</v>
      </c>
    </row>
    <row r="207" spans="1:16">
      <c r="A207" s="386">
        <v>45392</v>
      </c>
      <c r="B207" s="340" t="s">
        <v>272</v>
      </c>
      <c r="C207" s="340" t="s">
        <v>278</v>
      </c>
      <c r="D207" s="340" t="s">
        <v>260</v>
      </c>
      <c r="E207" s="340">
        <v>58</v>
      </c>
      <c r="F207" s="340">
        <v>4</v>
      </c>
      <c r="G207" s="340">
        <v>929.93</v>
      </c>
      <c r="H207" s="347">
        <f t="shared" si="7"/>
        <v>215743.75999999998</v>
      </c>
      <c r="I207" s="340">
        <v>185</v>
      </c>
      <c r="J207" s="441">
        <f t="shared" si="6"/>
        <v>232</v>
      </c>
      <c r="K207" s="685" t="str">
        <f>UPPER((TEXT(Tabla5[[#This Row],[FECHA]],"MMM")))</f>
        <v>ABR</v>
      </c>
      <c r="L207" s="780">
        <f>YEAR(Tabla5[[#This Row],[FECHA]])</f>
        <v>2024</v>
      </c>
      <c r="M207" s="749">
        <v>201</v>
      </c>
      <c r="N207" s="441" t="s">
        <v>679</v>
      </c>
      <c r="O207" s="441" t="s">
        <v>712</v>
      </c>
      <c r="P207" s="441" t="s">
        <v>110</v>
      </c>
    </row>
    <row r="208" spans="1:16">
      <c r="A208" s="386">
        <v>45392</v>
      </c>
      <c r="B208" s="340" t="s">
        <v>263</v>
      </c>
      <c r="C208" s="340" t="s">
        <v>264</v>
      </c>
      <c r="D208" s="340" t="s">
        <v>265</v>
      </c>
      <c r="E208" s="340">
        <v>76</v>
      </c>
      <c r="F208" s="340">
        <v>10</v>
      </c>
      <c r="G208" s="340">
        <v>929.93</v>
      </c>
      <c r="H208" s="347">
        <f t="shared" si="7"/>
        <v>706746.79999999993</v>
      </c>
      <c r="I208" s="340">
        <v>1257</v>
      </c>
      <c r="J208" s="441">
        <f t="shared" si="6"/>
        <v>760</v>
      </c>
      <c r="K208" s="685" t="str">
        <f>UPPER((TEXT(Tabla5[[#This Row],[FECHA]],"MMM")))</f>
        <v>ABR</v>
      </c>
      <c r="L208" s="780">
        <f>YEAR(Tabla5[[#This Row],[FECHA]])</f>
        <v>2024</v>
      </c>
      <c r="M208" s="749">
        <v>201</v>
      </c>
      <c r="N208" s="441" t="s">
        <v>676</v>
      </c>
      <c r="O208" s="441" t="s">
        <v>712</v>
      </c>
      <c r="P208" s="441" t="s">
        <v>110</v>
      </c>
    </row>
    <row r="209" spans="1:16">
      <c r="A209" s="386">
        <v>45392</v>
      </c>
      <c r="B209" s="340" t="s">
        <v>406</v>
      </c>
      <c r="C209" s="340" t="s">
        <v>259</v>
      </c>
      <c r="D209" s="340" t="s">
        <v>260</v>
      </c>
      <c r="E209" s="340">
        <v>58</v>
      </c>
      <c r="F209" s="340">
        <v>5</v>
      </c>
      <c r="G209" s="340">
        <v>929.93</v>
      </c>
      <c r="H209" s="347">
        <f t="shared" si="7"/>
        <v>269679.7</v>
      </c>
      <c r="I209" s="340">
        <v>670</v>
      </c>
      <c r="J209" s="441">
        <f t="shared" si="6"/>
        <v>290</v>
      </c>
      <c r="K209" s="685" t="str">
        <f>UPPER((TEXT(Tabla5[[#This Row],[FECHA]],"MMM")))</f>
        <v>ABR</v>
      </c>
      <c r="L209" s="780">
        <f>YEAR(Tabla5[[#This Row],[FECHA]])</f>
        <v>2024</v>
      </c>
      <c r="M209" s="749">
        <v>201</v>
      </c>
      <c r="N209" s="441" t="s">
        <v>680</v>
      </c>
      <c r="O209" s="441" t="s">
        <v>712</v>
      </c>
      <c r="P209" s="441" t="s">
        <v>110</v>
      </c>
    </row>
    <row r="210" spans="1:16">
      <c r="A210" s="386">
        <v>45393</v>
      </c>
      <c r="B210" s="340" t="s">
        <v>272</v>
      </c>
      <c r="C210" s="340" t="s">
        <v>278</v>
      </c>
      <c r="D210" s="340" t="s">
        <v>260</v>
      </c>
      <c r="E210" s="340">
        <v>58</v>
      </c>
      <c r="F210" s="340">
        <v>4</v>
      </c>
      <c r="G210" s="340">
        <v>929.93</v>
      </c>
      <c r="H210" s="347">
        <f t="shared" si="7"/>
        <v>215743.75999999998</v>
      </c>
      <c r="I210" s="340">
        <v>178</v>
      </c>
      <c r="J210" s="441">
        <f t="shared" si="6"/>
        <v>232</v>
      </c>
      <c r="K210" s="685" t="str">
        <f>UPPER((TEXT(Tabla5[[#This Row],[FECHA]],"MMM")))</f>
        <v>ABR</v>
      </c>
      <c r="L210" s="780">
        <f>YEAR(Tabla5[[#This Row],[FECHA]])</f>
        <v>2024</v>
      </c>
      <c r="M210" s="749">
        <v>201</v>
      </c>
      <c r="N210" s="441" t="s">
        <v>679</v>
      </c>
      <c r="O210" s="441" t="s">
        <v>712</v>
      </c>
      <c r="P210" s="441" t="s">
        <v>110</v>
      </c>
    </row>
    <row r="211" spans="1:16">
      <c r="A211" s="386">
        <v>45393</v>
      </c>
      <c r="B211" s="340" t="s">
        <v>263</v>
      </c>
      <c r="C211" s="340" t="s">
        <v>264</v>
      </c>
      <c r="D211" s="340" t="s">
        <v>265</v>
      </c>
      <c r="E211" s="340">
        <v>76</v>
      </c>
      <c r="F211" s="340">
        <v>9</v>
      </c>
      <c r="G211" s="340">
        <v>929.93</v>
      </c>
      <c r="H211" s="347">
        <f t="shared" si="7"/>
        <v>636072.12</v>
      </c>
      <c r="I211" s="340">
        <v>865</v>
      </c>
      <c r="J211" s="441">
        <f t="shared" si="6"/>
        <v>684</v>
      </c>
      <c r="K211" s="685" t="str">
        <f>UPPER((TEXT(Tabla5[[#This Row],[FECHA]],"MMM")))</f>
        <v>ABR</v>
      </c>
      <c r="L211" s="780">
        <f>YEAR(Tabla5[[#This Row],[FECHA]])</f>
        <v>2024</v>
      </c>
      <c r="M211" s="749">
        <v>201</v>
      </c>
      <c r="N211" s="441" t="s">
        <v>676</v>
      </c>
      <c r="O211" s="441" t="s">
        <v>712</v>
      </c>
      <c r="P211" s="441" t="s">
        <v>110</v>
      </c>
    </row>
    <row r="212" spans="1:16">
      <c r="A212" s="386">
        <v>45393</v>
      </c>
      <c r="B212" s="340" t="s">
        <v>406</v>
      </c>
      <c r="C212" s="340" t="s">
        <v>259</v>
      </c>
      <c r="D212" s="340" t="s">
        <v>260</v>
      </c>
      <c r="E212" s="340">
        <v>58</v>
      </c>
      <c r="F212" s="340">
        <v>5</v>
      </c>
      <c r="G212" s="340">
        <v>929.93</v>
      </c>
      <c r="H212" s="347">
        <f t="shared" si="7"/>
        <v>269679.7</v>
      </c>
      <c r="I212" s="340">
        <v>726</v>
      </c>
      <c r="J212" s="441">
        <f t="shared" si="6"/>
        <v>290</v>
      </c>
      <c r="K212" s="685" t="str">
        <f>UPPER((TEXT(Tabla5[[#This Row],[FECHA]],"MMM")))</f>
        <v>ABR</v>
      </c>
      <c r="L212" s="780">
        <f>YEAR(Tabla5[[#This Row],[FECHA]])</f>
        <v>2024</v>
      </c>
      <c r="M212" s="749">
        <v>201</v>
      </c>
      <c r="N212" s="441" t="s">
        <v>680</v>
      </c>
      <c r="O212" s="441" t="s">
        <v>712</v>
      </c>
      <c r="P212" s="441" t="s">
        <v>110</v>
      </c>
    </row>
    <row r="213" spans="1:16">
      <c r="A213" s="387">
        <v>45394</v>
      </c>
      <c r="B213" s="340" t="s">
        <v>269</v>
      </c>
      <c r="C213" s="340" t="s">
        <v>270</v>
      </c>
      <c r="D213" s="340" t="s">
        <v>260</v>
      </c>
      <c r="E213" s="340">
        <v>58</v>
      </c>
      <c r="F213" s="340">
        <v>4</v>
      </c>
      <c r="G213" s="340">
        <v>929.93</v>
      </c>
      <c r="H213" s="347">
        <f t="shared" si="7"/>
        <v>215743.75999999998</v>
      </c>
      <c r="I213" s="340">
        <v>154</v>
      </c>
      <c r="J213" s="441">
        <f t="shared" si="6"/>
        <v>232</v>
      </c>
      <c r="K213" s="685" t="str">
        <f>UPPER((TEXT(Tabla5[[#This Row],[FECHA]],"MMM")))</f>
        <v>ABR</v>
      </c>
      <c r="L213" s="780">
        <f>YEAR(Tabla5[[#This Row],[FECHA]])</f>
        <v>2024</v>
      </c>
      <c r="M213" s="749">
        <v>201</v>
      </c>
      <c r="N213" s="441" t="s">
        <v>679</v>
      </c>
      <c r="O213" s="441" t="s">
        <v>712</v>
      </c>
      <c r="P213" s="441" t="s">
        <v>110</v>
      </c>
    </row>
    <row r="214" spans="1:16">
      <c r="A214" s="387">
        <v>45394</v>
      </c>
      <c r="B214" s="340" t="s">
        <v>263</v>
      </c>
      <c r="C214" s="340" t="s">
        <v>264</v>
      </c>
      <c r="D214" s="340" t="s">
        <v>265</v>
      </c>
      <c r="E214" s="340">
        <v>76</v>
      </c>
      <c r="F214" s="340">
        <v>9</v>
      </c>
      <c r="G214" s="340">
        <v>929.93</v>
      </c>
      <c r="H214" s="347">
        <f t="shared" si="7"/>
        <v>636072.12</v>
      </c>
      <c r="I214" s="340">
        <v>1424</v>
      </c>
      <c r="J214" s="441">
        <f t="shared" si="6"/>
        <v>684</v>
      </c>
      <c r="K214" s="685" t="str">
        <f>UPPER((TEXT(Tabla5[[#This Row],[FECHA]],"MMM")))</f>
        <v>ABR</v>
      </c>
      <c r="L214" s="780">
        <f>YEAR(Tabla5[[#This Row],[FECHA]])</f>
        <v>2024</v>
      </c>
      <c r="M214" s="749">
        <v>201</v>
      </c>
      <c r="N214" s="441" t="s">
        <v>676</v>
      </c>
      <c r="O214" s="441" t="s">
        <v>712</v>
      </c>
      <c r="P214" s="441" t="s">
        <v>110</v>
      </c>
    </row>
    <row r="215" spans="1:16">
      <c r="A215" s="387">
        <v>45394</v>
      </c>
      <c r="B215" s="340" t="s">
        <v>267</v>
      </c>
      <c r="C215" s="340" t="s">
        <v>268</v>
      </c>
      <c r="D215" s="340" t="s">
        <v>260</v>
      </c>
      <c r="E215" s="340">
        <v>58</v>
      </c>
      <c r="F215" s="340">
        <v>6</v>
      </c>
      <c r="G215" s="340">
        <v>929.93</v>
      </c>
      <c r="H215" s="347">
        <f t="shared" si="7"/>
        <v>323615.63999999996</v>
      </c>
      <c r="I215" s="340">
        <v>798</v>
      </c>
      <c r="J215" s="441">
        <f t="shared" si="6"/>
        <v>348</v>
      </c>
      <c r="K215" s="685" t="str">
        <f>UPPER((TEXT(Tabla5[[#This Row],[FECHA]],"MMM")))</f>
        <v>ABR</v>
      </c>
      <c r="L215" s="780">
        <f>YEAR(Tabla5[[#This Row],[FECHA]])</f>
        <v>2024</v>
      </c>
      <c r="M215" s="749">
        <v>201</v>
      </c>
      <c r="N215" s="441" t="s">
        <v>680</v>
      </c>
      <c r="O215" s="441" t="s">
        <v>712</v>
      </c>
      <c r="P215" s="441" t="s">
        <v>110</v>
      </c>
    </row>
    <row r="216" spans="1:16">
      <c r="A216" s="387">
        <v>45395</v>
      </c>
      <c r="B216" s="340" t="s">
        <v>269</v>
      </c>
      <c r="C216" s="340" t="s">
        <v>357</v>
      </c>
      <c r="D216" s="340" t="s">
        <v>265</v>
      </c>
      <c r="E216" s="340">
        <v>76</v>
      </c>
      <c r="F216" s="340">
        <v>3</v>
      </c>
      <c r="G216" s="340">
        <v>929.93</v>
      </c>
      <c r="H216" s="347">
        <f t="shared" si="7"/>
        <v>212024.03999999998</v>
      </c>
      <c r="I216" s="340">
        <v>367</v>
      </c>
      <c r="J216" s="441">
        <f t="shared" si="6"/>
        <v>228</v>
      </c>
      <c r="K216" s="685" t="str">
        <f>UPPER((TEXT(Tabla5[[#This Row],[FECHA]],"MMM")))</f>
        <v>ABR</v>
      </c>
      <c r="L216" s="780">
        <f>YEAR(Tabla5[[#This Row],[FECHA]])</f>
        <v>2024</v>
      </c>
      <c r="M216" s="749">
        <v>201</v>
      </c>
      <c r="N216" s="441" t="s">
        <v>676</v>
      </c>
      <c r="O216" s="441" t="s">
        <v>712</v>
      </c>
      <c r="P216" s="441" t="s">
        <v>110</v>
      </c>
    </row>
    <row r="217" spans="1:16">
      <c r="A217" s="387">
        <v>45395</v>
      </c>
      <c r="B217" s="340" t="s">
        <v>295</v>
      </c>
      <c r="C217" s="340" t="s">
        <v>276</v>
      </c>
      <c r="D217" s="340" t="s">
        <v>405</v>
      </c>
      <c r="E217" s="340">
        <v>96</v>
      </c>
      <c r="F217" s="340">
        <v>10</v>
      </c>
      <c r="G217" s="340">
        <v>929.93</v>
      </c>
      <c r="H217" s="347">
        <f t="shared" si="7"/>
        <v>892732.79999999993</v>
      </c>
      <c r="I217" s="340">
        <v>876</v>
      </c>
      <c r="J217" s="441">
        <f t="shared" si="6"/>
        <v>960</v>
      </c>
      <c r="K217" s="685" t="str">
        <f>UPPER((TEXT(Tabla5[[#This Row],[FECHA]],"MMM")))</f>
        <v>ABR</v>
      </c>
      <c r="L217" s="780">
        <f>YEAR(Tabla5[[#This Row],[FECHA]])</f>
        <v>2024</v>
      </c>
      <c r="M217" s="749">
        <v>201</v>
      </c>
      <c r="N217" s="441" t="s">
        <v>678</v>
      </c>
      <c r="O217" s="441" t="s">
        <v>713</v>
      </c>
      <c r="P217" s="441" t="s">
        <v>110</v>
      </c>
    </row>
    <row r="218" spans="1:16">
      <c r="A218" s="387">
        <v>45396</v>
      </c>
      <c r="B218" s="340" t="s">
        <v>289</v>
      </c>
      <c r="C218" s="340" t="s">
        <v>290</v>
      </c>
      <c r="D218" s="340" t="s">
        <v>405</v>
      </c>
      <c r="E218" s="340">
        <v>96</v>
      </c>
      <c r="F218" s="340">
        <v>12</v>
      </c>
      <c r="G218" s="340">
        <v>929.93</v>
      </c>
      <c r="H218" s="347">
        <f t="shared" si="7"/>
        <v>1071279.3599999999</v>
      </c>
      <c r="I218" s="340">
        <v>900</v>
      </c>
      <c r="J218" s="441">
        <f t="shared" si="6"/>
        <v>1152</v>
      </c>
      <c r="K218" s="685" t="str">
        <f>UPPER((TEXT(Tabla5[[#This Row],[FECHA]],"MMM")))</f>
        <v>ABR</v>
      </c>
      <c r="L218" s="780">
        <f>YEAR(Tabla5[[#This Row],[FECHA]])</f>
        <v>2024</v>
      </c>
      <c r="M218" s="749">
        <v>201</v>
      </c>
      <c r="N218" s="441" t="s">
        <v>678</v>
      </c>
      <c r="O218" s="441" t="s">
        <v>713</v>
      </c>
      <c r="P218" s="441" t="s">
        <v>110</v>
      </c>
    </row>
    <row r="219" spans="1:16">
      <c r="A219" s="387">
        <v>45397</v>
      </c>
      <c r="B219" s="340" t="s">
        <v>272</v>
      </c>
      <c r="C219" s="340" t="s">
        <v>278</v>
      </c>
      <c r="D219" s="340" t="s">
        <v>260</v>
      </c>
      <c r="E219" s="340">
        <v>58</v>
      </c>
      <c r="F219" s="340">
        <v>4</v>
      </c>
      <c r="G219" s="340">
        <v>929.93</v>
      </c>
      <c r="H219" s="347">
        <f t="shared" si="7"/>
        <v>215743.75999999998</v>
      </c>
      <c r="I219" s="340">
        <v>135</v>
      </c>
      <c r="J219" s="441">
        <f t="shared" si="6"/>
        <v>232</v>
      </c>
      <c r="K219" s="685" t="str">
        <f>UPPER((TEXT(Tabla5[[#This Row],[FECHA]],"MMM")))</f>
        <v>ABR</v>
      </c>
      <c r="L219" s="780">
        <f>YEAR(Tabla5[[#This Row],[FECHA]])</f>
        <v>2024</v>
      </c>
      <c r="M219" s="749">
        <v>201</v>
      </c>
      <c r="N219" s="441" t="s">
        <v>679</v>
      </c>
      <c r="O219" s="441" t="s">
        <v>712</v>
      </c>
      <c r="P219" s="441" t="s">
        <v>110</v>
      </c>
    </row>
    <row r="220" spans="1:16">
      <c r="A220" s="387">
        <v>45397</v>
      </c>
      <c r="B220" s="340" t="s">
        <v>263</v>
      </c>
      <c r="C220" s="340" t="s">
        <v>264</v>
      </c>
      <c r="D220" s="340" t="s">
        <v>265</v>
      </c>
      <c r="E220" s="340">
        <v>76</v>
      </c>
      <c r="F220" s="340">
        <v>9</v>
      </c>
      <c r="G220" s="340">
        <v>929.93</v>
      </c>
      <c r="H220" s="347">
        <f t="shared" si="7"/>
        <v>636072.12</v>
      </c>
      <c r="I220" s="340">
        <v>944</v>
      </c>
      <c r="J220" s="441">
        <f t="shared" si="6"/>
        <v>684</v>
      </c>
      <c r="K220" s="685" t="str">
        <f>UPPER((TEXT(Tabla5[[#This Row],[FECHA]],"MMM")))</f>
        <v>ABR</v>
      </c>
      <c r="L220" s="780">
        <f>YEAR(Tabla5[[#This Row],[FECHA]])</f>
        <v>2024</v>
      </c>
      <c r="M220" s="749">
        <v>201</v>
      </c>
      <c r="N220" s="441" t="s">
        <v>676</v>
      </c>
      <c r="O220" s="441" t="s">
        <v>712</v>
      </c>
      <c r="P220" s="441" t="s">
        <v>110</v>
      </c>
    </row>
    <row r="221" spans="1:16">
      <c r="A221" s="387">
        <v>45397</v>
      </c>
      <c r="B221" s="340" t="s">
        <v>291</v>
      </c>
      <c r="C221" s="340" t="s">
        <v>280</v>
      </c>
      <c r="D221" s="340" t="s">
        <v>260</v>
      </c>
      <c r="E221" s="340">
        <v>58</v>
      </c>
      <c r="F221" s="340">
        <v>4</v>
      </c>
      <c r="G221" s="340">
        <v>929.93</v>
      </c>
      <c r="H221" s="347">
        <f t="shared" si="7"/>
        <v>215743.75999999998</v>
      </c>
      <c r="I221" s="340">
        <v>563</v>
      </c>
      <c r="J221" s="441">
        <f t="shared" si="6"/>
        <v>232</v>
      </c>
      <c r="K221" s="685" t="str">
        <f>UPPER((TEXT(Tabla5[[#This Row],[FECHA]],"MMM")))</f>
        <v>ABR</v>
      </c>
      <c r="L221" s="780">
        <f>YEAR(Tabla5[[#This Row],[FECHA]])</f>
        <v>2024</v>
      </c>
      <c r="M221" s="749">
        <v>201</v>
      </c>
      <c r="N221" s="441" t="s">
        <v>680</v>
      </c>
      <c r="O221" s="441" t="s">
        <v>712</v>
      </c>
      <c r="P221" s="441" t="s">
        <v>110</v>
      </c>
    </row>
    <row r="222" spans="1:16">
      <c r="A222" s="387">
        <v>45398</v>
      </c>
      <c r="B222" s="340" t="s">
        <v>269</v>
      </c>
      <c r="C222" s="340" t="s">
        <v>278</v>
      </c>
      <c r="D222" s="340" t="s">
        <v>260</v>
      </c>
      <c r="E222" s="340">
        <v>58</v>
      </c>
      <c r="F222" s="340">
        <v>4</v>
      </c>
      <c r="G222" s="340">
        <v>929.93</v>
      </c>
      <c r="H222" s="347">
        <f t="shared" si="7"/>
        <v>215743.75999999998</v>
      </c>
      <c r="I222" s="340">
        <v>160</v>
      </c>
      <c r="J222" s="441">
        <f t="shared" si="6"/>
        <v>232</v>
      </c>
      <c r="K222" s="685" t="str">
        <f>UPPER((TEXT(Tabla5[[#This Row],[FECHA]],"MMM")))</f>
        <v>ABR</v>
      </c>
      <c r="L222" s="780">
        <f>YEAR(Tabla5[[#This Row],[FECHA]])</f>
        <v>2024</v>
      </c>
      <c r="M222" s="749">
        <v>201</v>
      </c>
      <c r="N222" s="441" t="s">
        <v>679</v>
      </c>
      <c r="O222" s="441" t="s">
        <v>712</v>
      </c>
      <c r="P222" s="441" t="s">
        <v>110</v>
      </c>
    </row>
    <row r="223" spans="1:16">
      <c r="A223" s="387">
        <v>45398</v>
      </c>
      <c r="B223" s="340" t="s">
        <v>295</v>
      </c>
      <c r="C223" s="340" t="s">
        <v>407</v>
      </c>
      <c r="D223" s="340" t="s">
        <v>265</v>
      </c>
      <c r="E223" s="340">
        <v>76</v>
      </c>
      <c r="F223" s="340">
        <v>9</v>
      </c>
      <c r="G223" s="340">
        <v>929.93</v>
      </c>
      <c r="H223" s="347">
        <f t="shared" si="7"/>
        <v>636072.12</v>
      </c>
      <c r="I223" s="340">
        <v>1256</v>
      </c>
      <c r="J223" s="441">
        <f t="shared" si="6"/>
        <v>684</v>
      </c>
      <c r="K223" s="685" t="str">
        <f>UPPER((TEXT(Tabla5[[#This Row],[FECHA]],"MMM")))</f>
        <v>ABR</v>
      </c>
      <c r="L223" s="780">
        <f>YEAR(Tabla5[[#This Row],[FECHA]])</f>
        <v>2024</v>
      </c>
      <c r="M223" s="749">
        <v>201</v>
      </c>
      <c r="N223" s="441" t="s">
        <v>676</v>
      </c>
      <c r="O223" s="441" t="s">
        <v>712</v>
      </c>
      <c r="P223" s="441" t="s">
        <v>110</v>
      </c>
    </row>
    <row r="224" spans="1:16">
      <c r="A224" s="387">
        <v>45398</v>
      </c>
      <c r="B224" s="340" t="s">
        <v>403</v>
      </c>
      <c r="C224" s="340" t="s">
        <v>404</v>
      </c>
      <c r="D224" s="340" t="s">
        <v>260</v>
      </c>
      <c r="E224" s="340">
        <v>58</v>
      </c>
      <c r="F224" s="340">
        <v>5</v>
      </c>
      <c r="G224" s="340">
        <v>929.93</v>
      </c>
      <c r="H224" s="347">
        <f t="shared" si="7"/>
        <v>269679.7</v>
      </c>
      <c r="I224" s="340">
        <v>617</v>
      </c>
      <c r="J224" s="441">
        <f t="shared" si="6"/>
        <v>290</v>
      </c>
      <c r="K224" s="685" t="str">
        <f>UPPER((TEXT(Tabla5[[#This Row],[FECHA]],"MMM")))</f>
        <v>ABR</v>
      </c>
      <c r="L224" s="780">
        <f>YEAR(Tabla5[[#This Row],[FECHA]])</f>
        <v>2024</v>
      </c>
      <c r="M224" s="749">
        <v>201</v>
      </c>
      <c r="N224" s="441" t="s">
        <v>680</v>
      </c>
      <c r="O224" s="441" t="s">
        <v>712</v>
      </c>
      <c r="P224" s="441" t="s">
        <v>110</v>
      </c>
    </row>
    <row r="225" spans="1:16">
      <c r="A225" s="387">
        <v>45399</v>
      </c>
      <c r="B225" s="340" t="s">
        <v>269</v>
      </c>
      <c r="C225" s="340" t="s">
        <v>270</v>
      </c>
      <c r="D225" s="340" t="s">
        <v>260</v>
      </c>
      <c r="E225" s="340">
        <v>58</v>
      </c>
      <c r="F225" s="340">
        <v>4</v>
      </c>
      <c r="G225" s="340">
        <v>929.93</v>
      </c>
      <c r="H225" s="347">
        <f t="shared" si="7"/>
        <v>215743.75999999998</v>
      </c>
      <c r="I225" s="340">
        <v>140</v>
      </c>
      <c r="J225" s="441">
        <f t="shared" si="6"/>
        <v>232</v>
      </c>
      <c r="K225" s="685" t="str">
        <f>UPPER((TEXT(Tabla5[[#This Row],[FECHA]],"MMM")))</f>
        <v>ABR</v>
      </c>
      <c r="L225" s="780">
        <f>YEAR(Tabla5[[#This Row],[FECHA]])</f>
        <v>2024</v>
      </c>
      <c r="M225" s="749">
        <v>201</v>
      </c>
      <c r="N225" s="441" t="s">
        <v>679</v>
      </c>
      <c r="O225" s="441" t="s">
        <v>712</v>
      </c>
      <c r="P225" s="441" t="s">
        <v>110</v>
      </c>
    </row>
    <row r="226" spans="1:16">
      <c r="A226" s="387">
        <v>45399</v>
      </c>
      <c r="B226" s="340" t="s">
        <v>263</v>
      </c>
      <c r="C226" s="340" t="s">
        <v>264</v>
      </c>
      <c r="D226" s="340" t="s">
        <v>265</v>
      </c>
      <c r="E226" s="340">
        <v>76</v>
      </c>
      <c r="F226" s="340">
        <v>9</v>
      </c>
      <c r="G226" s="340">
        <v>929.93</v>
      </c>
      <c r="H226" s="347">
        <f t="shared" si="7"/>
        <v>636072.12</v>
      </c>
      <c r="I226" s="340">
        <v>1153</v>
      </c>
      <c r="J226" s="441">
        <f t="shared" si="6"/>
        <v>684</v>
      </c>
      <c r="K226" s="685" t="str">
        <f>UPPER((TEXT(Tabla5[[#This Row],[FECHA]],"MMM")))</f>
        <v>ABR</v>
      </c>
      <c r="L226" s="780">
        <f>YEAR(Tabla5[[#This Row],[FECHA]])</f>
        <v>2024</v>
      </c>
      <c r="M226" s="749">
        <v>201</v>
      </c>
      <c r="N226" s="441" t="s">
        <v>676</v>
      </c>
      <c r="O226" s="441" t="s">
        <v>712</v>
      </c>
      <c r="P226" s="441" t="s">
        <v>110</v>
      </c>
    </row>
    <row r="227" spans="1:16">
      <c r="A227" s="387">
        <v>45399</v>
      </c>
      <c r="B227" s="340" t="s">
        <v>403</v>
      </c>
      <c r="C227" s="340" t="s">
        <v>404</v>
      </c>
      <c r="D227" s="340" t="s">
        <v>260</v>
      </c>
      <c r="E227" s="340">
        <v>58</v>
      </c>
      <c r="F227" s="340">
        <v>5</v>
      </c>
      <c r="G227" s="340">
        <v>929.93</v>
      </c>
      <c r="H227" s="347">
        <f t="shared" si="7"/>
        <v>269679.7</v>
      </c>
      <c r="I227" s="340">
        <v>724</v>
      </c>
      <c r="J227" s="441">
        <f t="shared" si="6"/>
        <v>290</v>
      </c>
      <c r="K227" s="685" t="str">
        <f>UPPER((TEXT(Tabla5[[#This Row],[FECHA]],"MMM")))</f>
        <v>ABR</v>
      </c>
      <c r="L227" s="780">
        <f>YEAR(Tabla5[[#This Row],[FECHA]])</f>
        <v>2024</v>
      </c>
      <c r="M227" s="749">
        <v>201</v>
      </c>
      <c r="N227" s="441" t="s">
        <v>680</v>
      </c>
      <c r="O227" s="441" t="s">
        <v>712</v>
      </c>
      <c r="P227" s="441" t="s">
        <v>110</v>
      </c>
    </row>
    <row r="228" spans="1:16">
      <c r="A228" s="387">
        <v>45400</v>
      </c>
      <c r="B228" s="340" t="s">
        <v>269</v>
      </c>
      <c r="C228" s="340" t="s">
        <v>270</v>
      </c>
      <c r="D228" s="340" t="s">
        <v>260</v>
      </c>
      <c r="E228" s="340">
        <v>58</v>
      </c>
      <c r="F228" s="340">
        <v>4</v>
      </c>
      <c r="G228" s="340">
        <v>929.93</v>
      </c>
      <c r="H228" s="347">
        <f t="shared" si="7"/>
        <v>215743.75999999998</v>
      </c>
      <c r="I228" s="340">
        <v>179</v>
      </c>
      <c r="J228" s="441">
        <f t="shared" si="6"/>
        <v>232</v>
      </c>
      <c r="K228" s="685" t="str">
        <f>UPPER((TEXT(Tabla5[[#This Row],[FECHA]],"MMM")))</f>
        <v>ABR</v>
      </c>
      <c r="L228" s="780">
        <f>YEAR(Tabla5[[#This Row],[FECHA]])</f>
        <v>2024</v>
      </c>
      <c r="M228" s="749">
        <v>201</v>
      </c>
      <c r="N228" s="441" t="s">
        <v>679</v>
      </c>
      <c r="O228" s="441" t="s">
        <v>712</v>
      </c>
      <c r="P228" s="441" t="s">
        <v>110</v>
      </c>
    </row>
    <row r="229" spans="1:16">
      <c r="A229" s="387">
        <v>45400</v>
      </c>
      <c r="B229" s="340" t="s">
        <v>263</v>
      </c>
      <c r="C229" s="340" t="s">
        <v>264</v>
      </c>
      <c r="D229" s="340" t="s">
        <v>265</v>
      </c>
      <c r="E229" s="340">
        <v>76</v>
      </c>
      <c r="F229" s="340">
        <v>9</v>
      </c>
      <c r="G229" s="340">
        <v>929.93</v>
      </c>
      <c r="H229" s="347">
        <f t="shared" si="7"/>
        <v>636072.12</v>
      </c>
      <c r="I229" s="340">
        <v>859</v>
      </c>
      <c r="J229" s="441">
        <f t="shared" si="6"/>
        <v>684</v>
      </c>
      <c r="K229" s="685" t="str">
        <f>UPPER((TEXT(Tabla5[[#This Row],[FECHA]],"MMM")))</f>
        <v>ABR</v>
      </c>
      <c r="L229" s="780">
        <f>YEAR(Tabla5[[#This Row],[FECHA]])</f>
        <v>2024</v>
      </c>
      <c r="M229" s="749">
        <v>201</v>
      </c>
      <c r="N229" s="441" t="s">
        <v>676</v>
      </c>
      <c r="O229" s="441" t="s">
        <v>712</v>
      </c>
      <c r="P229" s="441" t="s">
        <v>110</v>
      </c>
    </row>
    <row r="230" spans="1:16">
      <c r="A230" s="387">
        <v>45400</v>
      </c>
      <c r="B230" s="340" t="s">
        <v>403</v>
      </c>
      <c r="C230" s="340" t="s">
        <v>404</v>
      </c>
      <c r="D230" s="340" t="s">
        <v>260</v>
      </c>
      <c r="E230" s="340">
        <v>58</v>
      </c>
      <c r="F230" s="340">
        <v>5</v>
      </c>
      <c r="G230" s="340">
        <v>929.93</v>
      </c>
      <c r="H230" s="347">
        <f t="shared" si="7"/>
        <v>269679.7</v>
      </c>
      <c r="I230" s="340">
        <v>639</v>
      </c>
      <c r="J230" s="441">
        <f t="shared" si="6"/>
        <v>290</v>
      </c>
      <c r="K230" s="685" t="str">
        <f>UPPER((TEXT(Tabla5[[#This Row],[FECHA]],"MMM")))</f>
        <v>ABR</v>
      </c>
      <c r="L230" s="780">
        <f>YEAR(Tabla5[[#This Row],[FECHA]])</f>
        <v>2024</v>
      </c>
      <c r="M230" s="749">
        <v>201</v>
      </c>
      <c r="N230" s="441" t="s">
        <v>680</v>
      </c>
      <c r="O230" s="441" t="s">
        <v>712</v>
      </c>
      <c r="P230" s="441" t="s">
        <v>110</v>
      </c>
    </row>
    <row r="231" spans="1:16">
      <c r="A231" s="387">
        <v>45401</v>
      </c>
      <c r="B231" s="340" t="s">
        <v>272</v>
      </c>
      <c r="C231" s="340" t="s">
        <v>278</v>
      </c>
      <c r="D231" s="340" t="s">
        <v>260</v>
      </c>
      <c r="E231" s="340">
        <v>58</v>
      </c>
      <c r="F231" s="340">
        <v>4</v>
      </c>
      <c r="G231" s="340">
        <v>929.93</v>
      </c>
      <c r="H231" s="347">
        <f t="shared" si="7"/>
        <v>215743.75999999998</v>
      </c>
      <c r="I231" s="340">
        <v>141</v>
      </c>
      <c r="J231" s="441">
        <f t="shared" si="6"/>
        <v>232</v>
      </c>
      <c r="K231" s="685" t="str">
        <f>UPPER((TEXT(Tabla5[[#This Row],[FECHA]],"MMM")))</f>
        <v>ABR</v>
      </c>
      <c r="L231" s="780">
        <f>YEAR(Tabla5[[#This Row],[FECHA]])</f>
        <v>2024</v>
      </c>
      <c r="M231" s="749">
        <v>201</v>
      </c>
      <c r="N231" s="441" t="s">
        <v>679</v>
      </c>
      <c r="O231" s="441" t="s">
        <v>712</v>
      </c>
      <c r="P231" s="441" t="s">
        <v>110</v>
      </c>
    </row>
    <row r="232" spans="1:16">
      <c r="A232" s="387">
        <v>45401</v>
      </c>
      <c r="B232" s="340" t="s">
        <v>287</v>
      </c>
      <c r="C232" s="340" t="s">
        <v>404</v>
      </c>
      <c r="D232" s="340" t="s">
        <v>260</v>
      </c>
      <c r="E232" s="340">
        <v>58</v>
      </c>
      <c r="F232" s="340">
        <v>6</v>
      </c>
      <c r="G232" s="340">
        <v>929.93</v>
      </c>
      <c r="H232" s="347">
        <f t="shared" si="7"/>
        <v>323615.63999999996</v>
      </c>
      <c r="I232" s="340">
        <v>767</v>
      </c>
      <c r="J232" s="441">
        <f t="shared" si="6"/>
        <v>348</v>
      </c>
      <c r="K232" s="685" t="str">
        <f>UPPER((TEXT(Tabla5[[#This Row],[FECHA]],"MMM")))</f>
        <v>ABR</v>
      </c>
      <c r="L232" s="780">
        <f>YEAR(Tabla5[[#This Row],[FECHA]])</f>
        <v>2024</v>
      </c>
      <c r="M232" s="749">
        <v>201</v>
      </c>
      <c r="N232" s="441" t="s">
        <v>680</v>
      </c>
      <c r="O232" s="441" t="s">
        <v>712</v>
      </c>
      <c r="P232" s="441" t="s">
        <v>110</v>
      </c>
    </row>
    <row r="233" spans="1:16">
      <c r="A233" s="387">
        <v>45402</v>
      </c>
      <c r="B233" s="340" t="s">
        <v>272</v>
      </c>
      <c r="C233" s="340" t="s">
        <v>282</v>
      </c>
      <c r="D233" s="340" t="s">
        <v>265</v>
      </c>
      <c r="E233" s="340">
        <v>76</v>
      </c>
      <c r="F233" s="340">
        <v>3</v>
      </c>
      <c r="G233" s="340">
        <v>929.93</v>
      </c>
      <c r="H233" s="347">
        <f t="shared" si="7"/>
        <v>212024.03999999998</v>
      </c>
      <c r="I233" s="340">
        <v>268</v>
      </c>
      <c r="J233" s="441">
        <f t="shared" si="6"/>
        <v>228</v>
      </c>
      <c r="K233" s="685" t="str">
        <f>UPPER((TEXT(Tabla5[[#This Row],[FECHA]],"MMM")))</f>
        <v>ABR</v>
      </c>
      <c r="L233" s="780">
        <f>YEAR(Tabla5[[#This Row],[FECHA]])</f>
        <v>2024</v>
      </c>
      <c r="M233" s="749">
        <v>201</v>
      </c>
      <c r="N233" s="441" t="s">
        <v>676</v>
      </c>
      <c r="O233" s="441" t="s">
        <v>712</v>
      </c>
      <c r="P233" s="441" t="s">
        <v>110</v>
      </c>
    </row>
    <row r="234" spans="1:16">
      <c r="A234" s="387">
        <v>45402</v>
      </c>
      <c r="B234" s="340" t="s">
        <v>295</v>
      </c>
      <c r="C234" s="340" t="s">
        <v>276</v>
      </c>
      <c r="D234" s="340" t="s">
        <v>405</v>
      </c>
      <c r="E234" s="340">
        <v>96</v>
      </c>
      <c r="F234" s="340">
        <v>9</v>
      </c>
      <c r="G234" s="340">
        <v>929.93</v>
      </c>
      <c r="H234" s="347">
        <f t="shared" si="7"/>
        <v>803459.5199999999</v>
      </c>
      <c r="I234" s="340">
        <v>606</v>
      </c>
      <c r="J234" s="441">
        <f t="shared" si="6"/>
        <v>864</v>
      </c>
      <c r="K234" s="685" t="str">
        <f>UPPER((TEXT(Tabla5[[#This Row],[FECHA]],"MMM")))</f>
        <v>ABR</v>
      </c>
      <c r="L234" s="780">
        <f>YEAR(Tabla5[[#This Row],[FECHA]])</f>
        <v>2024</v>
      </c>
      <c r="M234" s="749">
        <v>201</v>
      </c>
      <c r="N234" s="441" t="s">
        <v>678</v>
      </c>
      <c r="O234" s="441" t="s">
        <v>713</v>
      </c>
      <c r="P234" s="441" t="s">
        <v>110</v>
      </c>
    </row>
    <row r="235" spans="1:16">
      <c r="A235" s="387">
        <v>45403</v>
      </c>
      <c r="B235" s="340" t="s">
        <v>256</v>
      </c>
      <c r="C235" s="340" t="s">
        <v>257</v>
      </c>
      <c r="D235" s="340" t="s">
        <v>405</v>
      </c>
      <c r="E235" s="340">
        <v>96</v>
      </c>
      <c r="F235" s="340">
        <v>12</v>
      </c>
      <c r="G235" s="340">
        <v>929.93</v>
      </c>
      <c r="H235" s="347">
        <f t="shared" si="7"/>
        <v>1071279.3599999999</v>
      </c>
      <c r="I235" s="340">
        <v>880</v>
      </c>
      <c r="J235" s="441">
        <f t="shared" si="6"/>
        <v>1152</v>
      </c>
      <c r="K235" s="685" t="str">
        <f>UPPER((TEXT(Tabla5[[#This Row],[FECHA]],"MMM")))</f>
        <v>ABR</v>
      </c>
      <c r="L235" s="780">
        <f>YEAR(Tabla5[[#This Row],[FECHA]])</f>
        <v>2024</v>
      </c>
      <c r="M235" s="749">
        <v>201</v>
      </c>
      <c r="N235" s="441" t="s">
        <v>678</v>
      </c>
      <c r="O235" s="441" t="s">
        <v>713</v>
      </c>
      <c r="P235" s="441" t="s">
        <v>110</v>
      </c>
    </row>
    <row r="236" spans="1:16">
      <c r="A236" s="387">
        <v>45404</v>
      </c>
      <c r="B236" s="340" t="s">
        <v>269</v>
      </c>
      <c r="C236" s="340" t="s">
        <v>270</v>
      </c>
      <c r="D236" s="340" t="s">
        <v>260</v>
      </c>
      <c r="E236" s="340">
        <v>58</v>
      </c>
      <c r="F236" s="340">
        <v>4</v>
      </c>
      <c r="G236" s="340">
        <v>929.93</v>
      </c>
      <c r="H236" s="347">
        <f t="shared" si="7"/>
        <v>215743.75999999998</v>
      </c>
      <c r="I236" s="340">
        <v>145</v>
      </c>
      <c r="J236" s="441">
        <f t="shared" si="6"/>
        <v>232</v>
      </c>
      <c r="K236" s="685" t="str">
        <f>UPPER((TEXT(Tabla5[[#This Row],[FECHA]],"MMM")))</f>
        <v>ABR</v>
      </c>
      <c r="L236" s="780">
        <f>YEAR(Tabla5[[#This Row],[FECHA]])</f>
        <v>2024</v>
      </c>
      <c r="M236" s="749">
        <v>201</v>
      </c>
      <c r="N236" s="441" t="s">
        <v>679</v>
      </c>
      <c r="O236" s="441" t="s">
        <v>712</v>
      </c>
      <c r="P236" s="441" t="s">
        <v>110</v>
      </c>
    </row>
    <row r="237" spans="1:16">
      <c r="A237" s="387">
        <v>45404</v>
      </c>
      <c r="B237" s="340" t="s">
        <v>295</v>
      </c>
      <c r="C237" s="340" t="s">
        <v>258</v>
      </c>
      <c r="D237" s="340" t="s">
        <v>265</v>
      </c>
      <c r="E237" s="340">
        <v>76</v>
      </c>
      <c r="F237" s="340">
        <v>9</v>
      </c>
      <c r="G237" s="340">
        <v>929.93</v>
      </c>
      <c r="H237" s="347">
        <f t="shared" si="7"/>
        <v>636072.12</v>
      </c>
      <c r="I237" s="340">
        <v>884</v>
      </c>
      <c r="J237" s="441">
        <f t="shared" si="6"/>
        <v>684</v>
      </c>
      <c r="K237" s="685" t="str">
        <f>UPPER((TEXT(Tabla5[[#This Row],[FECHA]],"MMM")))</f>
        <v>ABR</v>
      </c>
      <c r="L237" s="780">
        <f>YEAR(Tabla5[[#This Row],[FECHA]])</f>
        <v>2024</v>
      </c>
      <c r="M237" s="749">
        <v>201</v>
      </c>
      <c r="N237" s="441" t="s">
        <v>676</v>
      </c>
      <c r="O237" s="441" t="s">
        <v>712</v>
      </c>
      <c r="P237" s="441" t="s">
        <v>110</v>
      </c>
    </row>
    <row r="238" spans="1:16">
      <c r="A238" s="387">
        <v>45404</v>
      </c>
      <c r="B238" s="340" t="s">
        <v>408</v>
      </c>
      <c r="C238" s="340" t="s">
        <v>273</v>
      </c>
      <c r="D238" s="340" t="s">
        <v>260</v>
      </c>
      <c r="E238" s="340">
        <v>58</v>
      </c>
      <c r="F238" s="340">
        <v>4</v>
      </c>
      <c r="G238" s="340">
        <v>929.93</v>
      </c>
      <c r="H238" s="347">
        <f t="shared" si="7"/>
        <v>215743.75999999998</v>
      </c>
      <c r="I238" s="340">
        <v>549</v>
      </c>
      <c r="J238" s="441">
        <f t="shared" si="6"/>
        <v>232</v>
      </c>
      <c r="K238" s="685" t="str">
        <f>UPPER((TEXT(Tabla5[[#This Row],[FECHA]],"MMM")))</f>
        <v>ABR</v>
      </c>
      <c r="L238" s="780">
        <f>YEAR(Tabla5[[#This Row],[FECHA]])</f>
        <v>2024</v>
      </c>
      <c r="M238" s="749">
        <v>201</v>
      </c>
      <c r="N238" s="441" t="s">
        <v>680</v>
      </c>
      <c r="O238" s="441" t="s">
        <v>712</v>
      </c>
      <c r="P238" s="441" t="s">
        <v>110</v>
      </c>
    </row>
    <row r="239" spans="1:16">
      <c r="A239" s="387">
        <v>45405</v>
      </c>
      <c r="B239" s="340" t="s">
        <v>269</v>
      </c>
      <c r="C239" s="340" t="s">
        <v>270</v>
      </c>
      <c r="D239" s="340" t="s">
        <v>260</v>
      </c>
      <c r="E239" s="340">
        <v>58</v>
      </c>
      <c r="F239" s="340">
        <v>4</v>
      </c>
      <c r="G239" s="340">
        <v>929.93</v>
      </c>
      <c r="H239" s="347">
        <f t="shared" si="7"/>
        <v>215743.75999999998</v>
      </c>
      <c r="I239" s="340">
        <v>185</v>
      </c>
      <c r="J239" s="441">
        <f t="shared" si="6"/>
        <v>232</v>
      </c>
      <c r="K239" s="685" t="str">
        <f>UPPER((TEXT(Tabla5[[#This Row],[FECHA]],"MMM")))</f>
        <v>ABR</v>
      </c>
      <c r="L239" s="780">
        <f>YEAR(Tabla5[[#This Row],[FECHA]])</f>
        <v>2024</v>
      </c>
      <c r="M239" s="749">
        <v>201</v>
      </c>
      <c r="N239" s="441" t="s">
        <v>679</v>
      </c>
      <c r="O239" s="441" t="s">
        <v>712</v>
      </c>
      <c r="P239" s="441" t="s">
        <v>110</v>
      </c>
    </row>
    <row r="240" spans="1:16">
      <c r="A240" s="387">
        <v>45405</v>
      </c>
      <c r="B240" s="340" t="s">
        <v>271</v>
      </c>
      <c r="C240" s="340" t="s">
        <v>257</v>
      </c>
      <c r="D240" s="340" t="s">
        <v>265</v>
      </c>
      <c r="E240" s="340">
        <v>76</v>
      </c>
      <c r="F240" s="340">
        <v>9</v>
      </c>
      <c r="G240" s="340">
        <v>929.93</v>
      </c>
      <c r="H240" s="347">
        <f t="shared" si="7"/>
        <v>636072.12</v>
      </c>
      <c r="I240" s="340">
        <v>1205</v>
      </c>
      <c r="J240" s="441">
        <f t="shared" si="6"/>
        <v>684</v>
      </c>
      <c r="K240" s="685" t="str">
        <f>UPPER((TEXT(Tabla5[[#This Row],[FECHA]],"MMM")))</f>
        <v>ABR</v>
      </c>
      <c r="L240" s="780">
        <f>YEAR(Tabla5[[#This Row],[FECHA]])</f>
        <v>2024</v>
      </c>
      <c r="M240" s="749">
        <v>201</v>
      </c>
      <c r="N240" s="441" t="s">
        <v>676</v>
      </c>
      <c r="O240" s="441" t="s">
        <v>712</v>
      </c>
      <c r="P240" s="441" t="s">
        <v>110</v>
      </c>
    </row>
    <row r="241" spans="1:16">
      <c r="A241" s="387">
        <v>45405</v>
      </c>
      <c r="B241" s="340" t="s">
        <v>409</v>
      </c>
      <c r="C241" s="340" t="s">
        <v>285</v>
      </c>
      <c r="D241" s="340" t="s">
        <v>260</v>
      </c>
      <c r="E241" s="340">
        <v>58</v>
      </c>
      <c r="F241" s="340">
        <v>5</v>
      </c>
      <c r="G241" s="340">
        <v>929.93</v>
      </c>
      <c r="H241" s="347">
        <f t="shared" si="7"/>
        <v>269679.7</v>
      </c>
      <c r="I241" s="340">
        <v>606</v>
      </c>
      <c r="J241" s="441">
        <f t="shared" si="6"/>
        <v>290</v>
      </c>
      <c r="K241" s="685" t="str">
        <f>UPPER((TEXT(Tabla5[[#This Row],[FECHA]],"MMM")))</f>
        <v>ABR</v>
      </c>
      <c r="L241" s="780">
        <f>YEAR(Tabla5[[#This Row],[FECHA]])</f>
        <v>2024</v>
      </c>
      <c r="M241" s="749">
        <v>201</v>
      </c>
      <c r="N241" s="441" t="s">
        <v>680</v>
      </c>
      <c r="O241" s="441" t="s">
        <v>712</v>
      </c>
      <c r="P241" s="441" t="s">
        <v>110</v>
      </c>
    </row>
    <row r="242" spans="1:16">
      <c r="A242" s="387">
        <v>45406</v>
      </c>
      <c r="B242" s="340" t="s">
        <v>272</v>
      </c>
      <c r="C242" s="340" t="s">
        <v>278</v>
      </c>
      <c r="D242" s="340" t="s">
        <v>260</v>
      </c>
      <c r="E242" s="340">
        <v>58</v>
      </c>
      <c r="F242" s="340">
        <v>4</v>
      </c>
      <c r="G242" s="340">
        <v>929.93</v>
      </c>
      <c r="H242" s="347">
        <f t="shared" si="7"/>
        <v>215743.75999999998</v>
      </c>
      <c r="I242" s="340">
        <v>168</v>
      </c>
      <c r="J242" s="441">
        <f t="shared" si="6"/>
        <v>232</v>
      </c>
      <c r="K242" s="685" t="str">
        <f>UPPER((TEXT(Tabla5[[#This Row],[FECHA]],"MMM")))</f>
        <v>ABR</v>
      </c>
      <c r="L242" s="780">
        <f>YEAR(Tabla5[[#This Row],[FECHA]])</f>
        <v>2024</v>
      </c>
      <c r="M242" s="749">
        <v>201</v>
      </c>
      <c r="N242" s="441" t="s">
        <v>679</v>
      </c>
      <c r="O242" s="441" t="s">
        <v>712</v>
      </c>
      <c r="P242" s="441" t="s">
        <v>110</v>
      </c>
    </row>
    <row r="243" spans="1:16">
      <c r="A243" s="387">
        <v>45406</v>
      </c>
      <c r="B243" s="340" t="s">
        <v>271</v>
      </c>
      <c r="C243" s="340" t="s">
        <v>292</v>
      </c>
      <c r="D243" s="340" t="s">
        <v>265</v>
      </c>
      <c r="E243" s="340">
        <v>76</v>
      </c>
      <c r="F243" s="340">
        <v>9</v>
      </c>
      <c r="G243" s="340">
        <v>929.93</v>
      </c>
      <c r="H243" s="347">
        <f t="shared" si="7"/>
        <v>636072.12</v>
      </c>
      <c r="I243" s="340">
        <v>1110</v>
      </c>
      <c r="J243" s="441">
        <f t="shared" si="6"/>
        <v>684</v>
      </c>
      <c r="K243" s="685" t="str">
        <f>UPPER((TEXT(Tabla5[[#This Row],[FECHA]],"MMM")))</f>
        <v>ABR</v>
      </c>
      <c r="L243" s="780">
        <f>YEAR(Tabla5[[#This Row],[FECHA]])</f>
        <v>2024</v>
      </c>
      <c r="M243" s="749">
        <v>201</v>
      </c>
      <c r="N243" s="441" t="s">
        <v>676</v>
      </c>
      <c r="O243" s="441" t="s">
        <v>712</v>
      </c>
      <c r="P243" s="441" t="s">
        <v>110</v>
      </c>
    </row>
    <row r="244" spans="1:16">
      <c r="A244" s="387">
        <v>45406</v>
      </c>
      <c r="B244" s="340" t="s">
        <v>409</v>
      </c>
      <c r="C244" s="340" t="s">
        <v>285</v>
      </c>
      <c r="D244" s="340" t="s">
        <v>260</v>
      </c>
      <c r="E244" s="340">
        <v>58</v>
      </c>
      <c r="F244" s="340">
        <v>5</v>
      </c>
      <c r="G244" s="340">
        <v>929.93</v>
      </c>
      <c r="H244" s="347">
        <f t="shared" si="7"/>
        <v>269679.7</v>
      </c>
      <c r="I244" s="340">
        <v>777</v>
      </c>
      <c r="J244" s="441">
        <f t="shared" si="6"/>
        <v>290</v>
      </c>
      <c r="K244" s="685" t="str">
        <f>UPPER((TEXT(Tabla5[[#This Row],[FECHA]],"MMM")))</f>
        <v>ABR</v>
      </c>
      <c r="L244" s="780">
        <f>YEAR(Tabla5[[#This Row],[FECHA]])</f>
        <v>2024</v>
      </c>
      <c r="M244" s="749">
        <v>201</v>
      </c>
      <c r="N244" s="441" t="s">
        <v>680</v>
      </c>
      <c r="O244" s="441" t="s">
        <v>712</v>
      </c>
      <c r="P244" s="441" t="s">
        <v>110</v>
      </c>
    </row>
    <row r="245" spans="1:16">
      <c r="A245" s="387">
        <v>45406</v>
      </c>
      <c r="B245" s="340" t="s">
        <v>410</v>
      </c>
      <c r="C245" s="340" t="s">
        <v>290</v>
      </c>
      <c r="D245" s="340" t="s">
        <v>405</v>
      </c>
      <c r="E245" s="340">
        <v>96</v>
      </c>
      <c r="F245" s="340">
        <v>4</v>
      </c>
      <c r="G245" s="340">
        <v>929.93</v>
      </c>
      <c r="H245" s="347">
        <f t="shared" si="7"/>
        <v>357093.12</v>
      </c>
      <c r="I245" s="340">
        <v>322</v>
      </c>
      <c r="J245" s="441">
        <f t="shared" si="6"/>
        <v>384</v>
      </c>
      <c r="K245" s="685" t="str">
        <f>UPPER((TEXT(Tabla5[[#This Row],[FECHA]],"MMM")))</f>
        <v>ABR</v>
      </c>
      <c r="L245" s="780">
        <f>YEAR(Tabla5[[#This Row],[FECHA]])</f>
        <v>2024</v>
      </c>
      <c r="M245" s="749">
        <v>201</v>
      </c>
      <c r="N245" s="441" t="s">
        <v>678</v>
      </c>
      <c r="O245" s="441" t="s">
        <v>713</v>
      </c>
      <c r="P245" s="441" t="s">
        <v>110</v>
      </c>
    </row>
    <row r="246" spans="1:16">
      <c r="A246" s="387">
        <v>45407</v>
      </c>
      <c r="B246" s="340" t="s">
        <v>272</v>
      </c>
      <c r="C246" s="340" t="s">
        <v>278</v>
      </c>
      <c r="D246" s="340" t="s">
        <v>260</v>
      </c>
      <c r="E246" s="340">
        <v>58</v>
      </c>
      <c r="F246" s="340">
        <v>4</v>
      </c>
      <c r="G246" s="340">
        <v>929.93</v>
      </c>
      <c r="H246" s="347">
        <f t="shared" si="7"/>
        <v>215743.75999999998</v>
      </c>
      <c r="I246" s="340">
        <v>164</v>
      </c>
      <c r="J246" s="441">
        <f t="shared" si="6"/>
        <v>232</v>
      </c>
      <c r="K246" s="685" t="str">
        <f>UPPER((TEXT(Tabla5[[#This Row],[FECHA]],"MMM")))</f>
        <v>ABR</v>
      </c>
      <c r="L246" s="780">
        <f>YEAR(Tabla5[[#This Row],[FECHA]])</f>
        <v>2024</v>
      </c>
      <c r="M246" s="749">
        <v>201</v>
      </c>
      <c r="N246" s="441" t="s">
        <v>679</v>
      </c>
      <c r="O246" s="441" t="s">
        <v>712</v>
      </c>
      <c r="P246" s="441" t="s">
        <v>110</v>
      </c>
    </row>
    <row r="247" spans="1:16">
      <c r="A247" s="387">
        <v>45407</v>
      </c>
      <c r="B247" s="340" t="s">
        <v>271</v>
      </c>
      <c r="C247" s="340" t="s">
        <v>292</v>
      </c>
      <c r="D247" s="340" t="s">
        <v>265</v>
      </c>
      <c r="E247" s="340">
        <v>76</v>
      </c>
      <c r="F247" s="340">
        <v>9</v>
      </c>
      <c r="G247" s="340">
        <v>929.93</v>
      </c>
      <c r="H247" s="347">
        <f t="shared" si="7"/>
        <v>636072.12</v>
      </c>
      <c r="I247" s="340">
        <v>878</v>
      </c>
      <c r="J247" s="441">
        <f t="shared" si="6"/>
        <v>684</v>
      </c>
      <c r="K247" s="685" t="str">
        <f>UPPER((TEXT(Tabla5[[#This Row],[FECHA]],"MMM")))</f>
        <v>ABR</v>
      </c>
      <c r="L247" s="780">
        <f>YEAR(Tabla5[[#This Row],[FECHA]])</f>
        <v>2024</v>
      </c>
      <c r="M247" s="749">
        <v>201</v>
      </c>
      <c r="N247" s="441" t="s">
        <v>676</v>
      </c>
      <c r="O247" s="441" t="s">
        <v>712</v>
      </c>
      <c r="P247" s="441" t="s">
        <v>110</v>
      </c>
    </row>
    <row r="248" spans="1:16">
      <c r="A248" s="387">
        <v>45407</v>
      </c>
      <c r="B248" s="340" t="s">
        <v>409</v>
      </c>
      <c r="C248" s="340" t="s">
        <v>285</v>
      </c>
      <c r="D248" s="340" t="s">
        <v>260</v>
      </c>
      <c r="E248" s="340">
        <v>58</v>
      </c>
      <c r="F248" s="340">
        <v>5</v>
      </c>
      <c r="G248" s="340">
        <v>929.93</v>
      </c>
      <c r="H248" s="347">
        <f t="shared" si="7"/>
        <v>269679.7</v>
      </c>
      <c r="I248" s="340">
        <v>686</v>
      </c>
      <c r="J248" s="441">
        <f t="shared" si="6"/>
        <v>290</v>
      </c>
      <c r="K248" s="685" t="str">
        <f>UPPER((TEXT(Tabla5[[#This Row],[FECHA]],"MMM")))</f>
        <v>ABR</v>
      </c>
      <c r="L248" s="780">
        <f>YEAR(Tabla5[[#This Row],[FECHA]])</f>
        <v>2024</v>
      </c>
      <c r="M248" s="749">
        <v>201</v>
      </c>
      <c r="N248" s="441" t="s">
        <v>680</v>
      </c>
      <c r="O248" s="441" t="s">
        <v>712</v>
      </c>
      <c r="P248" s="441" t="s">
        <v>110</v>
      </c>
    </row>
    <row r="249" spans="1:16">
      <c r="A249" s="387">
        <v>45408</v>
      </c>
      <c r="B249" s="340" t="s">
        <v>261</v>
      </c>
      <c r="C249" s="340" t="s">
        <v>266</v>
      </c>
      <c r="D249" s="340" t="s">
        <v>260</v>
      </c>
      <c r="E249" s="340">
        <v>58</v>
      </c>
      <c r="F249" s="340">
        <v>4</v>
      </c>
      <c r="G249" s="340">
        <v>929.93</v>
      </c>
      <c r="H249" s="347">
        <f t="shared" si="7"/>
        <v>215743.75999999998</v>
      </c>
      <c r="I249" s="340">
        <v>159</v>
      </c>
      <c r="J249" s="441">
        <f t="shared" si="6"/>
        <v>232</v>
      </c>
      <c r="K249" s="685" t="str">
        <f>UPPER((TEXT(Tabla5[[#This Row],[FECHA]],"MMM")))</f>
        <v>ABR</v>
      </c>
      <c r="L249" s="780">
        <f>YEAR(Tabla5[[#This Row],[FECHA]])</f>
        <v>2024</v>
      </c>
      <c r="M249" s="749">
        <v>201</v>
      </c>
      <c r="N249" s="441" t="s">
        <v>679</v>
      </c>
      <c r="O249" s="441" t="s">
        <v>712</v>
      </c>
      <c r="P249" s="441" t="s">
        <v>110</v>
      </c>
    </row>
    <row r="250" spans="1:16">
      <c r="A250" s="387">
        <v>45408</v>
      </c>
      <c r="B250" s="340" t="s">
        <v>271</v>
      </c>
      <c r="C250" s="340" t="s">
        <v>292</v>
      </c>
      <c r="D250" s="340" t="s">
        <v>265</v>
      </c>
      <c r="E250" s="340">
        <v>76</v>
      </c>
      <c r="F250" s="340">
        <v>9</v>
      </c>
      <c r="G250" s="340">
        <v>929.93</v>
      </c>
      <c r="H250" s="347">
        <f t="shared" si="7"/>
        <v>636072.12</v>
      </c>
      <c r="I250" s="340">
        <v>1563</v>
      </c>
      <c r="J250" s="441">
        <f t="shared" si="6"/>
        <v>684</v>
      </c>
      <c r="K250" s="685" t="str">
        <f>UPPER((TEXT(Tabla5[[#This Row],[FECHA]],"MMM")))</f>
        <v>ABR</v>
      </c>
      <c r="L250" s="780">
        <f>YEAR(Tabla5[[#This Row],[FECHA]])</f>
        <v>2024</v>
      </c>
      <c r="M250" s="749">
        <v>201</v>
      </c>
      <c r="N250" s="441" t="s">
        <v>676</v>
      </c>
      <c r="O250" s="441" t="s">
        <v>712</v>
      </c>
      <c r="P250" s="441" t="s">
        <v>110</v>
      </c>
    </row>
    <row r="251" spans="1:16">
      <c r="A251" s="387">
        <v>45408</v>
      </c>
      <c r="B251" s="340" t="s">
        <v>409</v>
      </c>
      <c r="C251" s="340" t="s">
        <v>285</v>
      </c>
      <c r="D251" s="340" t="s">
        <v>260</v>
      </c>
      <c r="E251" s="340">
        <v>58</v>
      </c>
      <c r="F251" s="340">
        <v>6</v>
      </c>
      <c r="G251" s="340">
        <v>929.93</v>
      </c>
      <c r="H251" s="347">
        <f t="shared" si="7"/>
        <v>323615.63999999996</v>
      </c>
      <c r="I251" s="340">
        <v>793</v>
      </c>
      <c r="J251" s="441">
        <f t="shared" si="6"/>
        <v>348</v>
      </c>
      <c r="K251" s="685" t="str">
        <f>UPPER((TEXT(Tabla5[[#This Row],[FECHA]],"MMM")))</f>
        <v>ABR</v>
      </c>
      <c r="L251" s="780">
        <f>YEAR(Tabla5[[#This Row],[FECHA]])</f>
        <v>2024</v>
      </c>
      <c r="M251" s="749">
        <v>201</v>
      </c>
      <c r="N251" s="441" t="s">
        <v>680</v>
      </c>
      <c r="O251" s="441" t="s">
        <v>712</v>
      </c>
      <c r="P251" s="441" t="s">
        <v>110</v>
      </c>
    </row>
    <row r="252" spans="1:16">
      <c r="A252" s="387">
        <v>45409</v>
      </c>
      <c r="B252" s="340" t="s">
        <v>261</v>
      </c>
      <c r="C252" s="340" t="s">
        <v>275</v>
      </c>
      <c r="D252" s="340" t="s">
        <v>265</v>
      </c>
      <c r="E252" s="340">
        <v>76</v>
      </c>
      <c r="F252" s="340">
        <v>3</v>
      </c>
      <c r="G252" s="340">
        <v>929.93</v>
      </c>
      <c r="H252" s="347">
        <f t="shared" si="7"/>
        <v>212024.03999999998</v>
      </c>
      <c r="I252" s="340">
        <v>369</v>
      </c>
      <c r="J252" s="441">
        <f t="shared" si="6"/>
        <v>228</v>
      </c>
      <c r="K252" s="685" t="str">
        <f>UPPER((TEXT(Tabla5[[#This Row],[FECHA]],"MMM")))</f>
        <v>ABR</v>
      </c>
      <c r="L252" s="780">
        <f>YEAR(Tabla5[[#This Row],[FECHA]])</f>
        <v>2024</v>
      </c>
      <c r="M252" s="749">
        <v>201</v>
      </c>
      <c r="N252" s="441" t="s">
        <v>676</v>
      </c>
      <c r="O252" s="441" t="s">
        <v>712</v>
      </c>
      <c r="P252" s="441" t="s">
        <v>110</v>
      </c>
    </row>
    <row r="253" spans="1:16">
      <c r="A253" s="387">
        <v>45409</v>
      </c>
      <c r="B253" s="340" t="s">
        <v>295</v>
      </c>
      <c r="C253" s="340" t="s">
        <v>276</v>
      </c>
      <c r="D253" s="340" t="s">
        <v>405</v>
      </c>
      <c r="E253" s="340">
        <v>96</v>
      </c>
      <c r="F253" s="340">
        <v>9</v>
      </c>
      <c r="G253" s="340">
        <v>929.93</v>
      </c>
      <c r="H253" s="347">
        <f t="shared" si="7"/>
        <v>803459.5199999999</v>
      </c>
      <c r="I253" s="340">
        <v>614</v>
      </c>
      <c r="J253" s="441">
        <f t="shared" si="6"/>
        <v>864</v>
      </c>
      <c r="K253" s="685" t="str">
        <f>UPPER((TEXT(Tabla5[[#This Row],[FECHA]],"MMM")))</f>
        <v>ABR</v>
      </c>
      <c r="L253" s="780">
        <f>YEAR(Tabla5[[#This Row],[FECHA]])</f>
        <v>2024</v>
      </c>
      <c r="M253" s="749">
        <v>201</v>
      </c>
      <c r="N253" s="441" t="s">
        <v>678</v>
      </c>
      <c r="O253" s="441" t="s">
        <v>713</v>
      </c>
      <c r="P253" s="441" t="s">
        <v>110</v>
      </c>
    </row>
    <row r="254" spans="1:16">
      <c r="A254" s="387">
        <v>45410</v>
      </c>
      <c r="B254" s="340" t="s">
        <v>253</v>
      </c>
      <c r="C254" s="340" t="s">
        <v>258</v>
      </c>
      <c r="D254" s="340" t="s">
        <v>405</v>
      </c>
      <c r="E254" s="340">
        <v>96</v>
      </c>
      <c r="F254" s="340">
        <v>11</v>
      </c>
      <c r="G254" s="340">
        <v>929.93</v>
      </c>
      <c r="H254" s="347">
        <f t="shared" si="7"/>
        <v>982006.08</v>
      </c>
      <c r="I254" s="340">
        <v>870</v>
      </c>
      <c r="J254" s="441">
        <f t="shared" si="6"/>
        <v>1056</v>
      </c>
      <c r="K254" s="685" t="str">
        <f>UPPER((TEXT(Tabla5[[#This Row],[FECHA]],"MMM")))</f>
        <v>ABR</v>
      </c>
      <c r="L254" s="780">
        <f>YEAR(Tabla5[[#This Row],[FECHA]])</f>
        <v>2024</v>
      </c>
      <c r="M254" s="749">
        <v>201</v>
      </c>
      <c r="N254" s="441" t="s">
        <v>678</v>
      </c>
      <c r="O254" s="441" t="s">
        <v>713</v>
      </c>
      <c r="P254" s="441" t="s">
        <v>110</v>
      </c>
    </row>
    <row r="255" spans="1:16">
      <c r="A255" s="387">
        <v>45411</v>
      </c>
      <c r="B255" s="340" t="s">
        <v>272</v>
      </c>
      <c r="C255" s="340" t="s">
        <v>278</v>
      </c>
      <c r="D255" s="340" t="s">
        <v>260</v>
      </c>
      <c r="E255" s="340">
        <v>58</v>
      </c>
      <c r="F255" s="340">
        <v>4</v>
      </c>
      <c r="G255" s="340">
        <v>929.93</v>
      </c>
      <c r="H255" s="347">
        <f t="shared" si="7"/>
        <v>215743.75999999998</v>
      </c>
      <c r="I255" s="340">
        <v>182</v>
      </c>
      <c r="J255" s="441">
        <f t="shared" si="6"/>
        <v>232</v>
      </c>
      <c r="K255" s="685" t="str">
        <f>UPPER((TEXT(Tabla5[[#This Row],[FECHA]],"MMM")))</f>
        <v>ABR</v>
      </c>
      <c r="L255" s="780">
        <f>YEAR(Tabla5[[#This Row],[FECHA]])</f>
        <v>2024</v>
      </c>
      <c r="M255" s="749">
        <v>201</v>
      </c>
      <c r="N255" s="441" t="s">
        <v>679</v>
      </c>
      <c r="O255" s="441" t="s">
        <v>712</v>
      </c>
      <c r="P255" s="441" t="s">
        <v>110</v>
      </c>
    </row>
    <row r="256" spans="1:16">
      <c r="A256" s="387">
        <v>45411</v>
      </c>
      <c r="B256" s="340" t="s">
        <v>271</v>
      </c>
      <c r="C256" s="340" t="s">
        <v>292</v>
      </c>
      <c r="D256" s="340" t="s">
        <v>265</v>
      </c>
      <c r="E256" s="340">
        <v>76</v>
      </c>
      <c r="F256" s="340">
        <v>9</v>
      </c>
      <c r="G256" s="340">
        <v>929.93</v>
      </c>
      <c r="H256" s="347">
        <f t="shared" si="7"/>
        <v>636072.12</v>
      </c>
      <c r="I256" s="340">
        <v>893</v>
      </c>
      <c r="J256" s="441">
        <f t="shared" si="6"/>
        <v>684</v>
      </c>
      <c r="K256" s="685" t="str">
        <f>UPPER((TEXT(Tabla5[[#This Row],[FECHA]],"MMM")))</f>
        <v>ABR</v>
      </c>
      <c r="L256" s="780">
        <f>YEAR(Tabla5[[#This Row],[FECHA]])</f>
        <v>2024</v>
      </c>
      <c r="M256" s="749">
        <v>201</v>
      </c>
      <c r="N256" s="441" t="s">
        <v>676</v>
      </c>
      <c r="O256" s="441" t="s">
        <v>712</v>
      </c>
      <c r="P256" s="441" t="s">
        <v>110</v>
      </c>
    </row>
    <row r="257" spans="1:16" ht="10.199999999999999" customHeight="1">
      <c r="A257" s="387">
        <v>45411</v>
      </c>
      <c r="B257" s="340" t="s">
        <v>291</v>
      </c>
      <c r="C257" s="340" t="s">
        <v>280</v>
      </c>
      <c r="D257" s="340" t="s">
        <v>260</v>
      </c>
      <c r="E257" s="340">
        <v>58</v>
      </c>
      <c r="F257" s="340">
        <v>4</v>
      </c>
      <c r="G257" s="340">
        <v>929.93</v>
      </c>
      <c r="H257" s="347">
        <f t="shared" si="7"/>
        <v>215743.75999999998</v>
      </c>
      <c r="I257" s="340">
        <v>639</v>
      </c>
      <c r="J257" s="441">
        <f t="shared" si="6"/>
        <v>232</v>
      </c>
      <c r="K257" s="685" t="str">
        <f>UPPER((TEXT(Tabla5[[#This Row],[FECHA]],"MMM")))</f>
        <v>ABR</v>
      </c>
      <c r="L257" s="780">
        <f>YEAR(Tabla5[[#This Row],[FECHA]])</f>
        <v>2024</v>
      </c>
      <c r="M257" s="749">
        <v>201</v>
      </c>
      <c r="N257" s="441" t="s">
        <v>680</v>
      </c>
      <c r="O257" s="441" t="s">
        <v>712</v>
      </c>
      <c r="P257" s="441" t="s">
        <v>110</v>
      </c>
    </row>
    <row r="258" spans="1:16">
      <c r="A258" s="387">
        <v>45412</v>
      </c>
      <c r="B258" s="340" t="s">
        <v>272</v>
      </c>
      <c r="C258" s="340" t="s">
        <v>278</v>
      </c>
      <c r="D258" s="340" t="s">
        <v>260</v>
      </c>
      <c r="E258" s="340">
        <v>58</v>
      </c>
      <c r="F258" s="340">
        <v>4</v>
      </c>
      <c r="G258" s="340">
        <v>929.93</v>
      </c>
      <c r="H258" s="347">
        <f t="shared" si="7"/>
        <v>215743.75999999998</v>
      </c>
      <c r="I258" s="340">
        <v>232</v>
      </c>
      <c r="J258" s="441">
        <f t="shared" ref="J258:J325" si="8">E258*F258</f>
        <v>232</v>
      </c>
      <c r="K258" s="685" t="str">
        <f>UPPER((TEXT(Tabla5[[#This Row],[FECHA]],"MMM")))</f>
        <v>ABR</v>
      </c>
      <c r="L258" s="780">
        <f>YEAR(Tabla5[[#This Row],[FECHA]])</f>
        <v>2024</v>
      </c>
      <c r="M258" s="749">
        <v>201</v>
      </c>
      <c r="N258" s="441" t="s">
        <v>679</v>
      </c>
      <c r="O258" s="441" t="s">
        <v>712</v>
      </c>
      <c r="P258" s="441" t="s">
        <v>110</v>
      </c>
    </row>
    <row r="259" spans="1:16">
      <c r="A259" s="387">
        <v>45412</v>
      </c>
      <c r="B259" s="340" t="s">
        <v>271</v>
      </c>
      <c r="C259" s="340" t="s">
        <v>292</v>
      </c>
      <c r="D259" s="340" t="s">
        <v>265</v>
      </c>
      <c r="E259" s="340">
        <v>76</v>
      </c>
      <c r="F259" s="340">
        <v>9</v>
      </c>
      <c r="G259" s="340">
        <v>929.93</v>
      </c>
      <c r="H259" s="347">
        <f t="shared" si="7"/>
        <v>636072.12</v>
      </c>
      <c r="I259" s="340">
        <v>1623</v>
      </c>
      <c r="J259" s="441">
        <f t="shared" si="8"/>
        <v>684</v>
      </c>
      <c r="K259" s="685" t="str">
        <f>UPPER((TEXT(Tabla5[[#This Row],[FECHA]],"MMM")))</f>
        <v>ABR</v>
      </c>
      <c r="L259" s="780">
        <f>YEAR(Tabla5[[#This Row],[FECHA]])</f>
        <v>2024</v>
      </c>
      <c r="M259" s="749">
        <v>201</v>
      </c>
      <c r="N259" s="441" t="s">
        <v>676</v>
      </c>
      <c r="O259" s="441" t="s">
        <v>712</v>
      </c>
      <c r="P259" s="441" t="s">
        <v>110</v>
      </c>
    </row>
    <row r="260" spans="1:16">
      <c r="A260" s="391">
        <v>45412</v>
      </c>
      <c r="B260" s="392" t="s">
        <v>284</v>
      </c>
      <c r="C260" s="392" t="s">
        <v>285</v>
      </c>
      <c r="D260" s="392" t="s">
        <v>260</v>
      </c>
      <c r="E260" s="392">
        <v>58</v>
      </c>
      <c r="F260" s="392">
        <v>5</v>
      </c>
      <c r="G260" s="392">
        <v>929.93</v>
      </c>
      <c r="H260" s="393">
        <f t="shared" si="7"/>
        <v>269679.7</v>
      </c>
      <c r="I260" s="392">
        <v>595</v>
      </c>
      <c r="J260" s="442">
        <f t="shared" si="8"/>
        <v>290</v>
      </c>
      <c r="K260" s="751" t="str">
        <f>UPPER((TEXT(Tabla5[[#This Row],[FECHA]],"MMM")))</f>
        <v>ABR</v>
      </c>
      <c r="L260" s="780">
        <f>YEAR(Tabla5[[#This Row],[FECHA]])</f>
        <v>2024</v>
      </c>
      <c r="M260" s="749">
        <v>201</v>
      </c>
      <c r="N260" s="441" t="s">
        <v>680</v>
      </c>
      <c r="O260" s="441" t="s">
        <v>712</v>
      </c>
      <c r="P260" s="441" t="s">
        <v>110</v>
      </c>
    </row>
    <row r="261" spans="1:16" ht="13.8">
      <c r="A261" s="531">
        <v>45413</v>
      </c>
      <c r="B261" s="340" t="s">
        <v>253</v>
      </c>
      <c r="C261" s="340" t="s">
        <v>258</v>
      </c>
      <c r="D261" s="340" t="s">
        <v>440</v>
      </c>
      <c r="E261" s="340">
        <v>96</v>
      </c>
      <c r="F261" s="340">
        <v>9</v>
      </c>
      <c r="G261" s="529">
        <v>929.93</v>
      </c>
      <c r="H261" s="551">
        <f t="shared" si="7"/>
        <v>803459.5199999999</v>
      </c>
      <c r="I261" s="340">
        <v>718</v>
      </c>
      <c r="J261" s="752">
        <f t="shared" si="8"/>
        <v>864</v>
      </c>
      <c r="K261" s="685" t="str">
        <f>UPPER((TEXT(Tabla5[[#This Row],[FECHA]],"MMM")))</f>
        <v>MAY</v>
      </c>
      <c r="L261" s="780">
        <f>YEAR(Tabla5[[#This Row],[FECHA]])</f>
        <v>2024</v>
      </c>
      <c r="M261" s="749">
        <v>215</v>
      </c>
      <c r="N261" s="441" t="s">
        <v>678</v>
      </c>
      <c r="O261" s="441" t="s">
        <v>713</v>
      </c>
      <c r="P261" s="441" t="s">
        <v>110</v>
      </c>
    </row>
    <row r="262" spans="1:16" ht="13.8">
      <c r="A262" s="531">
        <v>45414</v>
      </c>
      <c r="B262" s="340" t="s">
        <v>269</v>
      </c>
      <c r="C262" s="340" t="s">
        <v>270</v>
      </c>
      <c r="D262" s="340" t="s">
        <v>260</v>
      </c>
      <c r="E262" s="340">
        <v>58</v>
      </c>
      <c r="F262" s="340">
        <v>4</v>
      </c>
      <c r="G262" s="529">
        <v>929.93</v>
      </c>
      <c r="H262" s="551">
        <f t="shared" ref="H262:H325" si="9">E262*F262*G262</f>
        <v>215743.75999999998</v>
      </c>
      <c r="I262" s="340">
        <v>221</v>
      </c>
      <c r="J262" s="752">
        <f t="shared" si="8"/>
        <v>232</v>
      </c>
      <c r="K262" s="685" t="str">
        <f>UPPER((TEXT(Tabla5[[#This Row],[FECHA]],"MMM")))</f>
        <v>MAY</v>
      </c>
      <c r="L262" s="780">
        <f>YEAR(Tabla5[[#This Row],[FECHA]])</f>
        <v>2024</v>
      </c>
      <c r="M262" s="749">
        <v>215</v>
      </c>
      <c r="N262" s="441" t="s">
        <v>679</v>
      </c>
      <c r="O262" s="441" t="s">
        <v>712</v>
      </c>
      <c r="P262" s="441" t="s">
        <v>110</v>
      </c>
    </row>
    <row r="263" spans="1:16" ht="13.8">
      <c r="A263" s="531">
        <v>45414</v>
      </c>
      <c r="B263" s="340" t="s">
        <v>295</v>
      </c>
      <c r="C263" s="340" t="s">
        <v>258</v>
      </c>
      <c r="D263" s="340" t="s">
        <v>265</v>
      </c>
      <c r="E263" s="340">
        <v>76</v>
      </c>
      <c r="F263" s="340">
        <v>9</v>
      </c>
      <c r="G263" s="529">
        <v>929.93</v>
      </c>
      <c r="H263" s="551">
        <f t="shared" si="9"/>
        <v>636072.12</v>
      </c>
      <c r="I263" s="340">
        <v>952</v>
      </c>
      <c r="J263" s="752">
        <f t="shared" si="8"/>
        <v>684</v>
      </c>
      <c r="K263" s="685" t="str">
        <f>UPPER((TEXT(Tabla5[[#This Row],[FECHA]],"MMM")))</f>
        <v>MAY</v>
      </c>
      <c r="L263" s="780">
        <f>YEAR(Tabla5[[#This Row],[FECHA]])</f>
        <v>2024</v>
      </c>
      <c r="M263" s="749">
        <v>215</v>
      </c>
      <c r="N263" s="441" t="s">
        <v>676</v>
      </c>
      <c r="O263" s="441" t="s">
        <v>712</v>
      </c>
      <c r="P263" s="441" t="s">
        <v>110</v>
      </c>
    </row>
    <row r="264" spans="1:16" ht="13.8">
      <c r="A264" s="531">
        <v>45414</v>
      </c>
      <c r="B264" s="340" t="s">
        <v>284</v>
      </c>
      <c r="C264" s="340" t="s">
        <v>285</v>
      </c>
      <c r="D264" s="340" t="s">
        <v>260</v>
      </c>
      <c r="E264" s="340">
        <v>58</v>
      </c>
      <c r="F264" s="340">
        <v>5</v>
      </c>
      <c r="G264" s="529">
        <v>929.93</v>
      </c>
      <c r="H264" s="551">
        <f t="shared" si="9"/>
        <v>269679.7</v>
      </c>
      <c r="I264" s="340">
        <v>564</v>
      </c>
      <c r="J264" s="752">
        <f t="shared" si="8"/>
        <v>290</v>
      </c>
      <c r="K264" s="685" t="str">
        <f>UPPER((TEXT(Tabla5[[#This Row],[FECHA]],"MMM")))</f>
        <v>MAY</v>
      </c>
      <c r="L264" s="780">
        <f>YEAR(Tabla5[[#This Row],[FECHA]])</f>
        <v>2024</v>
      </c>
      <c r="M264" s="749">
        <v>215</v>
      </c>
      <c r="N264" s="441" t="s">
        <v>680</v>
      </c>
      <c r="O264" s="441" t="s">
        <v>712</v>
      </c>
      <c r="P264" s="441" t="s">
        <v>110</v>
      </c>
    </row>
    <row r="265" spans="1:16" ht="13.8">
      <c r="A265" s="531">
        <v>45415</v>
      </c>
      <c r="B265" s="340" t="s">
        <v>269</v>
      </c>
      <c r="C265" s="340" t="s">
        <v>270</v>
      </c>
      <c r="D265" s="340" t="s">
        <v>260</v>
      </c>
      <c r="E265" s="340">
        <v>58</v>
      </c>
      <c r="F265" s="340">
        <v>4</v>
      </c>
      <c r="G265" s="529">
        <v>929.93</v>
      </c>
      <c r="H265" s="551">
        <f t="shared" si="9"/>
        <v>215743.75999999998</v>
      </c>
      <c r="I265" s="340">
        <v>175</v>
      </c>
      <c r="J265" s="752">
        <f t="shared" si="8"/>
        <v>232</v>
      </c>
      <c r="K265" s="685" t="str">
        <f>UPPER((TEXT(Tabla5[[#This Row],[FECHA]],"MMM")))</f>
        <v>MAY</v>
      </c>
      <c r="L265" s="780">
        <f>YEAR(Tabla5[[#This Row],[FECHA]])</f>
        <v>2024</v>
      </c>
      <c r="M265" s="749">
        <v>215</v>
      </c>
      <c r="N265" s="441" t="s">
        <v>679</v>
      </c>
      <c r="O265" s="441" t="s">
        <v>712</v>
      </c>
      <c r="P265" s="441" t="s">
        <v>110</v>
      </c>
    </row>
    <row r="266" spans="1:16" ht="13.8">
      <c r="A266" s="531">
        <v>45415</v>
      </c>
      <c r="B266" s="340" t="s">
        <v>271</v>
      </c>
      <c r="C266" s="340" t="s">
        <v>292</v>
      </c>
      <c r="D266" s="340" t="s">
        <v>265</v>
      </c>
      <c r="E266" s="340">
        <v>76</v>
      </c>
      <c r="F266" s="340">
        <v>9</v>
      </c>
      <c r="G266" s="529">
        <v>929.93</v>
      </c>
      <c r="H266" s="551">
        <f t="shared" si="9"/>
        <v>636072.12</v>
      </c>
      <c r="I266" s="340">
        <v>1488</v>
      </c>
      <c r="J266" s="752">
        <f t="shared" si="8"/>
        <v>684</v>
      </c>
      <c r="K266" s="685" t="str">
        <f>UPPER((TEXT(Tabla5[[#This Row],[FECHA]],"MMM")))</f>
        <v>MAY</v>
      </c>
      <c r="L266" s="780">
        <f>YEAR(Tabla5[[#This Row],[FECHA]])</f>
        <v>2024</v>
      </c>
      <c r="M266" s="749">
        <v>215</v>
      </c>
      <c r="N266" s="441" t="s">
        <v>676</v>
      </c>
      <c r="O266" s="441" t="s">
        <v>712</v>
      </c>
      <c r="P266" s="441" t="s">
        <v>110</v>
      </c>
    </row>
    <row r="267" spans="1:16" ht="13.8">
      <c r="A267" s="531">
        <v>45415</v>
      </c>
      <c r="B267" s="340" t="s">
        <v>284</v>
      </c>
      <c r="C267" s="340" t="s">
        <v>285</v>
      </c>
      <c r="D267" s="340" t="s">
        <v>260</v>
      </c>
      <c r="E267" s="340">
        <v>58</v>
      </c>
      <c r="F267" s="340">
        <v>6</v>
      </c>
      <c r="G267" s="529">
        <v>929.93</v>
      </c>
      <c r="H267" s="551">
        <f t="shared" si="9"/>
        <v>323615.63999999996</v>
      </c>
      <c r="I267" s="340">
        <v>687</v>
      </c>
      <c r="J267" s="752">
        <f t="shared" si="8"/>
        <v>348</v>
      </c>
      <c r="K267" s="685" t="str">
        <f>UPPER((TEXT(Tabla5[[#This Row],[FECHA]],"MMM")))</f>
        <v>MAY</v>
      </c>
      <c r="L267" s="780">
        <f>YEAR(Tabla5[[#This Row],[FECHA]])</f>
        <v>2024</v>
      </c>
      <c r="M267" s="749">
        <v>215</v>
      </c>
      <c r="N267" s="441" t="s">
        <v>680</v>
      </c>
      <c r="O267" s="441" t="s">
        <v>712</v>
      </c>
      <c r="P267" s="441" t="s">
        <v>110</v>
      </c>
    </row>
    <row r="268" spans="1:16" ht="13.8">
      <c r="A268" s="531">
        <v>45415</v>
      </c>
      <c r="B268" s="340" t="s">
        <v>410</v>
      </c>
      <c r="C268" s="340" t="s">
        <v>290</v>
      </c>
      <c r="D268" s="340" t="s">
        <v>440</v>
      </c>
      <c r="E268" s="340">
        <v>96</v>
      </c>
      <c r="F268" s="340">
        <v>4</v>
      </c>
      <c r="G268" s="529">
        <v>929.93</v>
      </c>
      <c r="H268" s="551">
        <f t="shared" si="9"/>
        <v>357093.12</v>
      </c>
      <c r="I268" s="340">
        <v>248</v>
      </c>
      <c r="J268" s="752">
        <f t="shared" si="8"/>
        <v>384</v>
      </c>
      <c r="K268" s="685" t="str">
        <f>UPPER((TEXT(Tabla5[[#This Row],[FECHA]],"MMM")))</f>
        <v>MAY</v>
      </c>
      <c r="L268" s="780">
        <f>YEAR(Tabla5[[#This Row],[FECHA]])</f>
        <v>2024</v>
      </c>
      <c r="M268" s="749">
        <v>215</v>
      </c>
      <c r="N268" s="441" t="s">
        <v>678</v>
      </c>
      <c r="O268" s="441" t="s">
        <v>713</v>
      </c>
      <c r="P268" s="441" t="s">
        <v>110</v>
      </c>
    </row>
    <row r="269" spans="1:16" ht="13.8">
      <c r="A269" s="531">
        <v>45416</v>
      </c>
      <c r="B269" s="340" t="s">
        <v>261</v>
      </c>
      <c r="C269" s="340" t="s">
        <v>275</v>
      </c>
      <c r="D269" s="340" t="s">
        <v>265</v>
      </c>
      <c r="E269" s="340">
        <v>76</v>
      </c>
      <c r="F269" s="340">
        <v>3</v>
      </c>
      <c r="G269" s="529">
        <v>929.93</v>
      </c>
      <c r="H269" s="551">
        <f t="shared" si="9"/>
        <v>212024.03999999998</v>
      </c>
      <c r="I269" s="340">
        <v>344</v>
      </c>
      <c r="J269" s="752">
        <f t="shared" si="8"/>
        <v>228</v>
      </c>
      <c r="K269" s="685" t="str">
        <f>UPPER((TEXT(Tabla5[[#This Row],[FECHA]],"MMM")))</f>
        <v>MAY</v>
      </c>
      <c r="L269" s="780">
        <f>YEAR(Tabla5[[#This Row],[FECHA]])</f>
        <v>2024</v>
      </c>
      <c r="M269" s="749">
        <v>215</v>
      </c>
      <c r="N269" s="441" t="s">
        <v>676</v>
      </c>
      <c r="O269" s="441" t="s">
        <v>712</v>
      </c>
      <c r="P269" s="441" t="s">
        <v>110</v>
      </c>
    </row>
    <row r="270" spans="1:16" ht="13.8">
      <c r="A270" s="531">
        <v>45416</v>
      </c>
      <c r="B270" s="340" t="s">
        <v>295</v>
      </c>
      <c r="C270" s="340" t="s">
        <v>276</v>
      </c>
      <c r="D270" s="340" t="s">
        <v>440</v>
      </c>
      <c r="E270" s="340">
        <v>96</v>
      </c>
      <c r="F270" s="340">
        <v>8</v>
      </c>
      <c r="G270" s="529">
        <v>929.93</v>
      </c>
      <c r="H270" s="551">
        <f t="shared" si="9"/>
        <v>714186.23999999999</v>
      </c>
      <c r="I270" s="340">
        <v>540</v>
      </c>
      <c r="J270" s="752">
        <f t="shared" si="8"/>
        <v>768</v>
      </c>
      <c r="K270" s="685" t="str">
        <f>UPPER((TEXT(Tabla5[[#This Row],[FECHA]],"MMM")))</f>
        <v>MAY</v>
      </c>
      <c r="L270" s="780">
        <f>YEAR(Tabla5[[#This Row],[FECHA]])</f>
        <v>2024</v>
      </c>
      <c r="M270" s="749">
        <v>215</v>
      </c>
      <c r="N270" s="441" t="s">
        <v>678</v>
      </c>
      <c r="O270" s="441" t="s">
        <v>713</v>
      </c>
      <c r="P270" s="441" t="s">
        <v>110</v>
      </c>
    </row>
    <row r="271" spans="1:16" ht="13.8">
      <c r="A271" s="531">
        <v>45417</v>
      </c>
      <c r="B271" s="340" t="s">
        <v>256</v>
      </c>
      <c r="C271" s="340" t="s">
        <v>257</v>
      </c>
      <c r="D271" s="340" t="s">
        <v>440</v>
      </c>
      <c r="E271" s="340">
        <v>96</v>
      </c>
      <c r="F271" s="340">
        <v>10</v>
      </c>
      <c r="G271" s="529">
        <v>929.93</v>
      </c>
      <c r="H271" s="551">
        <f t="shared" si="9"/>
        <v>892732.79999999993</v>
      </c>
      <c r="I271" s="340">
        <v>858</v>
      </c>
      <c r="J271" s="752">
        <f t="shared" si="8"/>
        <v>960</v>
      </c>
      <c r="K271" s="685" t="str">
        <f>UPPER((TEXT(Tabla5[[#This Row],[FECHA]],"MMM")))</f>
        <v>MAY</v>
      </c>
      <c r="L271" s="780">
        <f>YEAR(Tabla5[[#This Row],[FECHA]])</f>
        <v>2024</v>
      </c>
      <c r="M271" s="749">
        <v>215</v>
      </c>
      <c r="N271" s="441" t="s">
        <v>678</v>
      </c>
      <c r="O271" s="441" t="s">
        <v>713</v>
      </c>
      <c r="P271" s="441" t="s">
        <v>110</v>
      </c>
    </row>
    <row r="272" spans="1:16" ht="13.8">
      <c r="A272" s="531">
        <v>45418</v>
      </c>
      <c r="B272" s="340" t="s">
        <v>269</v>
      </c>
      <c r="C272" s="340" t="s">
        <v>270</v>
      </c>
      <c r="D272" s="340" t="s">
        <v>260</v>
      </c>
      <c r="E272" s="340">
        <v>58</v>
      </c>
      <c r="F272" s="340">
        <v>4</v>
      </c>
      <c r="G272" s="529">
        <v>929.93</v>
      </c>
      <c r="H272" s="551">
        <f t="shared" si="9"/>
        <v>215743.75999999998</v>
      </c>
      <c r="I272" s="340">
        <v>177</v>
      </c>
      <c r="J272" s="752">
        <f t="shared" si="8"/>
        <v>232</v>
      </c>
      <c r="K272" s="685" t="str">
        <f>UPPER((TEXT(Tabla5[[#This Row],[FECHA]],"MMM")))</f>
        <v>MAY</v>
      </c>
      <c r="L272" s="780">
        <f>YEAR(Tabla5[[#This Row],[FECHA]])</f>
        <v>2024</v>
      </c>
      <c r="M272" s="749">
        <v>215</v>
      </c>
      <c r="N272" s="441" t="s">
        <v>679</v>
      </c>
      <c r="O272" s="441" t="s">
        <v>712</v>
      </c>
      <c r="P272" s="441" t="s">
        <v>110</v>
      </c>
    </row>
    <row r="273" spans="1:16" ht="13.8">
      <c r="A273" s="531">
        <v>45418</v>
      </c>
      <c r="B273" s="340" t="s">
        <v>271</v>
      </c>
      <c r="C273" s="340" t="s">
        <v>257</v>
      </c>
      <c r="D273" s="340" t="s">
        <v>265</v>
      </c>
      <c r="E273" s="340">
        <v>76</v>
      </c>
      <c r="F273" s="340">
        <v>9</v>
      </c>
      <c r="G273" s="529">
        <v>929.93</v>
      </c>
      <c r="H273" s="551">
        <f t="shared" si="9"/>
        <v>636072.12</v>
      </c>
      <c r="I273" s="340">
        <v>997</v>
      </c>
      <c r="J273" s="752">
        <f t="shared" si="8"/>
        <v>684</v>
      </c>
      <c r="K273" s="685" t="str">
        <f>UPPER((TEXT(Tabla5[[#This Row],[FECHA]],"MMM")))</f>
        <v>MAY</v>
      </c>
      <c r="L273" s="780">
        <f>YEAR(Tabla5[[#This Row],[FECHA]])</f>
        <v>2024</v>
      </c>
      <c r="M273" s="749">
        <v>215</v>
      </c>
      <c r="N273" s="441" t="s">
        <v>676</v>
      </c>
      <c r="O273" s="441" t="s">
        <v>712</v>
      </c>
      <c r="P273" s="441" t="s">
        <v>110</v>
      </c>
    </row>
    <row r="274" spans="1:16" ht="13.8">
      <c r="A274" s="531">
        <v>45418</v>
      </c>
      <c r="B274" s="340" t="s">
        <v>441</v>
      </c>
      <c r="C274" s="340" t="s">
        <v>262</v>
      </c>
      <c r="D274" s="340" t="s">
        <v>260</v>
      </c>
      <c r="E274" s="340">
        <v>58</v>
      </c>
      <c r="F274" s="340">
        <v>4</v>
      </c>
      <c r="G274" s="529">
        <v>929.93</v>
      </c>
      <c r="H274" s="551">
        <f t="shared" si="9"/>
        <v>215743.75999999998</v>
      </c>
      <c r="I274" s="340">
        <v>541</v>
      </c>
      <c r="J274" s="752">
        <f t="shared" si="8"/>
        <v>232</v>
      </c>
      <c r="K274" s="685" t="str">
        <f>UPPER((TEXT(Tabla5[[#This Row],[FECHA]],"MMM")))</f>
        <v>MAY</v>
      </c>
      <c r="L274" s="780">
        <f>YEAR(Tabla5[[#This Row],[FECHA]])</f>
        <v>2024</v>
      </c>
      <c r="M274" s="749">
        <v>215</v>
      </c>
      <c r="N274" s="441" t="s">
        <v>680</v>
      </c>
      <c r="O274" s="441" t="s">
        <v>712</v>
      </c>
      <c r="P274" s="441" t="s">
        <v>110</v>
      </c>
    </row>
    <row r="275" spans="1:16" ht="13.8">
      <c r="A275" s="531">
        <v>45419</v>
      </c>
      <c r="B275" s="340" t="s">
        <v>269</v>
      </c>
      <c r="C275" s="340" t="s">
        <v>270</v>
      </c>
      <c r="D275" s="340" t="s">
        <v>260</v>
      </c>
      <c r="E275" s="340">
        <v>58</v>
      </c>
      <c r="F275" s="340">
        <v>4</v>
      </c>
      <c r="G275" s="529">
        <v>929.93</v>
      </c>
      <c r="H275" s="551">
        <f t="shared" si="9"/>
        <v>215743.75999999998</v>
      </c>
      <c r="I275" s="340">
        <v>251</v>
      </c>
      <c r="J275" s="752">
        <f t="shared" si="8"/>
        <v>232</v>
      </c>
      <c r="K275" s="685" t="str">
        <f>UPPER((TEXT(Tabla5[[#This Row],[FECHA]],"MMM")))</f>
        <v>MAY</v>
      </c>
      <c r="L275" s="780">
        <f>YEAR(Tabla5[[#This Row],[FECHA]])</f>
        <v>2024</v>
      </c>
      <c r="M275" s="749">
        <v>215</v>
      </c>
      <c r="N275" s="441" t="s">
        <v>679</v>
      </c>
      <c r="O275" s="441" t="s">
        <v>712</v>
      </c>
      <c r="P275" s="441" t="s">
        <v>110</v>
      </c>
    </row>
    <row r="276" spans="1:16" ht="13.8">
      <c r="A276" s="531">
        <v>45419</v>
      </c>
      <c r="B276" s="340" t="s">
        <v>271</v>
      </c>
      <c r="C276" s="340" t="s">
        <v>257</v>
      </c>
      <c r="D276" s="340" t="s">
        <v>265</v>
      </c>
      <c r="E276" s="340">
        <v>76</v>
      </c>
      <c r="F276" s="340">
        <v>9</v>
      </c>
      <c r="G276" s="529">
        <v>929.93</v>
      </c>
      <c r="H276" s="551">
        <f t="shared" si="9"/>
        <v>636072.12</v>
      </c>
      <c r="I276" s="340">
        <v>1190</v>
      </c>
      <c r="J276" s="752">
        <f t="shared" si="8"/>
        <v>684</v>
      </c>
      <c r="K276" s="685" t="str">
        <f>UPPER((TEXT(Tabla5[[#This Row],[FECHA]],"MMM")))</f>
        <v>MAY</v>
      </c>
      <c r="L276" s="780">
        <f>YEAR(Tabla5[[#This Row],[FECHA]])</f>
        <v>2024</v>
      </c>
      <c r="M276" s="749">
        <v>215</v>
      </c>
      <c r="N276" s="441" t="s">
        <v>676</v>
      </c>
      <c r="O276" s="441" t="s">
        <v>712</v>
      </c>
      <c r="P276" s="441" t="s">
        <v>110</v>
      </c>
    </row>
    <row r="277" spans="1:16" ht="13.8">
      <c r="A277" s="531">
        <v>45419</v>
      </c>
      <c r="B277" s="340" t="s">
        <v>284</v>
      </c>
      <c r="C277" s="340" t="s">
        <v>285</v>
      </c>
      <c r="D277" s="340" t="s">
        <v>260</v>
      </c>
      <c r="E277" s="340">
        <v>58</v>
      </c>
      <c r="F277" s="340">
        <v>5</v>
      </c>
      <c r="G277" s="529">
        <v>929.93</v>
      </c>
      <c r="H277" s="551">
        <f t="shared" si="9"/>
        <v>269679.7</v>
      </c>
      <c r="I277" s="340">
        <v>621</v>
      </c>
      <c r="J277" s="752">
        <f t="shared" si="8"/>
        <v>290</v>
      </c>
      <c r="K277" s="685" t="str">
        <f>UPPER((TEXT(Tabla5[[#This Row],[FECHA]],"MMM")))</f>
        <v>MAY</v>
      </c>
      <c r="L277" s="780">
        <f>YEAR(Tabla5[[#This Row],[FECHA]])</f>
        <v>2024</v>
      </c>
      <c r="M277" s="749">
        <v>215</v>
      </c>
      <c r="N277" s="441" t="s">
        <v>680</v>
      </c>
      <c r="O277" s="441" t="s">
        <v>712</v>
      </c>
      <c r="P277" s="441" t="s">
        <v>110</v>
      </c>
    </row>
    <row r="278" spans="1:16" ht="13.8">
      <c r="A278" s="531">
        <v>45420</v>
      </c>
      <c r="B278" s="340" t="s">
        <v>269</v>
      </c>
      <c r="C278" s="340" t="s">
        <v>270</v>
      </c>
      <c r="D278" s="340" t="s">
        <v>260</v>
      </c>
      <c r="E278" s="340">
        <v>58</v>
      </c>
      <c r="F278" s="340">
        <v>4</v>
      </c>
      <c r="G278" s="529">
        <v>929.93</v>
      </c>
      <c r="H278" s="551">
        <f t="shared" si="9"/>
        <v>215743.75999999998</v>
      </c>
      <c r="I278" s="340">
        <v>180</v>
      </c>
      <c r="J278" s="752">
        <f t="shared" si="8"/>
        <v>232</v>
      </c>
      <c r="K278" s="685" t="str">
        <f>UPPER((TEXT(Tabla5[[#This Row],[FECHA]],"MMM")))</f>
        <v>MAY</v>
      </c>
      <c r="L278" s="780">
        <f>YEAR(Tabla5[[#This Row],[FECHA]])</f>
        <v>2024</v>
      </c>
      <c r="M278" s="749">
        <v>215</v>
      </c>
      <c r="N278" s="441" t="s">
        <v>679</v>
      </c>
      <c r="O278" s="441" t="s">
        <v>712</v>
      </c>
      <c r="P278" s="441" t="s">
        <v>110</v>
      </c>
    </row>
    <row r="279" spans="1:16" ht="13.8">
      <c r="A279" s="531">
        <v>45420</v>
      </c>
      <c r="B279" s="340" t="s">
        <v>295</v>
      </c>
      <c r="C279" s="340" t="s">
        <v>258</v>
      </c>
      <c r="D279" s="340" t="s">
        <v>265</v>
      </c>
      <c r="E279" s="340">
        <v>76</v>
      </c>
      <c r="F279" s="340">
        <v>9</v>
      </c>
      <c r="G279" s="529">
        <v>929.93</v>
      </c>
      <c r="H279" s="551">
        <f t="shared" si="9"/>
        <v>636072.12</v>
      </c>
      <c r="I279" s="340">
        <v>1142</v>
      </c>
      <c r="J279" s="752">
        <f t="shared" si="8"/>
        <v>684</v>
      </c>
      <c r="K279" s="685" t="str">
        <f>UPPER((TEXT(Tabla5[[#This Row],[FECHA]],"MMM")))</f>
        <v>MAY</v>
      </c>
      <c r="L279" s="780">
        <f>YEAR(Tabla5[[#This Row],[FECHA]])</f>
        <v>2024</v>
      </c>
      <c r="M279" s="749">
        <v>215</v>
      </c>
      <c r="N279" s="441" t="s">
        <v>676</v>
      </c>
      <c r="O279" s="441" t="s">
        <v>712</v>
      </c>
      <c r="P279" s="441" t="s">
        <v>110</v>
      </c>
    </row>
    <row r="280" spans="1:16" ht="13.8">
      <c r="A280" s="531">
        <v>45420</v>
      </c>
      <c r="B280" s="340" t="s">
        <v>284</v>
      </c>
      <c r="C280" s="340" t="s">
        <v>285</v>
      </c>
      <c r="D280" s="340" t="s">
        <v>260</v>
      </c>
      <c r="E280" s="340">
        <v>58</v>
      </c>
      <c r="F280" s="340">
        <v>5</v>
      </c>
      <c r="G280" s="529">
        <v>929.93</v>
      </c>
      <c r="H280" s="551">
        <f t="shared" si="9"/>
        <v>269679.7</v>
      </c>
      <c r="I280" s="340">
        <v>780</v>
      </c>
      <c r="J280" s="752">
        <f t="shared" si="8"/>
        <v>290</v>
      </c>
      <c r="K280" s="685" t="str">
        <f>UPPER((TEXT(Tabla5[[#This Row],[FECHA]],"MMM")))</f>
        <v>MAY</v>
      </c>
      <c r="L280" s="780">
        <f>YEAR(Tabla5[[#This Row],[FECHA]])</f>
        <v>2024</v>
      </c>
      <c r="M280" s="749">
        <v>215</v>
      </c>
      <c r="N280" s="441" t="s">
        <v>680</v>
      </c>
      <c r="O280" s="441" t="s">
        <v>712</v>
      </c>
      <c r="P280" s="441" t="s">
        <v>110</v>
      </c>
    </row>
    <row r="281" spans="1:16" ht="13.8">
      <c r="A281" s="530">
        <v>45421</v>
      </c>
      <c r="B281" s="340" t="s">
        <v>272</v>
      </c>
      <c r="C281" s="340" t="s">
        <v>278</v>
      </c>
      <c r="D281" s="340" t="s">
        <v>260</v>
      </c>
      <c r="E281" s="340">
        <v>58</v>
      </c>
      <c r="F281" s="340">
        <v>4</v>
      </c>
      <c r="G281" s="529">
        <v>929.93</v>
      </c>
      <c r="H281" s="551">
        <f t="shared" si="9"/>
        <v>215743.75999999998</v>
      </c>
      <c r="I281" s="340">
        <v>168</v>
      </c>
      <c r="J281" s="752">
        <f t="shared" si="8"/>
        <v>232</v>
      </c>
      <c r="K281" s="685" t="str">
        <f>UPPER((TEXT(Tabla5[[#This Row],[FECHA]],"MMM")))</f>
        <v>MAY</v>
      </c>
      <c r="L281" s="780">
        <f>YEAR(Tabla5[[#This Row],[FECHA]])</f>
        <v>2024</v>
      </c>
      <c r="M281" s="749">
        <v>215</v>
      </c>
      <c r="N281" s="441" t="s">
        <v>679</v>
      </c>
      <c r="O281" s="441" t="s">
        <v>712</v>
      </c>
      <c r="P281" s="441" t="s">
        <v>110</v>
      </c>
    </row>
    <row r="282" spans="1:16" ht="13.8">
      <c r="A282" s="530">
        <v>45421</v>
      </c>
      <c r="B282" s="340" t="s">
        <v>295</v>
      </c>
      <c r="C282" s="340" t="s">
        <v>258</v>
      </c>
      <c r="D282" s="340" t="s">
        <v>265</v>
      </c>
      <c r="E282" s="340">
        <v>76</v>
      </c>
      <c r="F282" s="340">
        <v>9</v>
      </c>
      <c r="G282" s="529">
        <v>929.93</v>
      </c>
      <c r="H282" s="551">
        <f t="shared" si="9"/>
        <v>636072.12</v>
      </c>
      <c r="I282" s="340">
        <v>961</v>
      </c>
      <c r="J282" s="752">
        <f t="shared" si="8"/>
        <v>684</v>
      </c>
      <c r="K282" s="685" t="str">
        <f>UPPER((TEXT(Tabla5[[#This Row],[FECHA]],"MMM")))</f>
        <v>MAY</v>
      </c>
      <c r="L282" s="780">
        <f>YEAR(Tabla5[[#This Row],[FECHA]])</f>
        <v>2024</v>
      </c>
      <c r="M282" s="749">
        <v>215</v>
      </c>
      <c r="N282" s="441" t="s">
        <v>676</v>
      </c>
      <c r="O282" s="441" t="s">
        <v>712</v>
      </c>
      <c r="P282" s="441" t="s">
        <v>110</v>
      </c>
    </row>
    <row r="283" spans="1:16" ht="13.8">
      <c r="A283" s="530">
        <v>45421</v>
      </c>
      <c r="B283" s="340" t="s">
        <v>284</v>
      </c>
      <c r="C283" s="340" t="s">
        <v>442</v>
      </c>
      <c r="D283" s="340" t="s">
        <v>260</v>
      </c>
      <c r="E283" s="340">
        <v>58</v>
      </c>
      <c r="F283" s="340">
        <v>5</v>
      </c>
      <c r="G283" s="529">
        <v>929.93</v>
      </c>
      <c r="H283" s="551">
        <f t="shared" si="9"/>
        <v>269679.7</v>
      </c>
      <c r="I283" s="340">
        <v>486</v>
      </c>
      <c r="J283" s="752">
        <f t="shared" si="8"/>
        <v>290</v>
      </c>
      <c r="K283" s="685" t="str">
        <f>UPPER((TEXT(Tabla5[[#This Row],[FECHA]],"MMM")))</f>
        <v>MAY</v>
      </c>
      <c r="L283" s="780">
        <f>YEAR(Tabla5[[#This Row],[FECHA]])</f>
        <v>2024</v>
      </c>
      <c r="M283" s="749">
        <v>215</v>
      </c>
      <c r="N283" s="441" t="s">
        <v>680</v>
      </c>
      <c r="O283" s="441" t="s">
        <v>712</v>
      </c>
      <c r="P283" s="441" t="s">
        <v>110</v>
      </c>
    </row>
    <row r="284" spans="1:16" ht="13.8">
      <c r="A284" s="530">
        <v>45422</v>
      </c>
      <c r="B284" s="340" t="s">
        <v>272</v>
      </c>
      <c r="C284" s="340" t="s">
        <v>278</v>
      </c>
      <c r="D284" s="340" t="s">
        <v>260</v>
      </c>
      <c r="E284" s="340">
        <v>58</v>
      </c>
      <c r="F284" s="340">
        <v>4</v>
      </c>
      <c r="G284" s="529">
        <v>929.93</v>
      </c>
      <c r="H284" s="551">
        <f t="shared" si="9"/>
        <v>215743.75999999998</v>
      </c>
      <c r="I284" s="340">
        <v>143</v>
      </c>
      <c r="J284" s="752">
        <f t="shared" si="8"/>
        <v>232</v>
      </c>
      <c r="K284" s="685" t="str">
        <f>UPPER((TEXT(Tabla5[[#This Row],[FECHA]],"MMM")))</f>
        <v>MAY</v>
      </c>
      <c r="L284" s="780">
        <f>YEAR(Tabla5[[#This Row],[FECHA]])</f>
        <v>2024</v>
      </c>
      <c r="M284" s="749">
        <v>215</v>
      </c>
      <c r="N284" s="441" t="s">
        <v>679</v>
      </c>
      <c r="O284" s="441" t="s">
        <v>712</v>
      </c>
      <c r="P284" s="441" t="s">
        <v>110</v>
      </c>
    </row>
    <row r="285" spans="1:16" ht="13.8">
      <c r="A285" s="530">
        <v>45422</v>
      </c>
      <c r="B285" s="340" t="s">
        <v>295</v>
      </c>
      <c r="C285" s="340" t="s">
        <v>258</v>
      </c>
      <c r="D285" s="340" t="s">
        <v>265</v>
      </c>
      <c r="E285" s="340">
        <v>76</v>
      </c>
      <c r="F285" s="340">
        <v>9</v>
      </c>
      <c r="G285" s="529">
        <v>929.93</v>
      </c>
      <c r="H285" s="551">
        <f t="shared" si="9"/>
        <v>636072.12</v>
      </c>
      <c r="I285" s="340">
        <v>1274</v>
      </c>
      <c r="J285" s="752">
        <f t="shared" si="8"/>
        <v>684</v>
      </c>
      <c r="K285" s="685" t="str">
        <f>UPPER((TEXT(Tabla5[[#This Row],[FECHA]],"MMM")))</f>
        <v>MAY</v>
      </c>
      <c r="L285" s="780">
        <f>YEAR(Tabla5[[#This Row],[FECHA]])</f>
        <v>2024</v>
      </c>
      <c r="M285" s="749">
        <v>215</v>
      </c>
      <c r="N285" s="441" t="s">
        <v>676</v>
      </c>
      <c r="O285" s="441" t="s">
        <v>712</v>
      </c>
      <c r="P285" s="441" t="s">
        <v>110</v>
      </c>
    </row>
    <row r="286" spans="1:16" ht="13.8">
      <c r="A286" s="530">
        <v>45422</v>
      </c>
      <c r="B286" s="340" t="s">
        <v>406</v>
      </c>
      <c r="C286" s="340" t="s">
        <v>259</v>
      </c>
      <c r="D286" s="340" t="s">
        <v>260</v>
      </c>
      <c r="E286" s="340">
        <v>58</v>
      </c>
      <c r="F286" s="340">
        <v>6</v>
      </c>
      <c r="G286" s="529">
        <v>929.93</v>
      </c>
      <c r="H286" s="551">
        <f t="shared" si="9"/>
        <v>323615.63999999996</v>
      </c>
      <c r="I286" s="340">
        <v>761</v>
      </c>
      <c r="J286" s="752">
        <f t="shared" si="8"/>
        <v>348</v>
      </c>
      <c r="K286" s="685" t="str">
        <f>UPPER((TEXT(Tabla5[[#This Row],[FECHA]],"MMM")))</f>
        <v>MAY</v>
      </c>
      <c r="L286" s="780">
        <f>YEAR(Tabla5[[#This Row],[FECHA]])</f>
        <v>2024</v>
      </c>
      <c r="M286" s="749">
        <v>215</v>
      </c>
      <c r="N286" s="441" t="s">
        <v>680</v>
      </c>
      <c r="O286" s="441" t="s">
        <v>712</v>
      </c>
      <c r="P286" s="441" t="s">
        <v>110</v>
      </c>
    </row>
    <row r="287" spans="1:16" ht="13.8">
      <c r="A287" s="530">
        <v>45423</v>
      </c>
      <c r="B287" s="340" t="s">
        <v>261</v>
      </c>
      <c r="C287" s="340" t="s">
        <v>275</v>
      </c>
      <c r="D287" s="340" t="s">
        <v>265</v>
      </c>
      <c r="E287" s="340">
        <v>76</v>
      </c>
      <c r="F287" s="340">
        <v>3</v>
      </c>
      <c r="G287" s="529">
        <v>929.93</v>
      </c>
      <c r="H287" s="551">
        <f t="shared" si="9"/>
        <v>212024.03999999998</v>
      </c>
      <c r="I287" s="340">
        <v>150</v>
      </c>
      <c r="J287" s="752">
        <f t="shared" si="8"/>
        <v>228</v>
      </c>
      <c r="K287" s="685" t="str">
        <f>UPPER((TEXT(Tabla5[[#This Row],[FECHA]],"MMM")))</f>
        <v>MAY</v>
      </c>
      <c r="L287" s="780">
        <f>YEAR(Tabla5[[#This Row],[FECHA]])</f>
        <v>2024</v>
      </c>
      <c r="M287" s="749">
        <v>215</v>
      </c>
      <c r="N287" s="441" t="s">
        <v>676</v>
      </c>
      <c r="O287" s="441" t="s">
        <v>712</v>
      </c>
      <c r="P287" s="441" t="s">
        <v>110</v>
      </c>
    </row>
    <row r="288" spans="1:16" ht="13.8">
      <c r="A288" s="530">
        <v>45423</v>
      </c>
      <c r="B288" s="340" t="s">
        <v>263</v>
      </c>
      <c r="C288" s="340" t="s">
        <v>283</v>
      </c>
      <c r="D288" s="340" t="s">
        <v>440</v>
      </c>
      <c r="E288" s="340">
        <v>96</v>
      </c>
      <c r="F288" s="340">
        <v>11</v>
      </c>
      <c r="G288" s="529">
        <v>929.93</v>
      </c>
      <c r="H288" s="551">
        <f t="shared" si="9"/>
        <v>982006.08</v>
      </c>
      <c r="I288" s="340">
        <v>770</v>
      </c>
      <c r="J288" s="752">
        <f t="shared" si="8"/>
        <v>1056</v>
      </c>
      <c r="K288" s="685" t="str">
        <f>UPPER((TEXT(Tabla5[[#This Row],[FECHA]],"MMM")))</f>
        <v>MAY</v>
      </c>
      <c r="L288" s="780">
        <f>YEAR(Tabla5[[#This Row],[FECHA]])</f>
        <v>2024</v>
      </c>
      <c r="M288" s="749">
        <v>215</v>
      </c>
      <c r="N288" s="441" t="s">
        <v>678</v>
      </c>
      <c r="O288" s="441" t="s">
        <v>713</v>
      </c>
      <c r="P288" s="441" t="s">
        <v>110</v>
      </c>
    </row>
    <row r="289" spans="1:16" ht="13.8">
      <c r="A289" s="530">
        <v>45424</v>
      </c>
      <c r="B289" s="340" t="s">
        <v>256</v>
      </c>
      <c r="C289" s="340" t="s">
        <v>257</v>
      </c>
      <c r="D289" s="340" t="s">
        <v>440</v>
      </c>
      <c r="E289" s="340">
        <v>96</v>
      </c>
      <c r="F289" s="340">
        <v>18</v>
      </c>
      <c r="G289" s="529">
        <v>929.93</v>
      </c>
      <c r="H289" s="551">
        <f t="shared" si="9"/>
        <v>1606919.0399999998</v>
      </c>
      <c r="I289" s="340">
        <v>1574</v>
      </c>
      <c r="J289" s="752">
        <f t="shared" si="8"/>
        <v>1728</v>
      </c>
      <c r="K289" s="685" t="str">
        <f>UPPER((TEXT(Tabla5[[#This Row],[FECHA]],"MMM")))</f>
        <v>MAY</v>
      </c>
      <c r="L289" s="780">
        <f>YEAR(Tabla5[[#This Row],[FECHA]])</f>
        <v>2024</v>
      </c>
      <c r="M289" s="749">
        <v>215</v>
      </c>
      <c r="N289" s="441" t="s">
        <v>678</v>
      </c>
      <c r="O289" s="441" t="s">
        <v>713</v>
      </c>
      <c r="P289" s="441" t="s">
        <v>110</v>
      </c>
    </row>
    <row r="290" spans="1:16" ht="13.8">
      <c r="A290" s="530">
        <v>45425</v>
      </c>
      <c r="B290" s="340" t="s">
        <v>253</v>
      </c>
      <c r="C290" s="340" t="s">
        <v>258</v>
      </c>
      <c r="D290" s="340" t="s">
        <v>440</v>
      </c>
      <c r="E290" s="340">
        <v>96</v>
      </c>
      <c r="F290" s="340">
        <v>12</v>
      </c>
      <c r="G290" s="529">
        <v>929.93</v>
      </c>
      <c r="H290" s="551">
        <f t="shared" si="9"/>
        <v>1071279.3599999999</v>
      </c>
      <c r="I290" s="340">
        <v>818</v>
      </c>
      <c r="J290" s="752">
        <f t="shared" si="8"/>
        <v>1152</v>
      </c>
      <c r="K290" s="685" t="str">
        <f>UPPER((TEXT(Tabla5[[#This Row],[FECHA]],"MMM")))</f>
        <v>MAY</v>
      </c>
      <c r="L290" s="780">
        <f>YEAR(Tabla5[[#This Row],[FECHA]])</f>
        <v>2024</v>
      </c>
      <c r="M290" s="749">
        <v>215</v>
      </c>
      <c r="N290" s="441" t="s">
        <v>678</v>
      </c>
      <c r="O290" s="441" t="s">
        <v>713</v>
      </c>
      <c r="P290" s="441" t="s">
        <v>110</v>
      </c>
    </row>
    <row r="291" spans="1:16" ht="13.8">
      <c r="A291" s="531">
        <v>45426</v>
      </c>
      <c r="B291" s="340" t="s">
        <v>261</v>
      </c>
      <c r="C291" s="340" t="s">
        <v>266</v>
      </c>
      <c r="D291" s="340" t="s">
        <v>260</v>
      </c>
      <c r="E291" s="340">
        <v>58</v>
      </c>
      <c r="F291" s="340">
        <v>4</v>
      </c>
      <c r="G291" s="529">
        <v>929.93</v>
      </c>
      <c r="H291" s="551">
        <f t="shared" si="9"/>
        <v>215743.75999999998</v>
      </c>
      <c r="I291" s="340">
        <v>229</v>
      </c>
      <c r="J291" s="752">
        <f t="shared" si="8"/>
        <v>232</v>
      </c>
      <c r="K291" s="685" t="str">
        <f>UPPER((TEXT(Tabla5[[#This Row],[FECHA]],"MMM")))</f>
        <v>MAY</v>
      </c>
      <c r="L291" s="780">
        <f>YEAR(Tabla5[[#This Row],[FECHA]])</f>
        <v>2024</v>
      </c>
      <c r="M291" s="749">
        <v>215</v>
      </c>
      <c r="N291" s="441" t="s">
        <v>679</v>
      </c>
      <c r="O291" s="441" t="s">
        <v>712</v>
      </c>
      <c r="P291" s="441" t="s">
        <v>110</v>
      </c>
    </row>
    <row r="292" spans="1:16" ht="13.8">
      <c r="A292" s="531">
        <v>45426</v>
      </c>
      <c r="B292" s="340" t="s">
        <v>295</v>
      </c>
      <c r="C292" s="340" t="s">
        <v>258</v>
      </c>
      <c r="D292" s="340" t="s">
        <v>265</v>
      </c>
      <c r="E292" s="340">
        <v>76</v>
      </c>
      <c r="F292" s="340">
        <v>9</v>
      </c>
      <c r="G292" s="529">
        <v>929.93</v>
      </c>
      <c r="H292" s="551">
        <f t="shared" si="9"/>
        <v>636072.12</v>
      </c>
      <c r="I292" s="340">
        <v>1071</v>
      </c>
      <c r="J292" s="752">
        <f t="shared" si="8"/>
        <v>684</v>
      </c>
      <c r="K292" s="685" t="str">
        <f>UPPER((TEXT(Tabla5[[#This Row],[FECHA]],"MMM")))</f>
        <v>MAY</v>
      </c>
      <c r="L292" s="780">
        <f>YEAR(Tabla5[[#This Row],[FECHA]])</f>
        <v>2024</v>
      </c>
      <c r="M292" s="749">
        <v>215</v>
      </c>
      <c r="N292" s="441" t="s">
        <v>676</v>
      </c>
      <c r="O292" s="441" t="s">
        <v>712</v>
      </c>
      <c r="P292" s="441" t="s">
        <v>110</v>
      </c>
    </row>
    <row r="293" spans="1:16" ht="13.8">
      <c r="A293" s="531">
        <v>45426</v>
      </c>
      <c r="B293" s="340" t="s">
        <v>406</v>
      </c>
      <c r="C293" s="340" t="s">
        <v>259</v>
      </c>
      <c r="D293" s="340" t="s">
        <v>260</v>
      </c>
      <c r="E293" s="340">
        <v>58</v>
      </c>
      <c r="F293" s="340">
        <v>5</v>
      </c>
      <c r="G293" s="529">
        <v>929.93</v>
      </c>
      <c r="H293" s="551">
        <f t="shared" si="9"/>
        <v>269679.7</v>
      </c>
      <c r="I293" s="340">
        <v>356</v>
      </c>
      <c r="J293" s="752">
        <f t="shared" si="8"/>
        <v>290</v>
      </c>
      <c r="K293" s="685" t="str">
        <f>UPPER((TEXT(Tabla5[[#This Row],[FECHA]],"MMM")))</f>
        <v>MAY</v>
      </c>
      <c r="L293" s="780">
        <f>YEAR(Tabla5[[#This Row],[FECHA]])</f>
        <v>2024</v>
      </c>
      <c r="M293" s="749">
        <v>215</v>
      </c>
      <c r="N293" s="441" t="s">
        <v>680</v>
      </c>
      <c r="O293" s="441" t="s">
        <v>712</v>
      </c>
      <c r="P293" s="441" t="s">
        <v>110</v>
      </c>
    </row>
    <row r="294" spans="1:16" ht="13.8">
      <c r="A294" s="531">
        <v>45427</v>
      </c>
      <c r="B294" s="340" t="s">
        <v>272</v>
      </c>
      <c r="C294" s="340" t="s">
        <v>278</v>
      </c>
      <c r="D294" s="340" t="s">
        <v>260</v>
      </c>
      <c r="E294" s="340">
        <v>58</v>
      </c>
      <c r="F294" s="340">
        <v>4</v>
      </c>
      <c r="G294" s="529">
        <v>929.93</v>
      </c>
      <c r="H294" s="551">
        <f t="shared" si="9"/>
        <v>215743.75999999998</v>
      </c>
      <c r="I294" s="340">
        <v>180</v>
      </c>
      <c r="J294" s="752">
        <f t="shared" si="8"/>
        <v>232</v>
      </c>
      <c r="K294" s="685" t="str">
        <f>UPPER((TEXT(Tabla5[[#This Row],[FECHA]],"MMM")))</f>
        <v>MAY</v>
      </c>
      <c r="L294" s="780">
        <f>YEAR(Tabla5[[#This Row],[FECHA]])</f>
        <v>2024</v>
      </c>
      <c r="M294" s="749">
        <v>215</v>
      </c>
      <c r="N294" s="441" t="s">
        <v>679</v>
      </c>
      <c r="O294" s="441" t="s">
        <v>712</v>
      </c>
      <c r="P294" s="441" t="s">
        <v>110</v>
      </c>
    </row>
    <row r="295" spans="1:16" ht="13.8">
      <c r="A295" s="531">
        <v>45427</v>
      </c>
      <c r="B295" s="340" t="s">
        <v>295</v>
      </c>
      <c r="C295" s="340" t="s">
        <v>258</v>
      </c>
      <c r="D295" s="340" t="s">
        <v>265</v>
      </c>
      <c r="E295" s="340">
        <v>76</v>
      </c>
      <c r="F295" s="340">
        <v>9</v>
      </c>
      <c r="G295" s="529">
        <v>929.93</v>
      </c>
      <c r="H295" s="551">
        <f t="shared" si="9"/>
        <v>636072.12</v>
      </c>
      <c r="I295" s="340">
        <v>1107</v>
      </c>
      <c r="J295" s="752">
        <f t="shared" si="8"/>
        <v>684</v>
      </c>
      <c r="K295" s="685" t="str">
        <f>UPPER((TEXT(Tabla5[[#This Row],[FECHA]],"MMM")))</f>
        <v>MAY</v>
      </c>
      <c r="L295" s="780">
        <f>YEAR(Tabla5[[#This Row],[FECHA]])</f>
        <v>2024</v>
      </c>
      <c r="M295" s="749">
        <v>215</v>
      </c>
      <c r="N295" s="441" t="s">
        <v>676</v>
      </c>
      <c r="O295" s="441" t="s">
        <v>712</v>
      </c>
      <c r="P295" s="441" t="s">
        <v>110</v>
      </c>
    </row>
    <row r="296" spans="1:16" ht="13.8">
      <c r="A296" s="531">
        <v>45427</v>
      </c>
      <c r="B296" s="340" t="s">
        <v>403</v>
      </c>
      <c r="C296" s="340" t="s">
        <v>404</v>
      </c>
      <c r="D296" s="340" t="s">
        <v>260</v>
      </c>
      <c r="E296" s="340">
        <v>58</v>
      </c>
      <c r="F296" s="340">
        <v>5</v>
      </c>
      <c r="G296" s="529">
        <v>929.93</v>
      </c>
      <c r="H296" s="551">
        <f t="shared" si="9"/>
        <v>269679.7</v>
      </c>
      <c r="I296" s="340">
        <v>648</v>
      </c>
      <c r="J296" s="752">
        <f t="shared" si="8"/>
        <v>290</v>
      </c>
      <c r="K296" s="685" t="str">
        <f>UPPER((TEXT(Tabla5[[#This Row],[FECHA]],"MMM")))</f>
        <v>MAY</v>
      </c>
      <c r="L296" s="780">
        <f>YEAR(Tabla5[[#This Row],[FECHA]])</f>
        <v>2024</v>
      </c>
      <c r="M296" s="749">
        <v>215</v>
      </c>
      <c r="N296" s="441" t="s">
        <v>680</v>
      </c>
      <c r="O296" s="441" t="s">
        <v>712</v>
      </c>
      <c r="P296" s="441" t="s">
        <v>110</v>
      </c>
    </row>
    <row r="297" spans="1:16" ht="13.8">
      <c r="A297" s="531">
        <v>45428</v>
      </c>
      <c r="B297" s="340" t="s">
        <v>272</v>
      </c>
      <c r="C297" s="340" t="s">
        <v>278</v>
      </c>
      <c r="D297" s="340" t="s">
        <v>260</v>
      </c>
      <c r="E297" s="340">
        <v>58</v>
      </c>
      <c r="F297" s="340">
        <v>4</v>
      </c>
      <c r="G297" s="529">
        <v>929.93</v>
      </c>
      <c r="H297" s="551">
        <f t="shared" si="9"/>
        <v>215743.75999999998</v>
      </c>
      <c r="I297" s="340">
        <v>201</v>
      </c>
      <c r="J297" s="752">
        <f t="shared" si="8"/>
        <v>232</v>
      </c>
      <c r="K297" s="685" t="str">
        <f>UPPER((TEXT(Tabla5[[#This Row],[FECHA]],"MMM")))</f>
        <v>MAY</v>
      </c>
      <c r="L297" s="780">
        <f>YEAR(Tabla5[[#This Row],[FECHA]])</f>
        <v>2024</v>
      </c>
      <c r="M297" s="749">
        <v>215</v>
      </c>
      <c r="N297" s="441" t="s">
        <v>679</v>
      </c>
      <c r="O297" s="441" t="s">
        <v>712</v>
      </c>
      <c r="P297" s="441" t="s">
        <v>110</v>
      </c>
    </row>
    <row r="298" spans="1:16" ht="13.8">
      <c r="A298" s="531">
        <v>45428</v>
      </c>
      <c r="B298" s="340" t="s">
        <v>295</v>
      </c>
      <c r="C298" s="340" t="s">
        <v>258</v>
      </c>
      <c r="D298" s="340" t="s">
        <v>265</v>
      </c>
      <c r="E298" s="340">
        <v>76</v>
      </c>
      <c r="F298" s="340">
        <v>9</v>
      </c>
      <c r="G298" s="529">
        <v>929.93</v>
      </c>
      <c r="H298" s="551">
        <f t="shared" si="9"/>
        <v>636072.12</v>
      </c>
      <c r="I298" s="340">
        <v>850</v>
      </c>
      <c r="J298" s="752">
        <f t="shared" si="8"/>
        <v>684</v>
      </c>
      <c r="K298" s="685" t="str">
        <f>UPPER((TEXT(Tabla5[[#This Row],[FECHA]],"MMM")))</f>
        <v>MAY</v>
      </c>
      <c r="L298" s="780">
        <f>YEAR(Tabla5[[#This Row],[FECHA]])</f>
        <v>2024</v>
      </c>
      <c r="M298" s="749">
        <v>215</v>
      </c>
      <c r="N298" s="441" t="s">
        <v>676</v>
      </c>
      <c r="O298" s="441" t="s">
        <v>712</v>
      </c>
      <c r="P298" s="441" t="s">
        <v>110</v>
      </c>
    </row>
    <row r="299" spans="1:16" ht="13.8">
      <c r="A299" s="531">
        <v>45428</v>
      </c>
      <c r="B299" s="340" t="s">
        <v>291</v>
      </c>
      <c r="C299" s="340" t="s">
        <v>280</v>
      </c>
      <c r="D299" s="340" t="s">
        <v>260</v>
      </c>
      <c r="E299" s="340">
        <v>58</v>
      </c>
      <c r="F299" s="340">
        <v>4</v>
      </c>
      <c r="G299" s="529">
        <v>929.93</v>
      </c>
      <c r="H299" s="551">
        <f t="shared" si="9"/>
        <v>215743.75999999998</v>
      </c>
      <c r="I299" s="340">
        <v>272</v>
      </c>
      <c r="J299" s="752">
        <f t="shared" si="8"/>
        <v>232</v>
      </c>
      <c r="K299" s="685" t="str">
        <f>UPPER((TEXT(Tabla5[[#This Row],[FECHA]],"MMM")))</f>
        <v>MAY</v>
      </c>
      <c r="L299" s="780">
        <f>YEAR(Tabla5[[#This Row],[FECHA]])</f>
        <v>2024</v>
      </c>
      <c r="M299" s="749">
        <v>215</v>
      </c>
      <c r="N299" s="441" t="s">
        <v>680</v>
      </c>
      <c r="O299" s="441" t="s">
        <v>712</v>
      </c>
      <c r="P299" s="441" t="s">
        <v>110</v>
      </c>
    </row>
    <row r="300" spans="1:16" ht="13.8">
      <c r="A300" s="531">
        <v>45429</v>
      </c>
      <c r="B300" s="340" t="s">
        <v>269</v>
      </c>
      <c r="C300" s="340" t="s">
        <v>270</v>
      </c>
      <c r="D300" s="340" t="s">
        <v>260</v>
      </c>
      <c r="E300" s="340">
        <v>58</v>
      </c>
      <c r="F300" s="340">
        <v>4</v>
      </c>
      <c r="G300" s="529">
        <v>929.93</v>
      </c>
      <c r="H300" s="551">
        <f t="shared" si="9"/>
        <v>215743.75999999998</v>
      </c>
      <c r="I300" s="340">
        <v>139</v>
      </c>
      <c r="J300" s="752">
        <f t="shared" si="8"/>
        <v>232</v>
      </c>
      <c r="K300" s="685" t="str">
        <f>UPPER((TEXT(Tabla5[[#This Row],[FECHA]],"MMM")))</f>
        <v>MAY</v>
      </c>
      <c r="L300" s="780">
        <f>YEAR(Tabla5[[#This Row],[FECHA]])</f>
        <v>2024</v>
      </c>
      <c r="M300" s="749">
        <v>215</v>
      </c>
      <c r="N300" s="441" t="s">
        <v>679</v>
      </c>
      <c r="O300" s="441" t="s">
        <v>712</v>
      </c>
      <c r="P300" s="441" t="s">
        <v>110</v>
      </c>
    </row>
    <row r="301" spans="1:16" ht="13.8">
      <c r="A301" s="531">
        <v>45429</v>
      </c>
      <c r="B301" s="340" t="s">
        <v>271</v>
      </c>
      <c r="C301" s="340" t="s">
        <v>257</v>
      </c>
      <c r="D301" s="340" t="s">
        <v>265</v>
      </c>
      <c r="E301" s="340">
        <v>76</v>
      </c>
      <c r="F301" s="340">
        <v>9</v>
      </c>
      <c r="G301" s="529">
        <v>929.93</v>
      </c>
      <c r="H301" s="551">
        <f t="shared" si="9"/>
        <v>636072.12</v>
      </c>
      <c r="I301" s="340">
        <v>991</v>
      </c>
      <c r="J301" s="752">
        <f t="shared" si="8"/>
        <v>684</v>
      </c>
      <c r="K301" s="685" t="str">
        <f>UPPER((TEXT(Tabla5[[#This Row],[FECHA]],"MMM")))</f>
        <v>MAY</v>
      </c>
      <c r="L301" s="780">
        <f>YEAR(Tabla5[[#This Row],[FECHA]])</f>
        <v>2024</v>
      </c>
      <c r="M301" s="749">
        <v>215</v>
      </c>
      <c r="N301" s="441" t="s">
        <v>676</v>
      </c>
      <c r="O301" s="441" t="s">
        <v>712</v>
      </c>
      <c r="P301" s="441" t="s">
        <v>110</v>
      </c>
    </row>
    <row r="302" spans="1:16" ht="13.8">
      <c r="A302" s="531">
        <v>45429</v>
      </c>
      <c r="B302" s="340" t="s">
        <v>403</v>
      </c>
      <c r="C302" s="340" t="s">
        <v>404</v>
      </c>
      <c r="D302" s="340" t="s">
        <v>260</v>
      </c>
      <c r="E302" s="340">
        <v>58</v>
      </c>
      <c r="F302" s="340">
        <v>4</v>
      </c>
      <c r="G302" s="529">
        <v>929.93</v>
      </c>
      <c r="H302" s="551">
        <f t="shared" si="9"/>
        <v>215743.75999999998</v>
      </c>
      <c r="I302" s="340">
        <v>960</v>
      </c>
      <c r="J302" s="752">
        <f t="shared" si="8"/>
        <v>232</v>
      </c>
      <c r="K302" s="685" t="str">
        <f>UPPER((TEXT(Tabla5[[#This Row],[FECHA]],"MMM")))</f>
        <v>MAY</v>
      </c>
      <c r="L302" s="780">
        <f>YEAR(Tabla5[[#This Row],[FECHA]])</f>
        <v>2024</v>
      </c>
      <c r="M302" s="749">
        <v>215</v>
      </c>
      <c r="N302" s="441" t="s">
        <v>680</v>
      </c>
      <c r="O302" s="441" t="s">
        <v>712</v>
      </c>
      <c r="P302" s="441" t="s">
        <v>110</v>
      </c>
    </row>
    <row r="303" spans="1:16" ht="13.8">
      <c r="A303" s="531">
        <v>45430</v>
      </c>
      <c r="B303" s="340" t="s">
        <v>443</v>
      </c>
      <c r="C303" s="340" t="s">
        <v>275</v>
      </c>
      <c r="D303" s="340" t="s">
        <v>265</v>
      </c>
      <c r="E303" s="340">
        <v>76</v>
      </c>
      <c r="F303" s="340">
        <v>3</v>
      </c>
      <c r="G303" s="529">
        <v>929.93</v>
      </c>
      <c r="H303" s="551">
        <f t="shared" si="9"/>
        <v>212024.03999999998</v>
      </c>
      <c r="I303" s="340">
        <v>274</v>
      </c>
      <c r="J303" s="752">
        <f t="shared" si="8"/>
        <v>228</v>
      </c>
      <c r="K303" s="685" t="str">
        <f>UPPER((TEXT(Tabla5[[#This Row],[FECHA]],"MMM")))</f>
        <v>MAY</v>
      </c>
      <c r="L303" s="780">
        <f>YEAR(Tabla5[[#This Row],[FECHA]])</f>
        <v>2024</v>
      </c>
      <c r="M303" s="749">
        <v>215</v>
      </c>
      <c r="N303" s="441" t="s">
        <v>676</v>
      </c>
      <c r="O303" s="441" t="s">
        <v>712</v>
      </c>
      <c r="P303" s="441" t="s">
        <v>110</v>
      </c>
    </row>
    <row r="304" spans="1:16" ht="13.8">
      <c r="A304" s="531">
        <v>45430</v>
      </c>
      <c r="B304" s="340" t="s">
        <v>295</v>
      </c>
      <c r="C304" s="340" t="s">
        <v>276</v>
      </c>
      <c r="D304" s="340" t="s">
        <v>440</v>
      </c>
      <c r="E304" s="340">
        <v>96</v>
      </c>
      <c r="F304" s="340">
        <v>10</v>
      </c>
      <c r="G304" s="529">
        <v>929.93</v>
      </c>
      <c r="H304" s="551">
        <f t="shared" si="9"/>
        <v>892732.79999999993</v>
      </c>
      <c r="I304" s="340">
        <v>746</v>
      </c>
      <c r="J304" s="752">
        <f t="shared" si="8"/>
        <v>960</v>
      </c>
      <c r="K304" s="685" t="str">
        <f>UPPER((TEXT(Tabla5[[#This Row],[FECHA]],"MMM")))</f>
        <v>MAY</v>
      </c>
      <c r="L304" s="780">
        <f>YEAR(Tabla5[[#This Row],[FECHA]])</f>
        <v>2024</v>
      </c>
      <c r="M304" s="749">
        <v>215</v>
      </c>
      <c r="N304" s="441" t="s">
        <v>678</v>
      </c>
      <c r="O304" s="441" t="s">
        <v>713</v>
      </c>
      <c r="P304" s="441" t="s">
        <v>110</v>
      </c>
    </row>
    <row r="305" spans="1:16" ht="13.8">
      <c r="A305" s="531">
        <v>45431</v>
      </c>
      <c r="B305" s="340" t="s">
        <v>256</v>
      </c>
      <c r="C305" s="340" t="s">
        <v>257</v>
      </c>
      <c r="D305" s="340" t="s">
        <v>440</v>
      </c>
      <c r="E305" s="340">
        <v>96</v>
      </c>
      <c r="F305" s="340">
        <v>14</v>
      </c>
      <c r="G305" s="529">
        <v>929.93</v>
      </c>
      <c r="H305" s="551">
        <f t="shared" si="9"/>
        <v>1249825.92</v>
      </c>
      <c r="I305" s="340">
        <v>1040</v>
      </c>
      <c r="J305" s="752">
        <f t="shared" si="8"/>
        <v>1344</v>
      </c>
      <c r="K305" s="685" t="str">
        <f>UPPER((TEXT(Tabla5[[#This Row],[FECHA]],"MMM")))</f>
        <v>MAY</v>
      </c>
      <c r="L305" s="780">
        <f>YEAR(Tabla5[[#This Row],[FECHA]])</f>
        <v>2024</v>
      </c>
      <c r="M305" s="749">
        <v>215</v>
      </c>
      <c r="N305" s="441" t="s">
        <v>678</v>
      </c>
      <c r="O305" s="441" t="s">
        <v>713</v>
      </c>
      <c r="P305" s="441" t="s">
        <v>110</v>
      </c>
    </row>
    <row r="306" spans="1:16" ht="13.8">
      <c r="A306" s="531">
        <v>45432</v>
      </c>
      <c r="B306" s="340" t="s">
        <v>272</v>
      </c>
      <c r="C306" s="340" t="s">
        <v>278</v>
      </c>
      <c r="D306" s="340" t="s">
        <v>260</v>
      </c>
      <c r="E306" s="340">
        <v>58</v>
      </c>
      <c r="F306" s="340">
        <v>4</v>
      </c>
      <c r="G306" s="529">
        <v>929.93</v>
      </c>
      <c r="H306" s="551">
        <f t="shared" si="9"/>
        <v>215743.75999999998</v>
      </c>
      <c r="I306" s="340">
        <v>131</v>
      </c>
      <c r="J306" s="752">
        <f t="shared" si="8"/>
        <v>232</v>
      </c>
      <c r="K306" s="685" t="str">
        <f>UPPER((TEXT(Tabla5[[#This Row],[FECHA]],"MMM")))</f>
        <v>MAY</v>
      </c>
      <c r="L306" s="780">
        <f>YEAR(Tabla5[[#This Row],[FECHA]])</f>
        <v>2024</v>
      </c>
      <c r="M306" s="749">
        <v>215</v>
      </c>
      <c r="N306" s="441" t="s">
        <v>679</v>
      </c>
      <c r="O306" s="441" t="s">
        <v>712</v>
      </c>
      <c r="P306" s="441" t="s">
        <v>110</v>
      </c>
    </row>
    <row r="307" spans="1:16" ht="13.8">
      <c r="A307" s="531">
        <v>45432</v>
      </c>
      <c r="B307" s="340" t="s">
        <v>271</v>
      </c>
      <c r="C307" s="340" t="s">
        <v>257</v>
      </c>
      <c r="D307" s="340" t="s">
        <v>265</v>
      </c>
      <c r="E307" s="340">
        <v>76</v>
      </c>
      <c r="F307" s="340">
        <v>9</v>
      </c>
      <c r="G307" s="529">
        <v>929.93</v>
      </c>
      <c r="H307" s="551">
        <f t="shared" si="9"/>
        <v>636072.12</v>
      </c>
      <c r="I307" s="340">
        <v>824</v>
      </c>
      <c r="J307" s="752">
        <f t="shared" si="8"/>
        <v>684</v>
      </c>
      <c r="K307" s="685" t="str">
        <f>UPPER((TEXT(Tabla5[[#This Row],[FECHA]],"MMM")))</f>
        <v>MAY</v>
      </c>
      <c r="L307" s="780">
        <f>YEAR(Tabla5[[#This Row],[FECHA]])</f>
        <v>2024</v>
      </c>
      <c r="M307" s="749">
        <v>215</v>
      </c>
      <c r="N307" s="441" t="s">
        <v>676</v>
      </c>
      <c r="O307" s="441" t="s">
        <v>712</v>
      </c>
      <c r="P307" s="441" t="s">
        <v>110</v>
      </c>
    </row>
    <row r="308" spans="1:16" ht="13.8">
      <c r="A308" s="531">
        <v>45432</v>
      </c>
      <c r="B308" s="340" t="s">
        <v>441</v>
      </c>
      <c r="C308" s="340" t="s">
        <v>262</v>
      </c>
      <c r="D308" s="340" t="s">
        <v>260</v>
      </c>
      <c r="E308" s="340">
        <v>58</v>
      </c>
      <c r="F308" s="340">
        <v>4</v>
      </c>
      <c r="G308" s="529">
        <v>929.93</v>
      </c>
      <c r="H308" s="551">
        <f t="shared" si="9"/>
        <v>215743.75999999998</v>
      </c>
      <c r="I308" s="340">
        <v>420</v>
      </c>
      <c r="J308" s="752">
        <f t="shared" si="8"/>
        <v>232</v>
      </c>
      <c r="K308" s="685" t="str">
        <f>UPPER((TEXT(Tabla5[[#This Row],[FECHA]],"MMM")))</f>
        <v>MAY</v>
      </c>
      <c r="L308" s="780">
        <f>YEAR(Tabla5[[#This Row],[FECHA]])</f>
        <v>2024</v>
      </c>
      <c r="M308" s="749">
        <v>215</v>
      </c>
      <c r="N308" s="441" t="s">
        <v>680</v>
      </c>
      <c r="O308" s="441" t="s">
        <v>712</v>
      </c>
      <c r="P308" s="441" t="s">
        <v>110</v>
      </c>
    </row>
    <row r="309" spans="1:16" ht="13.8">
      <c r="A309" s="531">
        <v>45433</v>
      </c>
      <c r="B309" s="340" t="s">
        <v>261</v>
      </c>
      <c r="C309" s="340" t="s">
        <v>266</v>
      </c>
      <c r="D309" s="340" t="s">
        <v>260</v>
      </c>
      <c r="E309" s="340">
        <v>58</v>
      </c>
      <c r="F309" s="340">
        <v>4</v>
      </c>
      <c r="G309" s="529">
        <v>929.93</v>
      </c>
      <c r="H309" s="551">
        <f t="shared" si="9"/>
        <v>215743.75999999998</v>
      </c>
      <c r="I309" s="340">
        <v>158</v>
      </c>
      <c r="J309" s="752">
        <f t="shared" si="8"/>
        <v>232</v>
      </c>
      <c r="K309" s="685" t="str">
        <f>UPPER((TEXT(Tabla5[[#This Row],[FECHA]],"MMM")))</f>
        <v>MAY</v>
      </c>
      <c r="L309" s="780">
        <f>YEAR(Tabla5[[#This Row],[FECHA]])</f>
        <v>2024</v>
      </c>
      <c r="M309" s="749">
        <v>215</v>
      </c>
      <c r="N309" s="441" t="s">
        <v>679</v>
      </c>
      <c r="O309" s="441" t="s">
        <v>712</v>
      </c>
      <c r="P309" s="441" t="s">
        <v>110</v>
      </c>
    </row>
    <row r="310" spans="1:16" ht="13.8">
      <c r="A310" s="531">
        <v>45433</v>
      </c>
      <c r="B310" s="340" t="s">
        <v>271</v>
      </c>
      <c r="C310" s="340" t="s">
        <v>257</v>
      </c>
      <c r="D310" s="340" t="s">
        <v>265</v>
      </c>
      <c r="E310" s="340">
        <v>76</v>
      </c>
      <c r="F310" s="340">
        <v>9</v>
      </c>
      <c r="G310" s="529">
        <v>929.93</v>
      </c>
      <c r="H310" s="551">
        <f t="shared" si="9"/>
        <v>636072.12</v>
      </c>
      <c r="I310" s="340">
        <v>986</v>
      </c>
      <c r="J310" s="752">
        <f t="shared" si="8"/>
        <v>684</v>
      </c>
      <c r="K310" s="685" t="str">
        <f>UPPER((TEXT(Tabla5[[#This Row],[FECHA]],"MMM")))</f>
        <v>MAY</v>
      </c>
      <c r="L310" s="780">
        <f>YEAR(Tabla5[[#This Row],[FECHA]])</f>
        <v>2024</v>
      </c>
      <c r="M310" s="749">
        <v>215</v>
      </c>
      <c r="N310" s="441" t="s">
        <v>676</v>
      </c>
      <c r="O310" s="441" t="s">
        <v>712</v>
      </c>
      <c r="P310" s="441" t="s">
        <v>110</v>
      </c>
    </row>
    <row r="311" spans="1:16" ht="13.8">
      <c r="A311" s="531">
        <v>45433</v>
      </c>
      <c r="B311" s="340" t="s">
        <v>403</v>
      </c>
      <c r="C311" s="340" t="s">
        <v>404</v>
      </c>
      <c r="D311" s="340" t="s">
        <v>260</v>
      </c>
      <c r="E311" s="340">
        <v>58</v>
      </c>
      <c r="F311" s="340">
        <v>4</v>
      </c>
      <c r="G311" s="529">
        <v>929.93</v>
      </c>
      <c r="H311" s="551">
        <f t="shared" si="9"/>
        <v>215743.75999999998</v>
      </c>
      <c r="I311" s="340">
        <v>281</v>
      </c>
      <c r="J311" s="752">
        <f t="shared" si="8"/>
        <v>232</v>
      </c>
      <c r="K311" s="685" t="str">
        <f>UPPER((TEXT(Tabla5[[#This Row],[FECHA]],"MMM")))</f>
        <v>MAY</v>
      </c>
      <c r="L311" s="780">
        <f>YEAR(Tabla5[[#This Row],[FECHA]])</f>
        <v>2024</v>
      </c>
      <c r="M311" s="749">
        <v>215</v>
      </c>
      <c r="N311" s="441" t="s">
        <v>680</v>
      </c>
      <c r="O311" s="441" t="s">
        <v>712</v>
      </c>
      <c r="P311" s="441" t="s">
        <v>110</v>
      </c>
    </row>
    <row r="312" spans="1:16" ht="13.8">
      <c r="A312" s="531">
        <v>45434</v>
      </c>
      <c r="B312" s="340" t="s">
        <v>261</v>
      </c>
      <c r="C312" s="340" t="s">
        <v>262</v>
      </c>
      <c r="D312" s="340" t="s">
        <v>260</v>
      </c>
      <c r="E312" s="340">
        <v>58</v>
      </c>
      <c r="F312" s="340">
        <v>4</v>
      </c>
      <c r="G312" s="529">
        <v>929.93</v>
      </c>
      <c r="H312" s="551">
        <f t="shared" si="9"/>
        <v>215743.75999999998</v>
      </c>
      <c r="I312" s="340">
        <v>153</v>
      </c>
      <c r="J312" s="752">
        <f t="shared" si="8"/>
        <v>232</v>
      </c>
      <c r="K312" s="685" t="str">
        <f>UPPER((TEXT(Tabla5[[#This Row],[FECHA]],"MMM")))</f>
        <v>MAY</v>
      </c>
      <c r="L312" s="780">
        <f>YEAR(Tabla5[[#This Row],[FECHA]])</f>
        <v>2024</v>
      </c>
      <c r="M312" s="749">
        <v>215</v>
      </c>
      <c r="N312" s="441" t="s">
        <v>679</v>
      </c>
      <c r="O312" s="441" t="s">
        <v>712</v>
      </c>
      <c r="P312" s="441" t="s">
        <v>110</v>
      </c>
    </row>
    <row r="313" spans="1:16" ht="13.8">
      <c r="A313" s="531">
        <v>45434</v>
      </c>
      <c r="B313" s="340" t="s">
        <v>271</v>
      </c>
      <c r="C313" s="340" t="s">
        <v>257</v>
      </c>
      <c r="D313" s="340" t="s">
        <v>265</v>
      </c>
      <c r="E313" s="340">
        <v>76</v>
      </c>
      <c r="F313" s="340">
        <v>9</v>
      </c>
      <c r="G313" s="529">
        <v>929.93</v>
      </c>
      <c r="H313" s="551">
        <f t="shared" si="9"/>
        <v>636072.12</v>
      </c>
      <c r="I313" s="340">
        <v>1057</v>
      </c>
      <c r="J313" s="752">
        <f t="shared" si="8"/>
        <v>684</v>
      </c>
      <c r="K313" s="685" t="str">
        <f>UPPER((TEXT(Tabla5[[#This Row],[FECHA]],"MMM")))</f>
        <v>MAY</v>
      </c>
      <c r="L313" s="780">
        <f>YEAR(Tabla5[[#This Row],[FECHA]])</f>
        <v>2024</v>
      </c>
      <c r="M313" s="749">
        <v>215</v>
      </c>
      <c r="N313" s="441" t="s">
        <v>676</v>
      </c>
      <c r="O313" s="441" t="s">
        <v>712</v>
      </c>
      <c r="P313" s="441" t="s">
        <v>110</v>
      </c>
    </row>
    <row r="314" spans="1:16" ht="13.8">
      <c r="A314" s="531">
        <v>45435</v>
      </c>
      <c r="B314" s="340" t="s">
        <v>269</v>
      </c>
      <c r="C314" s="340" t="s">
        <v>280</v>
      </c>
      <c r="D314" s="340" t="s">
        <v>260</v>
      </c>
      <c r="E314" s="340">
        <v>58</v>
      </c>
      <c r="F314" s="340">
        <v>4</v>
      </c>
      <c r="G314" s="529">
        <v>929.93</v>
      </c>
      <c r="H314" s="551">
        <f t="shared" si="9"/>
        <v>215743.75999999998</v>
      </c>
      <c r="I314" s="340">
        <v>155</v>
      </c>
      <c r="J314" s="752">
        <f t="shared" si="8"/>
        <v>232</v>
      </c>
      <c r="K314" s="685" t="str">
        <f>UPPER((TEXT(Tabla5[[#This Row],[FECHA]],"MMM")))</f>
        <v>MAY</v>
      </c>
      <c r="L314" s="780">
        <f>YEAR(Tabla5[[#This Row],[FECHA]])</f>
        <v>2024</v>
      </c>
      <c r="M314" s="749">
        <v>215</v>
      </c>
      <c r="N314" s="441" t="s">
        <v>679</v>
      </c>
      <c r="O314" s="441" t="s">
        <v>712</v>
      </c>
      <c r="P314" s="441" t="s">
        <v>110</v>
      </c>
    </row>
    <row r="315" spans="1:16" ht="13.8">
      <c r="A315" s="531">
        <v>45435</v>
      </c>
      <c r="B315" s="340" t="s">
        <v>263</v>
      </c>
      <c r="C315" s="340" t="s">
        <v>264</v>
      </c>
      <c r="D315" s="340" t="s">
        <v>265</v>
      </c>
      <c r="E315" s="340">
        <v>76</v>
      </c>
      <c r="F315" s="340">
        <v>9</v>
      </c>
      <c r="G315" s="529">
        <v>929.93</v>
      </c>
      <c r="H315" s="551">
        <f t="shared" si="9"/>
        <v>636072.12</v>
      </c>
      <c r="I315" s="340">
        <v>762</v>
      </c>
      <c r="J315" s="752">
        <f t="shared" si="8"/>
        <v>684</v>
      </c>
      <c r="K315" s="685" t="str">
        <f>UPPER((TEXT(Tabla5[[#This Row],[FECHA]],"MMM")))</f>
        <v>MAY</v>
      </c>
      <c r="L315" s="780">
        <f>YEAR(Tabla5[[#This Row],[FECHA]])</f>
        <v>2024</v>
      </c>
      <c r="M315" s="749">
        <v>215</v>
      </c>
      <c r="N315" s="441" t="s">
        <v>676</v>
      </c>
      <c r="O315" s="441" t="s">
        <v>712</v>
      </c>
      <c r="P315" s="441" t="s">
        <v>110</v>
      </c>
    </row>
    <row r="316" spans="1:16" ht="13.8">
      <c r="A316" s="531">
        <v>45436</v>
      </c>
      <c r="B316" s="340" t="s">
        <v>269</v>
      </c>
      <c r="C316" s="340" t="s">
        <v>280</v>
      </c>
      <c r="D316" s="340" t="s">
        <v>260</v>
      </c>
      <c r="E316" s="340">
        <v>58</v>
      </c>
      <c r="F316" s="340">
        <v>4</v>
      </c>
      <c r="G316" s="529">
        <v>929.93</v>
      </c>
      <c r="H316" s="551">
        <f t="shared" si="9"/>
        <v>215743.75999999998</v>
      </c>
      <c r="I316" s="340">
        <v>132</v>
      </c>
      <c r="J316" s="752">
        <f t="shared" si="8"/>
        <v>232</v>
      </c>
      <c r="K316" s="685" t="str">
        <f>UPPER((TEXT(Tabla5[[#This Row],[FECHA]],"MMM")))</f>
        <v>MAY</v>
      </c>
      <c r="L316" s="780">
        <f>YEAR(Tabla5[[#This Row],[FECHA]])</f>
        <v>2024</v>
      </c>
      <c r="M316" s="749">
        <v>215</v>
      </c>
      <c r="N316" s="441" t="s">
        <v>679</v>
      </c>
      <c r="O316" s="441" t="s">
        <v>712</v>
      </c>
      <c r="P316" s="441" t="s">
        <v>110</v>
      </c>
    </row>
    <row r="317" spans="1:16" ht="13.8">
      <c r="A317" s="531">
        <v>45436</v>
      </c>
      <c r="B317" s="340" t="s">
        <v>263</v>
      </c>
      <c r="C317" s="340" t="s">
        <v>264</v>
      </c>
      <c r="D317" s="340" t="s">
        <v>265</v>
      </c>
      <c r="E317" s="340">
        <v>76</v>
      </c>
      <c r="F317" s="340">
        <v>9</v>
      </c>
      <c r="G317" s="529">
        <v>929.93</v>
      </c>
      <c r="H317" s="551">
        <f t="shared" si="9"/>
        <v>636072.12</v>
      </c>
      <c r="I317" s="340">
        <v>1086</v>
      </c>
      <c r="J317" s="752">
        <f t="shared" si="8"/>
        <v>684</v>
      </c>
      <c r="K317" s="685" t="str">
        <f>UPPER((TEXT(Tabla5[[#This Row],[FECHA]],"MMM")))</f>
        <v>MAY</v>
      </c>
      <c r="L317" s="780">
        <f>YEAR(Tabla5[[#This Row],[FECHA]])</f>
        <v>2024</v>
      </c>
      <c r="M317" s="749">
        <v>215</v>
      </c>
      <c r="N317" s="441" t="s">
        <v>676</v>
      </c>
      <c r="O317" s="441" t="s">
        <v>712</v>
      </c>
      <c r="P317" s="441" t="s">
        <v>110</v>
      </c>
    </row>
    <row r="318" spans="1:16" ht="13.8">
      <c r="A318" s="531">
        <v>45437</v>
      </c>
      <c r="B318" s="340" t="s">
        <v>272</v>
      </c>
      <c r="C318" s="340" t="s">
        <v>282</v>
      </c>
      <c r="D318" s="340" t="s">
        <v>265</v>
      </c>
      <c r="E318" s="340">
        <v>76</v>
      </c>
      <c r="F318" s="340">
        <v>3</v>
      </c>
      <c r="G318" s="529">
        <v>929.93</v>
      </c>
      <c r="H318" s="551">
        <f t="shared" si="9"/>
        <v>212024.03999999998</v>
      </c>
      <c r="I318" s="340">
        <v>212</v>
      </c>
      <c r="J318" s="752">
        <f t="shared" si="8"/>
        <v>228</v>
      </c>
      <c r="K318" s="685" t="str">
        <f>UPPER((TEXT(Tabla5[[#This Row],[FECHA]],"MMM")))</f>
        <v>MAY</v>
      </c>
      <c r="L318" s="780">
        <f>YEAR(Tabla5[[#This Row],[FECHA]])</f>
        <v>2024</v>
      </c>
      <c r="M318" s="749">
        <v>215</v>
      </c>
      <c r="N318" s="441" t="s">
        <v>676</v>
      </c>
      <c r="O318" s="441" t="s">
        <v>712</v>
      </c>
      <c r="P318" s="441" t="s">
        <v>110</v>
      </c>
    </row>
    <row r="319" spans="1:16" ht="13.8">
      <c r="A319" s="531">
        <v>45437</v>
      </c>
      <c r="B319" s="340" t="s">
        <v>295</v>
      </c>
      <c r="C319" s="340" t="s">
        <v>276</v>
      </c>
      <c r="D319" s="340" t="s">
        <v>440</v>
      </c>
      <c r="E319" s="340">
        <v>96</v>
      </c>
      <c r="F319" s="340">
        <v>9</v>
      </c>
      <c r="G319" s="529">
        <v>929.93</v>
      </c>
      <c r="H319" s="551">
        <f t="shared" si="9"/>
        <v>803459.5199999999</v>
      </c>
      <c r="I319" s="340">
        <v>596</v>
      </c>
      <c r="J319" s="752">
        <f t="shared" si="8"/>
        <v>864</v>
      </c>
      <c r="K319" s="685" t="str">
        <f>UPPER((TEXT(Tabla5[[#This Row],[FECHA]],"MMM")))</f>
        <v>MAY</v>
      </c>
      <c r="L319" s="780">
        <f>YEAR(Tabla5[[#This Row],[FECHA]])</f>
        <v>2024</v>
      </c>
      <c r="M319" s="749">
        <v>215</v>
      </c>
      <c r="N319" s="441" t="s">
        <v>678</v>
      </c>
      <c r="O319" s="441" t="s">
        <v>713</v>
      </c>
      <c r="P319" s="441" t="s">
        <v>110</v>
      </c>
    </row>
    <row r="320" spans="1:16" ht="13.8">
      <c r="A320" s="531">
        <v>45438</v>
      </c>
      <c r="B320" s="340" t="s">
        <v>253</v>
      </c>
      <c r="C320" s="340" t="s">
        <v>258</v>
      </c>
      <c r="D320" s="340" t="s">
        <v>440</v>
      </c>
      <c r="E320" s="340">
        <v>96</v>
      </c>
      <c r="F320" s="340">
        <v>15</v>
      </c>
      <c r="G320" s="529">
        <v>929.93</v>
      </c>
      <c r="H320" s="551">
        <f t="shared" si="9"/>
        <v>1339099.2</v>
      </c>
      <c r="I320" s="340">
        <v>1188</v>
      </c>
      <c r="J320" s="752">
        <f t="shared" si="8"/>
        <v>1440</v>
      </c>
      <c r="K320" s="685" t="str">
        <f>UPPER((TEXT(Tabla5[[#This Row],[FECHA]],"MMM")))</f>
        <v>MAY</v>
      </c>
      <c r="L320" s="780">
        <f>YEAR(Tabla5[[#This Row],[FECHA]])</f>
        <v>2024</v>
      </c>
      <c r="M320" s="749">
        <v>215</v>
      </c>
      <c r="N320" s="441" t="s">
        <v>678</v>
      </c>
      <c r="O320" s="441" t="s">
        <v>713</v>
      </c>
      <c r="P320" s="441" t="s">
        <v>110</v>
      </c>
    </row>
    <row r="321" spans="1:16" ht="13.8">
      <c r="A321" s="531">
        <v>45439</v>
      </c>
      <c r="B321" s="340" t="s">
        <v>256</v>
      </c>
      <c r="C321" s="340" t="s">
        <v>257</v>
      </c>
      <c r="D321" s="340" t="s">
        <v>265</v>
      </c>
      <c r="E321" s="340">
        <v>76</v>
      </c>
      <c r="F321" s="340">
        <v>6</v>
      </c>
      <c r="G321" s="529">
        <v>929.93</v>
      </c>
      <c r="H321" s="551">
        <f t="shared" si="9"/>
        <v>424048.07999999996</v>
      </c>
      <c r="I321" s="340">
        <v>512</v>
      </c>
      <c r="J321" s="752">
        <f t="shared" si="8"/>
        <v>456</v>
      </c>
      <c r="K321" s="685" t="str">
        <f>UPPER((TEXT(Tabla5[[#This Row],[FECHA]],"MMM")))</f>
        <v>MAY</v>
      </c>
      <c r="L321" s="780">
        <f>YEAR(Tabla5[[#This Row],[FECHA]])</f>
        <v>2024</v>
      </c>
      <c r="M321" s="749">
        <v>215</v>
      </c>
      <c r="N321" s="441" t="s">
        <v>676</v>
      </c>
      <c r="O321" s="441" t="s">
        <v>712</v>
      </c>
      <c r="P321" s="441" t="s">
        <v>110</v>
      </c>
    </row>
    <row r="322" spans="1:16" ht="13.8">
      <c r="A322" s="531">
        <v>45440</v>
      </c>
      <c r="B322" s="340" t="s">
        <v>256</v>
      </c>
      <c r="C322" s="340" t="s">
        <v>257</v>
      </c>
      <c r="D322" s="340" t="s">
        <v>265</v>
      </c>
      <c r="E322" s="340">
        <v>76</v>
      </c>
      <c r="F322" s="340">
        <v>6</v>
      </c>
      <c r="G322" s="529">
        <v>929.93</v>
      </c>
      <c r="H322" s="551">
        <f t="shared" si="9"/>
        <v>424048.07999999996</v>
      </c>
      <c r="I322" s="340">
        <v>542</v>
      </c>
      <c r="J322" s="752">
        <f t="shared" si="8"/>
        <v>456</v>
      </c>
      <c r="K322" s="685" t="str">
        <f>UPPER((TEXT(Tabla5[[#This Row],[FECHA]],"MMM")))</f>
        <v>MAY</v>
      </c>
      <c r="L322" s="780">
        <f>YEAR(Tabla5[[#This Row],[FECHA]])</f>
        <v>2024</v>
      </c>
      <c r="M322" s="749">
        <v>215</v>
      </c>
      <c r="N322" s="441" t="s">
        <v>676</v>
      </c>
      <c r="O322" s="441" t="s">
        <v>712</v>
      </c>
      <c r="P322" s="441" t="s">
        <v>110</v>
      </c>
    </row>
    <row r="323" spans="1:16" ht="13.8">
      <c r="A323" s="531">
        <v>45441</v>
      </c>
      <c r="B323" s="340" t="s">
        <v>253</v>
      </c>
      <c r="C323" s="340" t="s">
        <v>258</v>
      </c>
      <c r="D323" s="340" t="s">
        <v>265</v>
      </c>
      <c r="E323" s="340">
        <v>76</v>
      </c>
      <c r="F323" s="340">
        <v>6</v>
      </c>
      <c r="G323" s="529">
        <v>929.93</v>
      </c>
      <c r="H323" s="551">
        <f t="shared" si="9"/>
        <v>424048.07999999996</v>
      </c>
      <c r="I323" s="340">
        <v>502</v>
      </c>
      <c r="J323" s="752">
        <f t="shared" si="8"/>
        <v>456</v>
      </c>
      <c r="K323" s="685" t="str">
        <f>UPPER((TEXT(Tabla5[[#This Row],[FECHA]],"MMM")))</f>
        <v>MAY</v>
      </c>
      <c r="L323" s="780">
        <f>YEAR(Tabla5[[#This Row],[FECHA]])</f>
        <v>2024</v>
      </c>
      <c r="M323" s="749">
        <v>215</v>
      </c>
      <c r="N323" s="441" t="s">
        <v>676</v>
      </c>
      <c r="O323" s="441" t="s">
        <v>712</v>
      </c>
      <c r="P323" s="441" t="s">
        <v>110</v>
      </c>
    </row>
    <row r="324" spans="1:16" ht="13.8">
      <c r="A324" s="531">
        <v>45442</v>
      </c>
      <c r="B324" s="340" t="s">
        <v>253</v>
      </c>
      <c r="C324" s="340" t="s">
        <v>258</v>
      </c>
      <c r="D324" s="340" t="s">
        <v>265</v>
      </c>
      <c r="E324" s="340">
        <v>76</v>
      </c>
      <c r="F324" s="340">
        <v>6</v>
      </c>
      <c r="G324" s="529">
        <v>929.93</v>
      </c>
      <c r="H324" s="551">
        <f t="shared" si="9"/>
        <v>424048.07999999996</v>
      </c>
      <c r="I324" s="340">
        <v>281</v>
      </c>
      <c r="J324" s="752">
        <f t="shared" si="8"/>
        <v>456</v>
      </c>
      <c r="K324" s="685" t="str">
        <f>UPPER((TEXT(Tabla5[[#This Row],[FECHA]],"MMM")))</f>
        <v>MAY</v>
      </c>
      <c r="L324" s="780">
        <f>YEAR(Tabla5[[#This Row],[FECHA]])</f>
        <v>2024</v>
      </c>
      <c r="M324" s="749">
        <v>215</v>
      </c>
      <c r="N324" s="441" t="s">
        <v>676</v>
      </c>
      <c r="O324" s="441" t="s">
        <v>712</v>
      </c>
      <c r="P324" s="441" t="s">
        <v>110</v>
      </c>
    </row>
    <row r="325" spans="1:16" ht="13.8">
      <c r="A325" s="531">
        <v>45443</v>
      </c>
      <c r="B325" s="340" t="s">
        <v>253</v>
      </c>
      <c r="C325" s="340" t="s">
        <v>258</v>
      </c>
      <c r="D325" s="340" t="s">
        <v>265</v>
      </c>
      <c r="E325" s="340">
        <v>76</v>
      </c>
      <c r="F325" s="340">
        <v>6</v>
      </c>
      <c r="G325" s="529">
        <v>929.93</v>
      </c>
      <c r="H325" s="551">
        <f t="shared" si="9"/>
        <v>424048.07999999996</v>
      </c>
      <c r="I325" s="340">
        <v>212</v>
      </c>
      <c r="J325" s="752">
        <f t="shared" si="8"/>
        <v>456</v>
      </c>
      <c r="K325" s="685" t="str">
        <f>UPPER((TEXT(Tabla5[[#This Row],[FECHA]],"MMM")))</f>
        <v>MAY</v>
      </c>
      <c r="L325" s="780">
        <f>YEAR(Tabla5[[#This Row],[FECHA]])</f>
        <v>2024</v>
      </c>
      <c r="M325" s="749">
        <v>215</v>
      </c>
      <c r="N325" s="441" t="s">
        <v>676</v>
      </c>
      <c r="O325" s="441" t="s">
        <v>712</v>
      </c>
      <c r="P325" s="441" t="s">
        <v>110</v>
      </c>
    </row>
    <row r="326" spans="1:16" ht="13.8">
      <c r="A326" s="531">
        <v>45444</v>
      </c>
      <c r="B326" s="340" t="s">
        <v>272</v>
      </c>
      <c r="C326" s="340" t="s">
        <v>282</v>
      </c>
      <c r="D326" s="340" t="s">
        <v>265</v>
      </c>
      <c r="E326" s="340">
        <v>76</v>
      </c>
      <c r="F326" s="340">
        <v>3</v>
      </c>
      <c r="G326" s="529">
        <v>929.93</v>
      </c>
      <c r="H326" s="551">
        <f t="shared" ref="H326:H389" si="10">E326*F326*G326</f>
        <v>212024.03999999998</v>
      </c>
      <c r="I326" s="340">
        <v>17</v>
      </c>
      <c r="J326" s="753">
        <f>E326*F326</f>
        <v>228</v>
      </c>
      <c r="K326" s="685" t="str">
        <f>UPPER((TEXT(Tabla5[[#This Row],[FECHA]],"MMM")))</f>
        <v>JUN</v>
      </c>
      <c r="L326" s="780">
        <f>YEAR(Tabla5[[#This Row],[FECHA]])</f>
        <v>2024</v>
      </c>
      <c r="M326" s="749">
        <v>237</v>
      </c>
      <c r="N326" s="441" t="s">
        <v>676</v>
      </c>
      <c r="O326" s="441" t="s">
        <v>712</v>
      </c>
      <c r="P326" s="441" t="s">
        <v>110</v>
      </c>
    </row>
    <row r="327" spans="1:16" ht="13.8">
      <c r="A327" s="531">
        <v>45444</v>
      </c>
      <c r="B327" s="340" t="s">
        <v>263</v>
      </c>
      <c r="C327" s="340" t="s">
        <v>283</v>
      </c>
      <c r="D327" s="340" t="s">
        <v>440</v>
      </c>
      <c r="E327" s="340">
        <v>96</v>
      </c>
      <c r="F327" s="340">
        <v>11</v>
      </c>
      <c r="G327" s="529">
        <v>929.93</v>
      </c>
      <c r="H327" s="551">
        <f t="shared" si="10"/>
        <v>982006.08</v>
      </c>
      <c r="I327" s="340">
        <v>748</v>
      </c>
      <c r="J327" s="753">
        <f t="shared" ref="J327:J341" si="11">E327*F327</f>
        <v>1056</v>
      </c>
      <c r="K327" s="685" t="str">
        <f>UPPER((TEXT(Tabla5[[#This Row],[FECHA]],"MMM")))</f>
        <v>JUN</v>
      </c>
      <c r="L327" s="780">
        <f>YEAR(Tabla5[[#This Row],[FECHA]])</f>
        <v>2024</v>
      </c>
      <c r="M327" s="749">
        <v>237</v>
      </c>
      <c r="N327" s="441" t="s">
        <v>678</v>
      </c>
      <c r="O327" s="441" t="s">
        <v>713</v>
      </c>
      <c r="P327" s="441" t="s">
        <v>110</v>
      </c>
    </row>
    <row r="328" spans="1:16" ht="13.8">
      <c r="A328" s="531">
        <v>45445</v>
      </c>
      <c r="B328" s="340" t="s">
        <v>277</v>
      </c>
      <c r="C328" s="340" t="s">
        <v>290</v>
      </c>
      <c r="D328" s="340" t="s">
        <v>440</v>
      </c>
      <c r="E328" s="340">
        <v>96</v>
      </c>
      <c r="F328" s="340">
        <v>18</v>
      </c>
      <c r="G328" s="529">
        <v>929.93</v>
      </c>
      <c r="H328" s="551">
        <f t="shared" si="10"/>
        <v>1606919.0399999998</v>
      </c>
      <c r="I328" s="340">
        <v>1562</v>
      </c>
      <c r="J328" s="753">
        <f t="shared" si="11"/>
        <v>1728</v>
      </c>
      <c r="K328" s="685" t="str">
        <f>UPPER((TEXT(Tabla5[[#This Row],[FECHA]],"MMM")))</f>
        <v>JUN</v>
      </c>
      <c r="L328" s="780">
        <f>YEAR(Tabla5[[#This Row],[FECHA]])</f>
        <v>2024</v>
      </c>
      <c r="M328" s="749">
        <v>237</v>
      </c>
      <c r="N328" s="441" t="s">
        <v>678</v>
      </c>
      <c r="O328" s="441" t="s">
        <v>713</v>
      </c>
      <c r="P328" s="441" t="s">
        <v>110</v>
      </c>
    </row>
    <row r="329" spans="1:16" ht="13.8">
      <c r="A329" s="531">
        <v>45446</v>
      </c>
      <c r="B329" s="340" t="s">
        <v>289</v>
      </c>
      <c r="C329" s="340" t="s">
        <v>290</v>
      </c>
      <c r="D329" s="340" t="s">
        <v>440</v>
      </c>
      <c r="E329" s="340">
        <v>96</v>
      </c>
      <c r="F329" s="340">
        <v>10</v>
      </c>
      <c r="G329" s="529">
        <v>929.93</v>
      </c>
      <c r="H329" s="551">
        <f t="shared" si="10"/>
        <v>892732.79999999993</v>
      </c>
      <c r="I329" s="340">
        <v>704</v>
      </c>
      <c r="J329" s="753">
        <f t="shared" si="11"/>
        <v>960</v>
      </c>
      <c r="K329" s="685" t="str">
        <f>UPPER((TEXT(Tabla5[[#This Row],[FECHA]],"MMM")))</f>
        <v>JUN</v>
      </c>
      <c r="L329" s="780">
        <f>YEAR(Tabla5[[#This Row],[FECHA]])</f>
        <v>2024</v>
      </c>
      <c r="M329" s="749">
        <v>237</v>
      </c>
      <c r="N329" s="441" t="s">
        <v>678</v>
      </c>
      <c r="O329" s="441" t="s">
        <v>713</v>
      </c>
      <c r="P329" s="441" t="s">
        <v>110</v>
      </c>
    </row>
    <row r="330" spans="1:16" ht="13.8">
      <c r="A330" s="531">
        <v>45451</v>
      </c>
      <c r="B330" s="340" t="s">
        <v>253</v>
      </c>
      <c r="C330" s="340" t="s">
        <v>258</v>
      </c>
      <c r="D330" s="340" t="s">
        <v>440</v>
      </c>
      <c r="E330" s="340">
        <v>96</v>
      </c>
      <c r="F330" s="340">
        <v>9</v>
      </c>
      <c r="G330" s="529">
        <v>929.93</v>
      </c>
      <c r="H330" s="551">
        <f t="shared" si="10"/>
        <v>803459.5199999999</v>
      </c>
      <c r="I330" s="340">
        <v>630</v>
      </c>
      <c r="J330" s="753">
        <f t="shared" si="11"/>
        <v>864</v>
      </c>
      <c r="K330" s="685" t="str">
        <f>UPPER((TEXT(Tabla5[[#This Row],[FECHA]],"MMM")))</f>
        <v>JUN</v>
      </c>
      <c r="L330" s="780">
        <f>YEAR(Tabla5[[#This Row],[FECHA]])</f>
        <v>2024</v>
      </c>
      <c r="M330" s="749">
        <v>237</v>
      </c>
      <c r="N330" s="441" t="s">
        <v>678</v>
      </c>
      <c r="O330" s="441" t="s">
        <v>713</v>
      </c>
      <c r="P330" s="441" t="s">
        <v>110</v>
      </c>
    </row>
    <row r="331" spans="1:16" ht="13.8">
      <c r="A331" s="531">
        <v>45452</v>
      </c>
      <c r="B331" s="340" t="s">
        <v>253</v>
      </c>
      <c r="C331" s="340" t="s">
        <v>258</v>
      </c>
      <c r="D331" s="340" t="s">
        <v>440</v>
      </c>
      <c r="E331" s="340">
        <v>96</v>
      </c>
      <c r="F331" s="340">
        <v>18</v>
      </c>
      <c r="G331" s="529">
        <v>929.93</v>
      </c>
      <c r="H331" s="551">
        <f t="shared" si="10"/>
        <v>1606919.0399999998</v>
      </c>
      <c r="I331" s="340">
        <v>1528</v>
      </c>
      <c r="J331" s="753">
        <f t="shared" si="11"/>
        <v>1728</v>
      </c>
      <c r="K331" s="685" t="str">
        <f>UPPER((TEXT(Tabla5[[#This Row],[FECHA]],"MMM")))</f>
        <v>JUN</v>
      </c>
      <c r="L331" s="780">
        <f>YEAR(Tabla5[[#This Row],[FECHA]])</f>
        <v>2024</v>
      </c>
      <c r="M331" s="749">
        <v>237</v>
      </c>
      <c r="N331" s="441" t="s">
        <v>678</v>
      </c>
      <c r="O331" s="441" t="s">
        <v>713</v>
      </c>
      <c r="P331" s="441" t="s">
        <v>110</v>
      </c>
    </row>
    <row r="332" spans="1:16" ht="13.8">
      <c r="A332" s="531">
        <v>45453</v>
      </c>
      <c r="B332" s="340" t="s">
        <v>289</v>
      </c>
      <c r="C332" s="340" t="s">
        <v>290</v>
      </c>
      <c r="D332" s="340" t="s">
        <v>440</v>
      </c>
      <c r="E332" s="340">
        <v>96</v>
      </c>
      <c r="F332" s="340">
        <v>16</v>
      </c>
      <c r="G332" s="529">
        <v>929.93</v>
      </c>
      <c r="H332" s="551">
        <f t="shared" si="10"/>
        <v>1428372.48</v>
      </c>
      <c r="I332" s="340">
        <v>1284</v>
      </c>
      <c r="J332" s="753">
        <f t="shared" si="11"/>
        <v>1536</v>
      </c>
      <c r="K332" s="685" t="str">
        <f>UPPER((TEXT(Tabla5[[#This Row],[FECHA]],"MMM")))</f>
        <v>JUN</v>
      </c>
      <c r="L332" s="780">
        <f>YEAR(Tabla5[[#This Row],[FECHA]])</f>
        <v>2024</v>
      </c>
      <c r="M332" s="749">
        <v>237</v>
      </c>
      <c r="N332" s="441" t="s">
        <v>678</v>
      </c>
      <c r="O332" s="441" t="s">
        <v>713</v>
      </c>
      <c r="P332" s="441" t="s">
        <v>110</v>
      </c>
    </row>
    <row r="333" spans="1:16" ht="13.8">
      <c r="A333" s="531">
        <v>45458</v>
      </c>
      <c r="B333" s="340" t="s">
        <v>277</v>
      </c>
      <c r="C333" s="340" t="s">
        <v>407</v>
      </c>
      <c r="D333" s="340" t="s">
        <v>440</v>
      </c>
      <c r="E333" s="340">
        <v>96</v>
      </c>
      <c r="F333" s="340">
        <v>12</v>
      </c>
      <c r="G333" s="529">
        <v>929.93</v>
      </c>
      <c r="H333" s="551">
        <f t="shared" si="10"/>
        <v>1071279.3599999999</v>
      </c>
      <c r="I333" s="340">
        <v>816</v>
      </c>
      <c r="J333" s="753">
        <f t="shared" si="11"/>
        <v>1152</v>
      </c>
      <c r="K333" s="685" t="str">
        <f>UPPER((TEXT(Tabla5[[#This Row],[FECHA]],"MMM")))</f>
        <v>JUN</v>
      </c>
      <c r="L333" s="780">
        <f>YEAR(Tabla5[[#This Row],[FECHA]])</f>
        <v>2024</v>
      </c>
      <c r="M333" s="749">
        <v>237</v>
      </c>
      <c r="N333" s="441" t="s">
        <v>678</v>
      </c>
      <c r="O333" s="441" t="s">
        <v>713</v>
      </c>
      <c r="P333" s="441" t="s">
        <v>110</v>
      </c>
    </row>
    <row r="334" spans="1:16" ht="13.8">
      <c r="A334" s="531">
        <v>45459</v>
      </c>
      <c r="B334" s="340" t="s">
        <v>277</v>
      </c>
      <c r="C334" s="340" t="s">
        <v>407</v>
      </c>
      <c r="D334" s="340" t="s">
        <v>440</v>
      </c>
      <c r="E334" s="340">
        <v>96</v>
      </c>
      <c r="F334" s="340">
        <v>15</v>
      </c>
      <c r="G334" s="529">
        <v>929.93</v>
      </c>
      <c r="H334" s="551">
        <f t="shared" si="10"/>
        <v>1339099.2</v>
      </c>
      <c r="I334" s="340">
        <v>1178</v>
      </c>
      <c r="J334" s="753">
        <f t="shared" si="11"/>
        <v>1440</v>
      </c>
      <c r="K334" s="685" t="str">
        <f>UPPER((TEXT(Tabla5[[#This Row],[FECHA]],"MMM")))</f>
        <v>JUN</v>
      </c>
      <c r="L334" s="780">
        <f>YEAR(Tabla5[[#This Row],[FECHA]])</f>
        <v>2024</v>
      </c>
      <c r="M334" s="749">
        <v>237</v>
      </c>
      <c r="N334" s="441" t="s">
        <v>678</v>
      </c>
      <c r="O334" s="441" t="s">
        <v>713</v>
      </c>
      <c r="P334" s="441" t="s">
        <v>110</v>
      </c>
    </row>
    <row r="335" spans="1:16" ht="13.8">
      <c r="A335" s="531">
        <v>45464</v>
      </c>
      <c r="B335" s="340" t="s">
        <v>272</v>
      </c>
      <c r="C335" s="340" t="s">
        <v>282</v>
      </c>
      <c r="D335" s="340" t="s">
        <v>440</v>
      </c>
      <c r="E335" s="340">
        <v>96</v>
      </c>
      <c r="F335" s="340">
        <v>3</v>
      </c>
      <c r="G335" s="529">
        <v>929.93</v>
      </c>
      <c r="H335" s="551">
        <f t="shared" si="10"/>
        <v>267819.83999999997</v>
      </c>
      <c r="I335" s="340">
        <v>164</v>
      </c>
      <c r="J335" s="753">
        <f t="shared" si="11"/>
        <v>288</v>
      </c>
      <c r="K335" s="685" t="str">
        <f>UPPER((TEXT(Tabla5[[#This Row],[FECHA]],"MMM")))</f>
        <v>JUN</v>
      </c>
      <c r="L335" s="780">
        <f>YEAR(Tabla5[[#This Row],[FECHA]])</f>
        <v>2024</v>
      </c>
      <c r="M335" s="749">
        <v>237</v>
      </c>
      <c r="N335" s="441" t="s">
        <v>678</v>
      </c>
      <c r="O335" s="441" t="s">
        <v>713</v>
      </c>
      <c r="P335" s="441" t="s">
        <v>110</v>
      </c>
    </row>
    <row r="336" spans="1:16" ht="13.8">
      <c r="A336" s="531">
        <v>45464</v>
      </c>
      <c r="B336" s="340" t="s">
        <v>263</v>
      </c>
      <c r="C336" s="340" t="s">
        <v>283</v>
      </c>
      <c r="D336" s="340" t="s">
        <v>440</v>
      </c>
      <c r="E336" s="340">
        <v>96</v>
      </c>
      <c r="F336" s="340">
        <v>13</v>
      </c>
      <c r="G336" s="529">
        <v>929.93</v>
      </c>
      <c r="H336" s="551">
        <f t="shared" si="10"/>
        <v>1160552.6399999999</v>
      </c>
      <c r="I336" s="340">
        <v>1008</v>
      </c>
      <c r="J336" s="753">
        <f t="shared" si="11"/>
        <v>1248</v>
      </c>
      <c r="K336" s="685" t="str">
        <f>UPPER((TEXT(Tabla5[[#This Row],[FECHA]],"MMM")))</f>
        <v>JUN</v>
      </c>
      <c r="L336" s="780">
        <f>YEAR(Tabla5[[#This Row],[FECHA]])</f>
        <v>2024</v>
      </c>
      <c r="M336" s="749">
        <v>237</v>
      </c>
      <c r="N336" s="441" t="s">
        <v>678</v>
      </c>
      <c r="O336" s="441" t="s">
        <v>713</v>
      </c>
      <c r="P336" s="441" t="s">
        <v>110</v>
      </c>
    </row>
    <row r="337" spans="1:16" ht="13.8">
      <c r="A337" s="531">
        <v>45465</v>
      </c>
      <c r="B337" s="340" t="s">
        <v>277</v>
      </c>
      <c r="C337" s="340" t="s">
        <v>480</v>
      </c>
      <c r="D337" s="340" t="s">
        <v>440</v>
      </c>
      <c r="E337" s="340">
        <v>96</v>
      </c>
      <c r="F337" s="340">
        <v>15</v>
      </c>
      <c r="G337" s="529">
        <v>929.93</v>
      </c>
      <c r="H337" s="551">
        <f t="shared" si="10"/>
        <v>1339099.2</v>
      </c>
      <c r="I337" s="340">
        <v>1102</v>
      </c>
      <c r="J337" s="753">
        <f t="shared" si="11"/>
        <v>1440</v>
      </c>
      <c r="K337" s="685" t="str">
        <f>UPPER((TEXT(Tabla5[[#This Row],[FECHA]],"MMM")))</f>
        <v>JUN</v>
      </c>
      <c r="L337" s="780">
        <f>YEAR(Tabla5[[#This Row],[FECHA]])</f>
        <v>2024</v>
      </c>
      <c r="M337" s="749">
        <v>237</v>
      </c>
      <c r="N337" s="441" t="s">
        <v>678</v>
      </c>
      <c r="O337" s="441" t="s">
        <v>713</v>
      </c>
      <c r="P337" s="441" t="s">
        <v>110</v>
      </c>
    </row>
    <row r="338" spans="1:16" ht="13.8">
      <c r="A338" s="531">
        <v>45466</v>
      </c>
      <c r="B338" s="340" t="s">
        <v>253</v>
      </c>
      <c r="C338" s="340" t="s">
        <v>258</v>
      </c>
      <c r="D338" s="340" t="s">
        <v>440</v>
      </c>
      <c r="E338" s="340">
        <v>96</v>
      </c>
      <c r="F338" s="340">
        <v>16</v>
      </c>
      <c r="G338" s="529">
        <v>929.93</v>
      </c>
      <c r="H338" s="551">
        <f t="shared" si="10"/>
        <v>1428372.48</v>
      </c>
      <c r="I338" s="340">
        <v>1382</v>
      </c>
      <c r="J338" s="753">
        <f t="shared" si="11"/>
        <v>1536</v>
      </c>
      <c r="K338" s="685" t="str">
        <f>UPPER((TEXT(Tabla5[[#This Row],[FECHA]],"MMM")))</f>
        <v>JUN</v>
      </c>
      <c r="L338" s="780">
        <f>YEAR(Tabla5[[#This Row],[FECHA]])</f>
        <v>2024</v>
      </c>
      <c r="M338" s="749">
        <v>237</v>
      </c>
      <c r="N338" s="441" t="s">
        <v>678</v>
      </c>
      <c r="O338" s="441" t="s">
        <v>713</v>
      </c>
      <c r="P338" s="441" t="s">
        <v>110</v>
      </c>
    </row>
    <row r="339" spans="1:16" ht="13.8">
      <c r="A339" s="531">
        <v>45471</v>
      </c>
      <c r="B339" s="340" t="s">
        <v>277</v>
      </c>
      <c r="C339" s="340" t="s">
        <v>264</v>
      </c>
      <c r="D339" s="340" t="s">
        <v>440</v>
      </c>
      <c r="E339" s="340">
        <v>96</v>
      </c>
      <c r="F339" s="340">
        <v>8</v>
      </c>
      <c r="G339" s="529">
        <v>929.93</v>
      </c>
      <c r="H339" s="551">
        <f t="shared" si="10"/>
        <v>714186.23999999999</v>
      </c>
      <c r="I339" s="340">
        <v>520</v>
      </c>
      <c r="J339" s="753">
        <f t="shared" si="11"/>
        <v>768</v>
      </c>
      <c r="K339" s="685" t="str">
        <f>UPPER((TEXT(Tabla5[[#This Row],[FECHA]],"MMM")))</f>
        <v>JUN</v>
      </c>
      <c r="L339" s="780">
        <f>YEAR(Tabla5[[#This Row],[FECHA]])</f>
        <v>2024</v>
      </c>
      <c r="M339" s="749">
        <v>237</v>
      </c>
      <c r="N339" s="441" t="s">
        <v>678</v>
      </c>
      <c r="O339" s="441" t="s">
        <v>713</v>
      </c>
      <c r="P339" s="441" t="s">
        <v>110</v>
      </c>
    </row>
    <row r="340" spans="1:16" ht="13.8">
      <c r="A340" s="531">
        <v>45472</v>
      </c>
      <c r="B340" s="340" t="s">
        <v>277</v>
      </c>
      <c r="C340" s="340" t="s">
        <v>263</v>
      </c>
      <c r="D340" s="340" t="s">
        <v>440</v>
      </c>
      <c r="E340" s="340">
        <v>96</v>
      </c>
      <c r="F340" s="340">
        <v>18</v>
      </c>
      <c r="G340" s="529">
        <v>929.93</v>
      </c>
      <c r="H340" s="551">
        <f t="shared" si="10"/>
        <v>1606919.0399999998</v>
      </c>
      <c r="I340" s="340">
        <v>1414</v>
      </c>
      <c r="J340" s="753">
        <f t="shared" si="11"/>
        <v>1728</v>
      </c>
      <c r="K340" s="685" t="str">
        <f>UPPER((TEXT(Tabla5[[#This Row],[FECHA]],"MMM")))</f>
        <v>JUN</v>
      </c>
      <c r="L340" s="780">
        <f>YEAR(Tabla5[[#This Row],[FECHA]])</f>
        <v>2024</v>
      </c>
      <c r="M340" s="749">
        <v>237</v>
      </c>
      <c r="N340" s="441" t="s">
        <v>678</v>
      </c>
      <c r="O340" s="441" t="s">
        <v>713</v>
      </c>
      <c r="P340" s="441" t="s">
        <v>110</v>
      </c>
    </row>
    <row r="341" spans="1:16" ht="13.8">
      <c r="A341" s="531">
        <v>45473</v>
      </c>
      <c r="B341" s="340" t="s">
        <v>277</v>
      </c>
      <c r="C341" s="340" t="s">
        <v>263</v>
      </c>
      <c r="D341" s="340" t="s">
        <v>440</v>
      </c>
      <c r="E341" s="340">
        <v>96</v>
      </c>
      <c r="F341" s="340">
        <v>18</v>
      </c>
      <c r="G341" s="529">
        <v>929.93</v>
      </c>
      <c r="H341" s="551">
        <f t="shared" si="10"/>
        <v>1606919.0399999998</v>
      </c>
      <c r="I341" s="340">
        <v>1520</v>
      </c>
      <c r="J341" s="753">
        <f t="shared" si="11"/>
        <v>1728</v>
      </c>
      <c r="K341" s="685" t="str">
        <f>UPPER((TEXT(Tabla5[[#This Row],[FECHA]],"MMM")))</f>
        <v>JUN</v>
      </c>
      <c r="L341" s="780">
        <f>YEAR(Tabla5[[#This Row],[FECHA]])</f>
        <v>2024</v>
      </c>
      <c r="M341" s="749">
        <v>237</v>
      </c>
      <c r="N341" s="441" t="s">
        <v>678</v>
      </c>
      <c r="O341" s="441" t="s">
        <v>713</v>
      </c>
      <c r="P341" s="441" t="s">
        <v>110</v>
      </c>
    </row>
    <row r="342" spans="1:16" ht="13.8">
      <c r="A342" s="531">
        <v>45474</v>
      </c>
      <c r="B342" s="340" t="s">
        <v>253</v>
      </c>
      <c r="C342" s="340" t="s">
        <v>258</v>
      </c>
      <c r="D342" s="340" t="s">
        <v>440</v>
      </c>
      <c r="E342" s="340">
        <v>96</v>
      </c>
      <c r="F342" s="340">
        <v>18</v>
      </c>
      <c r="G342" s="529">
        <v>929.93</v>
      </c>
      <c r="H342" s="551">
        <f t="shared" si="10"/>
        <v>1606919.0399999998</v>
      </c>
      <c r="I342" s="340">
        <v>1598</v>
      </c>
      <c r="J342" s="340">
        <f>E342*F342</f>
        <v>1728</v>
      </c>
      <c r="K342" s="685" t="str">
        <f>UPPER((TEXT(Tabla5[[#This Row],[FECHA]],"MMM")))</f>
        <v>JUL</v>
      </c>
      <c r="L342" s="780">
        <f>YEAR(Tabla5[[#This Row],[FECHA]])</f>
        <v>2024</v>
      </c>
      <c r="M342" s="749">
        <v>247</v>
      </c>
      <c r="N342" s="441" t="s">
        <v>678</v>
      </c>
      <c r="O342" s="441" t="s">
        <v>713</v>
      </c>
      <c r="P342" s="441" t="s">
        <v>110</v>
      </c>
    </row>
    <row r="343" spans="1:16" ht="13.8">
      <c r="A343" s="531">
        <v>45476</v>
      </c>
      <c r="B343" s="340" t="s">
        <v>253</v>
      </c>
      <c r="C343" s="340" t="s">
        <v>258</v>
      </c>
      <c r="D343" s="340" t="s">
        <v>440</v>
      </c>
      <c r="E343" s="340">
        <v>96</v>
      </c>
      <c r="F343" s="340">
        <v>5</v>
      </c>
      <c r="G343" s="529">
        <v>929.93</v>
      </c>
      <c r="H343" s="551">
        <f t="shared" si="10"/>
        <v>446366.39999999997</v>
      </c>
      <c r="I343" s="340">
        <v>350</v>
      </c>
      <c r="J343" s="340">
        <f t="shared" ref="J343:J378" si="12">E343*F343</f>
        <v>480</v>
      </c>
      <c r="K343" s="685" t="str">
        <f>UPPER((TEXT(Tabla5[[#This Row],[FECHA]],"MMM")))</f>
        <v>JUL</v>
      </c>
      <c r="L343" s="780">
        <f>YEAR(Tabla5[[#This Row],[FECHA]])</f>
        <v>2024</v>
      </c>
      <c r="M343" s="749">
        <v>247</v>
      </c>
      <c r="N343" s="441" t="s">
        <v>678</v>
      </c>
      <c r="O343" s="441" t="s">
        <v>713</v>
      </c>
      <c r="P343" s="441" t="s">
        <v>110</v>
      </c>
    </row>
    <row r="344" spans="1:16" ht="13.8">
      <c r="A344" s="531">
        <v>45479</v>
      </c>
      <c r="B344" s="340" t="s">
        <v>289</v>
      </c>
      <c r="C344" s="340" t="s">
        <v>290</v>
      </c>
      <c r="D344" s="340" t="s">
        <v>440</v>
      </c>
      <c r="E344" s="340">
        <v>96</v>
      </c>
      <c r="F344" s="340">
        <v>15</v>
      </c>
      <c r="G344" s="529">
        <v>929.93</v>
      </c>
      <c r="H344" s="551">
        <f t="shared" si="10"/>
        <v>1339099.2</v>
      </c>
      <c r="I344" s="340">
        <v>1196</v>
      </c>
      <c r="J344" s="340">
        <f t="shared" si="12"/>
        <v>1440</v>
      </c>
      <c r="K344" s="685" t="str">
        <f>UPPER((TEXT(Tabla5[[#This Row],[FECHA]],"MMM")))</f>
        <v>JUL</v>
      </c>
      <c r="L344" s="780">
        <f>YEAR(Tabla5[[#This Row],[FECHA]])</f>
        <v>2024</v>
      </c>
      <c r="M344" s="749">
        <v>247</v>
      </c>
      <c r="N344" s="441" t="s">
        <v>678</v>
      </c>
      <c r="O344" s="441" t="s">
        <v>713</v>
      </c>
      <c r="P344" s="441" t="s">
        <v>110</v>
      </c>
    </row>
    <row r="345" spans="1:16" ht="13.8">
      <c r="A345" s="531">
        <v>45480</v>
      </c>
      <c r="B345" s="340" t="s">
        <v>253</v>
      </c>
      <c r="C345" s="340" t="s">
        <v>258</v>
      </c>
      <c r="D345" s="340" t="s">
        <v>440</v>
      </c>
      <c r="E345" s="340">
        <v>96</v>
      </c>
      <c r="F345" s="340">
        <v>18</v>
      </c>
      <c r="G345" s="529">
        <v>929.93</v>
      </c>
      <c r="H345" s="551">
        <f t="shared" si="10"/>
        <v>1606919.0399999998</v>
      </c>
      <c r="I345" s="340">
        <v>1518</v>
      </c>
      <c r="J345" s="340">
        <f t="shared" si="12"/>
        <v>1728</v>
      </c>
      <c r="K345" s="685" t="str">
        <f>UPPER((TEXT(Tabla5[[#This Row],[FECHA]],"MMM")))</f>
        <v>JUL</v>
      </c>
      <c r="L345" s="780">
        <f>YEAR(Tabla5[[#This Row],[FECHA]])</f>
        <v>2024</v>
      </c>
      <c r="M345" s="749">
        <v>247</v>
      </c>
      <c r="N345" s="441" t="s">
        <v>678</v>
      </c>
      <c r="O345" s="441" t="s">
        <v>713</v>
      </c>
      <c r="P345" s="441" t="s">
        <v>110</v>
      </c>
    </row>
    <row r="346" spans="1:16" ht="13.8">
      <c r="A346" s="531">
        <v>45486</v>
      </c>
      <c r="B346" s="340" t="s">
        <v>289</v>
      </c>
      <c r="C346" s="340" t="s">
        <v>290</v>
      </c>
      <c r="D346" s="340" t="s">
        <v>440</v>
      </c>
      <c r="E346" s="340">
        <v>96</v>
      </c>
      <c r="F346" s="340">
        <v>17</v>
      </c>
      <c r="G346" s="529">
        <v>929.93</v>
      </c>
      <c r="H346" s="551">
        <f t="shared" si="10"/>
        <v>1517645.76</v>
      </c>
      <c r="I346" s="340">
        <v>1484</v>
      </c>
      <c r="J346" s="340">
        <f t="shared" si="12"/>
        <v>1632</v>
      </c>
      <c r="K346" s="685" t="str">
        <f>UPPER((TEXT(Tabla5[[#This Row],[FECHA]],"MMM")))</f>
        <v>JUL</v>
      </c>
      <c r="L346" s="780">
        <f>YEAR(Tabla5[[#This Row],[FECHA]])</f>
        <v>2024</v>
      </c>
      <c r="M346" s="749">
        <v>247</v>
      </c>
      <c r="N346" s="441" t="s">
        <v>678</v>
      </c>
      <c r="O346" s="441" t="s">
        <v>713</v>
      </c>
      <c r="P346" s="441" t="s">
        <v>110</v>
      </c>
    </row>
    <row r="347" spans="1:16" ht="13.8">
      <c r="A347" s="531">
        <v>45487</v>
      </c>
      <c r="B347" s="340" t="s">
        <v>277</v>
      </c>
      <c r="C347" s="340" t="s">
        <v>490</v>
      </c>
      <c r="D347" s="340" t="s">
        <v>440</v>
      </c>
      <c r="E347" s="340">
        <v>96</v>
      </c>
      <c r="F347" s="340">
        <v>14</v>
      </c>
      <c r="G347" s="529">
        <v>929.93</v>
      </c>
      <c r="H347" s="551">
        <f t="shared" si="10"/>
        <v>1249825.92</v>
      </c>
      <c r="I347" s="340">
        <v>1008</v>
      </c>
      <c r="J347" s="340">
        <f t="shared" si="12"/>
        <v>1344</v>
      </c>
      <c r="K347" s="685" t="str">
        <f>UPPER((TEXT(Tabla5[[#This Row],[FECHA]],"MMM")))</f>
        <v>JUL</v>
      </c>
      <c r="L347" s="780">
        <f>YEAR(Tabla5[[#This Row],[FECHA]])</f>
        <v>2024</v>
      </c>
      <c r="M347" s="749">
        <v>247</v>
      </c>
      <c r="N347" s="441" t="s">
        <v>678</v>
      </c>
      <c r="O347" s="441" t="s">
        <v>713</v>
      </c>
      <c r="P347" s="441" t="s">
        <v>110</v>
      </c>
    </row>
    <row r="348" spans="1:16" ht="13.8">
      <c r="A348" s="531">
        <v>45490</v>
      </c>
      <c r="B348" s="340" t="s">
        <v>261</v>
      </c>
      <c r="C348" s="340" t="s">
        <v>262</v>
      </c>
      <c r="D348" s="340" t="s">
        <v>260</v>
      </c>
      <c r="E348" s="340">
        <v>58</v>
      </c>
      <c r="F348" s="340">
        <v>4</v>
      </c>
      <c r="G348" s="529">
        <v>929.93</v>
      </c>
      <c r="H348" s="551">
        <f t="shared" si="10"/>
        <v>215743.75999999998</v>
      </c>
      <c r="I348" s="340">
        <v>26</v>
      </c>
      <c r="J348" s="340">
        <f t="shared" si="12"/>
        <v>232</v>
      </c>
      <c r="K348" s="685" t="str">
        <f>UPPER((TEXT(Tabla5[[#This Row],[FECHA]],"MMM")))</f>
        <v>JUL</v>
      </c>
      <c r="L348" s="780">
        <f>YEAR(Tabla5[[#This Row],[FECHA]])</f>
        <v>2024</v>
      </c>
      <c r="M348" s="749">
        <v>247</v>
      </c>
      <c r="N348" s="441" t="s">
        <v>679</v>
      </c>
      <c r="O348" s="441" t="s">
        <v>712</v>
      </c>
      <c r="P348" s="441" t="s">
        <v>110</v>
      </c>
    </row>
    <row r="349" spans="1:16" ht="13.8">
      <c r="A349" s="531">
        <v>45493</v>
      </c>
      <c r="B349" s="340" t="s">
        <v>256</v>
      </c>
      <c r="C349" s="340" t="s">
        <v>257</v>
      </c>
      <c r="D349" s="340" t="s">
        <v>440</v>
      </c>
      <c r="E349" s="340">
        <v>96</v>
      </c>
      <c r="F349" s="340">
        <v>17</v>
      </c>
      <c r="G349" s="529">
        <v>929.93</v>
      </c>
      <c r="H349" s="551">
        <f t="shared" si="10"/>
        <v>1517645.76</v>
      </c>
      <c r="I349" s="340">
        <v>1320</v>
      </c>
      <c r="J349" s="340">
        <f t="shared" si="12"/>
        <v>1632</v>
      </c>
      <c r="K349" s="685" t="str">
        <f>UPPER((TEXT(Tabla5[[#This Row],[FECHA]],"MMM")))</f>
        <v>JUL</v>
      </c>
      <c r="L349" s="780">
        <f>YEAR(Tabla5[[#This Row],[FECHA]])</f>
        <v>2024</v>
      </c>
      <c r="M349" s="749">
        <v>247</v>
      </c>
      <c r="N349" s="441" t="s">
        <v>678</v>
      </c>
      <c r="O349" s="441" t="s">
        <v>713</v>
      </c>
      <c r="P349" s="441" t="s">
        <v>110</v>
      </c>
    </row>
    <row r="350" spans="1:16" ht="13.8">
      <c r="A350" s="531">
        <v>45494</v>
      </c>
      <c r="B350" s="340" t="s">
        <v>256</v>
      </c>
      <c r="C350" s="340" t="s">
        <v>257</v>
      </c>
      <c r="D350" s="340" t="s">
        <v>440</v>
      </c>
      <c r="E350" s="340">
        <v>96</v>
      </c>
      <c r="F350" s="340">
        <v>14</v>
      </c>
      <c r="G350" s="529">
        <v>929.93</v>
      </c>
      <c r="H350" s="551">
        <f t="shared" si="10"/>
        <v>1249825.92</v>
      </c>
      <c r="I350" s="340">
        <v>1138</v>
      </c>
      <c r="J350" s="340">
        <f t="shared" si="12"/>
        <v>1344</v>
      </c>
      <c r="K350" s="685" t="str">
        <f>UPPER((TEXT(Tabla5[[#This Row],[FECHA]],"MMM")))</f>
        <v>JUL</v>
      </c>
      <c r="L350" s="780">
        <f>YEAR(Tabla5[[#This Row],[FECHA]])</f>
        <v>2024</v>
      </c>
      <c r="M350" s="749">
        <v>247</v>
      </c>
      <c r="N350" s="441" t="s">
        <v>678</v>
      </c>
      <c r="O350" s="441" t="s">
        <v>713</v>
      </c>
      <c r="P350" s="441" t="s">
        <v>110</v>
      </c>
    </row>
    <row r="351" spans="1:16" ht="13.8">
      <c r="A351" s="531">
        <v>45495</v>
      </c>
      <c r="B351" s="340" t="s">
        <v>261</v>
      </c>
      <c r="C351" s="340" t="s">
        <v>266</v>
      </c>
      <c r="D351" s="340" t="s">
        <v>260</v>
      </c>
      <c r="E351" s="340">
        <v>58</v>
      </c>
      <c r="F351" s="340">
        <v>4</v>
      </c>
      <c r="G351" s="529">
        <v>929.93</v>
      </c>
      <c r="H351" s="551">
        <f t="shared" si="10"/>
        <v>215743.75999999998</v>
      </c>
      <c r="I351" s="340">
        <v>140</v>
      </c>
      <c r="J351" s="340">
        <f t="shared" si="12"/>
        <v>232</v>
      </c>
      <c r="K351" s="685" t="str">
        <f>UPPER((TEXT(Tabla5[[#This Row],[FECHA]],"MMM")))</f>
        <v>JUL</v>
      </c>
      <c r="L351" s="780">
        <f>YEAR(Tabla5[[#This Row],[FECHA]])</f>
        <v>2024</v>
      </c>
      <c r="M351" s="749">
        <v>247</v>
      </c>
      <c r="N351" s="441" t="s">
        <v>679</v>
      </c>
      <c r="O351" s="441" t="s">
        <v>712</v>
      </c>
      <c r="P351" s="441" t="s">
        <v>110</v>
      </c>
    </row>
    <row r="352" spans="1:16" ht="13.8">
      <c r="A352" s="531">
        <v>45495</v>
      </c>
      <c r="B352" s="340" t="s">
        <v>271</v>
      </c>
      <c r="C352" s="340" t="s">
        <v>292</v>
      </c>
      <c r="D352" s="340" t="s">
        <v>491</v>
      </c>
      <c r="E352" s="340">
        <v>76</v>
      </c>
      <c r="F352" s="340">
        <v>10</v>
      </c>
      <c r="G352" s="529">
        <v>929.93</v>
      </c>
      <c r="H352" s="551">
        <f t="shared" si="10"/>
        <v>706746.79999999993</v>
      </c>
      <c r="I352" s="340">
        <v>937</v>
      </c>
      <c r="J352" s="340">
        <f t="shared" si="12"/>
        <v>760</v>
      </c>
      <c r="K352" s="685" t="str">
        <f>UPPER((TEXT(Tabla5[[#This Row],[FECHA]],"MMM")))</f>
        <v>JUL</v>
      </c>
      <c r="L352" s="780">
        <f>YEAR(Tabla5[[#This Row],[FECHA]])</f>
        <v>2024</v>
      </c>
      <c r="M352" s="749">
        <v>247</v>
      </c>
      <c r="N352" s="441" t="s">
        <v>676</v>
      </c>
      <c r="O352" s="441" t="s">
        <v>712</v>
      </c>
      <c r="P352" s="441" t="s">
        <v>110</v>
      </c>
    </row>
    <row r="353" spans="1:16" ht="13.8">
      <c r="A353" s="531">
        <v>45495</v>
      </c>
      <c r="B353" s="340" t="s">
        <v>293</v>
      </c>
      <c r="C353" s="340" t="s">
        <v>273</v>
      </c>
      <c r="D353" s="340" t="s">
        <v>260</v>
      </c>
      <c r="E353" s="340">
        <v>58</v>
      </c>
      <c r="F353" s="340">
        <v>4</v>
      </c>
      <c r="G353" s="529">
        <v>929.93</v>
      </c>
      <c r="H353" s="551">
        <f t="shared" si="10"/>
        <v>215743.75999999998</v>
      </c>
      <c r="I353" s="340">
        <v>414</v>
      </c>
      <c r="J353" s="340">
        <f t="shared" si="12"/>
        <v>232</v>
      </c>
      <c r="K353" s="685" t="str">
        <f>UPPER((TEXT(Tabla5[[#This Row],[FECHA]],"MMM")))</f>
        <v>JUL</v>
      </c>
      <c r="L353" s="780">
        <f>YEAR(Tabla5[[#This Row],[FECHA]])</f>
        <v>2024</v>
      </c>
      <c r="M353" s="749">
        <v>247</v>
      </c>
      <c r="N353" s="441" t="s">
        <v>680</v>
      </c>
      <c r="O353" s="441" t="s">
        <v>712</v>
      </c>
      <c r="P353" s="441" t="s">
        <v>110</v>
      </c>
    </row>
    <row r="354" spans="1:16" ht="13.8">
      <c r="A354" s="531">
        <v>45495</v>
      </c>
      <c r="B354" s="340" t="s">
        <v>410</v>
      </c>
      <c r="C354" s="340" t="s">
        <v>290</v>
      </c>
      <c r="D354" s="340" t="s">
        <v>440</v>
      </c>
      <c r="E354" s="340">
        <v>96</v>
      </c>
      <c r="F354" s="340">
        <v>10</v>
      </c>
      <c r="G354" s="529">
        <v>929.93</v>
      </c>
      <c r="H354" s="551">
        <f t="shared" si="10"/>
        <v>892732.79999999993</v>
      </c>
      <c r="I354" s="340">
        <v>808</v>
      </c>
      <c r="J354" s="340">
        <f t="shared" si="12"/>
        <v>960</v>
      </c>
      <c r="K354" s="685" t="str">
        <f>UPPER((TEXT(Tabla5[[#This Row],[FECHA]],"MMM")))</f>
        <v>JUL</v>
      </c>
      <c r="L354" s="780">
        <f>YEAR(Tabla5[[#This Row],[FECHA]])</f>
        <v>2024</v>
      </c>
      <c r="M354" s="749">
        <v>247</v>
      </c>
      <c r="N354" s="441" t="s">
        <v>678</v>
      </c>
      <c r="O354" s="441" t="s">
        <v>713</v>
      </c>
      <c r="P354" s="441" t="s">
        <v>110</v>
      </c>
    </row>
    <row r="355" spans="1:16" ht="13.8">
      <c r="A355" s="531">
        <v>45496</v>
      </c>
      <c r="B355" s="340" t="s">
        <v>261</v>
      </c>
      <c r="C355" s="340" t="s">
        <v>266</v>
      </c>
      <c r="D355" s="340" t="s">
        <v>260</v>
      </c>
      <c r="E355" s="340">
        <v>58</v>
      </c>
      <c r="F355" s="340">
        <v>4</v>
      </c>
      <c r="G355" s="529">
        <v>929.93</v>
      </c>
      <c r="H355" s="551">
        <f t="shared" si="10"/>
        <v>215743.75999999998</v>
      </c>
      <c r="I355" s="340">
        <v>188</v>
      </c>
      <c r="J355" s="340">
        <f t="shared" si="12"/>
        <v>232</v>
      </c>
      <c r="K355" s="685" t="str">
        <f>UPPER((TEXT(Tabla5[[#This Row],[FECHA]],"MMM")))</f>
        <v>JUL</v>
      </c>
      <c r="L355" s="780">
        <f>YEAR(Tabla5[[#This Row],[FECHA]])</f>
        <v>2024</v>
      </c>
      <c r="M355" s="749">
        <v>247</v>
      </c>
      <c r="N355" s="441" t="s">
        <v>679</v>
      </c>
      <c r="O355" s="441" t="s">
        <v>712</v>
      </c>
      <c r="P355" s="441" t="s">
        <v>110</v>
      </c>
    </row>
    <row r="356" spans="1:16" ht="13.8">
      <c r="A356" s="531">
        <v>45496</v>
      </c>
      <c r="B356" s="340" t="s">
        <v>271</v>
      </c>
      <c r="C356" s="340" t="s">
        <v>257</v>
      </c>
      <c r="D356" s="340" t="s">
        <v>491</v>
      </c>
      <c r="E356" s="340">
        <v>76</v>
      </c>
      <c r="F356" s="340">
        <v>10</v>
      </c>
      <c r="G356" s="529">
        <v>929.93</v>
      </c>
      <c r="H356" s="551">
        <f t="shared" si="10"/>
        <v>706746.79999999993</v>
      </c>
      <c r="I356" s="340">
        <v>1164</v>
      </c>
      <c r="J356" s="340">
        <f t="shared" si="12"/>
        <v>760</v>
      </c>
      <c r="K356" s="685" t="str">
        <f>UPPER((TEXT(Tabla5[[#This Row],[FECHA]],"MMM")))</f>
        <v>JUL</v>
      </c>
      <c r="L356" s="780">
        <f>YEAR(Tabla5[[#This Row],[FECHA]])</f>
        <v>2024</v>
      </c>
      <c r="M356" s="749">
        <v>247</v>
      </c>
      <c r="N356" s="441" t="s">
        <v>676</v>
      </c>
      <c r="O356" s="441" t="s">
        <v>712</v>
      </c>
      <c r="P356" s="441" t="s">
        <v>110</v>
      </c>
    </row>
    <row r="357" spans="1:16" ht="13.8">
      <c r="A357" s="531">
        <v>45496</v>
      </c>
      <c r="B357" s="340" t="s">
        <v>403</v>
      </c>
      <c r="C357" s="340" t="s">
        <v>404</v>
      </c>
      <c r="D357" s="340" t="s">
        <v>260</v>
      </c>
      <c r="E357" s="340">
        <v>58</v>
      </c>
      <c r="F357" s="340">
        <v>5</v>
      </c>
      <c r="G357" s="529">
        <v>929.93</v>
      </c>
      <c r="H357" s="551">
        <f t="shared" si="10"/>
        <v>269679.7</v>
      </c>
      <c r="I357" s="340">
        <v>587</v>
      </c>
      <c r="J357" s="340">
        <f t="shared" si="12"/>
        <v>290</v>
      </c>
      <c r="K357" s="685" t="str">
        <f>UPPER((TEXT(Tabla5[[#This Row],[FECHA]],"MMM")))</f>
        <v>JUL</v>
      </c>
      <c r="L357" s="780">
        <f>YEAR(Tabla5[[#This Row],[FECHA]])</f>
        <v>2024</v>
      </c>
      <c r="M357" s="749">
        <v>247</v>
      </c>
      <c r="N357" s="441" t="s">
        <v>680</v>
      </c>
      <c r="O357" s="441" t="s">
        <v>712</v>
      </c>
      <c r="P357" s="441" t="s">
        <v>110</v>
      </c>
    </row>
    <row r="358" spans="1:16" ht="13.8">
      <c r="A358" s="531">
        <v>45497</v>
      </c>
      <c r="B358" s="340" t="s">
        <v>272</v>
      </c>
      <c r="C358" s="340" t="s">
        <v>278</v>
      </c>
      <c r="D358" s="340" t="s">
        <v>260</v>
      </c>
      <c r="E358" s="340">
        <v>58</v>
      </c>
      <c r="F358" s="340">
        <v>4</v>
      </c>
      <c r="G358" s="529">
        <v>929.93</v>
      </c>
      <c r="H358" s="551">
        <f t="shared" si="10"/>
        <v>215743.75999999998</v>
      </c>
      <c r="I358" s="340">
        <v>156</v>
      </c>
      <c r="J358" s="340">
        <f t="shared" si="12"/>
        <v>232</v>
      </c>
      <c r="K358" s="685" t="str">
        <f>UPPER((TEXT(Tabla5[[#This Row],[FECHA]],"MMM")))</f>
        <v>JUL</v>
      </c>
      <c r="L358" s="780">
        <f>YEAR(Tabla5[[#This Row],[FECHA]])</f>
        <v>2024</v>
      </c>
      <c r="M358" s="749">
        <v>247</v>
      </c>
      <c r="N358" s="441" t="s">
        <v>679</v>
      </c>
      <c r="O358" s="441" t="s">
        <v>712</v>
      </c>
      <c r="P358" s="441" t="s">
        <v>110</v>
      </c>
    </row>
    <row r="359" spans="1:16" ht="13.8">
      <c r="A359" s="531">
        <v>45497</v>
      </c>
      <c r="B359" s="340" t="s">
        <v>263</v>
      </c>
      <c r="C359" s="340" t="s">
        <v>264</v>
      </c>
      <c r="D359" s="340" t="s">
        <v>491</v>
      </c>
      <c r="E359" s="340">
        <v>76</v>
      </c>
      <c r="F359" s="340">
        <v>10</v>
      </c>
      <c r="G359" s="529">
        <v>929.93</v>
      </c>
      <c r="H359" s="551">
        <f t="shared" si="10"/>
        <v>706746.79999999993</v>
      </c>
      <c r="I359" s="340">
        <v>1223</v>
      </c>
      <c r="J359" s="340">
        <f t="shared" si="12"/>
        <v>760</v>
      </c>
      <c r="K359" s="685" t="str">
        <f>UPPER((TEXT(Tabla5[[#This Row],[FECHA]],"MMM")))</f>
        <v>JUL</v>
      </c>
      <c r="L359" s="780">
        <f>YEAR(Tabla5[[#This Row],[FECHA]])</f>
        <v>2024</v>
      </c>
      <c r="M359" s="749">
        <v>247</v>
      </c>
      <c r="N359" s="441" t="s">
        <v>676</v>
      </c>
      <c r="O359" s="441" t="s">
        <v>712</v>
      </c>
      <c r="P359" s="441" t="s">
        <v>110</v>
      </c>
    </row>
    <row r="360" spans="1:16" ht="13.8">
      <c r="A360" s="531">
        <v>45497</v>
      </c>
      <c r="B360" s="340" t="s">
        <v>403</v>
      </c>
      <c r="C360" s="340" t="s">
        <v>404</v>
      </c>
      <c r="D360" s="340" t="s">
        <v>260</v>
      </c>
      <c r="E360" s="340">
        <v>58</v>
      </c>
      <c r="F360" s="340">
        <v>6</v>
      </c>
      <c r="G360" s="529">
        <v>929.93</v>
      </c>
      <c r="H360" s="551">
        <f t="shared" si="10"/>
        <v>323615.63999999996</v>
      </c>
      <c r="I360" s="340">
        <v>728</v>
      </c>
      <c r="J360" s="340">
        <f t="shared" si="12"/>
        <v>348</v>
      </c>
      <c r="K360" s="685" t="str">
        <f>UPPER((TEXT(Tabla5[[#This Row],[FECHA]],"MMM")))</f>
        <v>JUL</v>
      </c>
      <c r="L360" s="780">
        <f>YEAR(Tabla5[[#This Row],[FECHA]])</f>
        <v>2024</v>
      </c>
      <c r="M360" s="749">
        <v>247</v>
      </c>
      <c r="N360" s="441" t="s">
        <v>680</v>
      </c>
      <c r="O360" s="441" t="s">
        <v>712</v>
      </c>
      <c r="P360" s="441" t="s">
        <v>110</v>
      </c>
    </row>
    <row r="361" spans="1:16" ht="13.8">
      <c r="A361" s="531">
        <v>45498</v>
      </c>
      <c r="B361" s="340" t="s">
        <v>272</v>
      </c>
      <c r="C361" s="340" t="s">
        <v>278</v>
      </c>
      <c r="D361" s="340" t="s">
        <v>260</v>
      </c>
      <c r="E361" s="340">
        <v>58</v>
      </c>
      <c r="F361" s="340">
        <v>4</v>
      </c>
      <c r="G361" s="529">
        <v>929.93</v>
      </c>
      <c r="H361" s="551">
        <f t="shared" si="10"/>
        <v>215743.75999999998</v>
      </c>
      <c r="I361" s="340">
        <v>167</v>
      </c>
      <c r="J361" s="340">
        <f t="shared" si="12"/>
        <v>232</v>
      </c>
      <c r="K361" s="685" t="str">
        <f>UPPER((TEXT(Tabla5[[#This Row],[FECHA]],"MMM")))</f>
        <v>JUL</v>
      </c>
      <c r="L361" s="780">
        <f>YEAR(Tabla5[[#This Row],[FECHA]])</f>
        <v>2024</v>
      </c>
      <c r="M361" s="749">
        <v>247</v>
      </c>
      <c r="N361" s="441" t="s">
        <v>679</v>
      </c>
      <c r="O361" s="441" t="s">
        <v>712</v>
      </c>
      <c r="P361" s="441" t="s">
        <v>110</v>
      </c>
    </row>
    <row r="362" spans="1:16" ht="13.8">
      <c r="A362" s="531">
        <v>45498</v>
      </c>
      <c r="B362" s="340" t="s">
        <v>263</v>
      </c>
      <c r="C362" s="340" t="s">
        <v>264</v>
      </c>
      <c r="D362" s="340" t="s">
        <v>491</v>
      </c>
      <c r="E362" s="340">
        <v>76</v>
      </c>
      <c r="F362" s="340">
        <v>10</v>
      </c>
      <c r="G362" s="529">
        <v>929.93</v>
      </c>
      <c r="H362" s="551">
        <f t="shared" si="10"/>
        <v>706746.79999999993</v>
      </c>
      <c r="I362" s="340">
        <v>889</v>
      </c>
      <c r="J362" s="340">
        <f t="shared" si="12"/>
        <v>760</v>
      </c>
      <c r="K362" s="685" t="str">
        <f>UPPER((TEXT(Tabla5[[#This Row],[FECHA]],"MMM")))</f>
        <v>JUL</v>
      </c>
      <c r="L362" s="780">
        <f>YEAR(Tabla5[[#This Row],[FECHA]])</f>
        <v>2024</v>
      </c>
      <c r="M362" s="749">
        <v>247</v>
      </c>
      <c r="N362" s="441" t="s">
        <v>676</v>
      </c>
      <c r="O362" s="441" t="s">
        <v>712</v>
      </c>
      <c r="P362" s="441" t="s">
        <v>110</v>
      </c>
    </row>
    <row r="363" spans="1:16" ht="13.8">
      <c r="A363" s="531">
        <v>45498</v>
      </c>
      <c r="B363" s="340" t="s">
        <v>403</v>
      </c>
      <c r="C363" s="340" t="s">
        <v>404</v>
      </c>
      <c r="D363" s="340" t="s">
        <v>260</v>
      </c>
      <c r="E363" s="340">
        <v>58</v>
      </c>
      <c r="F363" s="340">
        <v>6</v>
      </c>
      <c r="G363" s="529">
        <v>929.93</v>
      </c>
      <c r="H363" s="551">
        <f t="shared" si="10"/>
        <v>323615.63999999996</v>
      </c>
      <c r="I363" s="340">
        <v>899</v>
      </c>
      <c r="J363" s="340">
        <f t="shared" si="12"/>
        <v>348</v>
      </c>
      <c r="K363" s="685" t="str">
        <f>UPPER((TEXT(Tabla5[[#This Row],[FECHA]],"MMM")))</f>
        <v>JUL</v>
      </c>
      <c r="L363" s="780">
        <f>YEAR(Tabla5[[#This Row],[FECHA]])</f>
        <v>2024</v>
      </c>
      <c r="M363" s="749">
        <v>247</v>
      </c>
      <c r="N363" s="441" t="s">
        <v>680</v>
      </c>
      <c r="O363" s="441" t="s">
        <v>712</v>
      </c>
      <c r="P363" s="441" t="s">
        <v>110</v>
      </c>
    </row>
    <row r="364" spans="1:16" ht="13.8">
      <c r="A364" s="531">
        <v>45499</v>
      </c>
      <c r="B364" s="340" t="s">
        <v>272</v>
      </c>
      <c r="C364" s="340" t="s">
        <v>278</v>
      </c>
      <c r="D364" s="340" t="s">
        <v>260</v>
      </c>
      <c r="E364" s="340">
        <v>58</v>
      </c>
      <c r="F364" s="340">
        <v>4</v>
      </c>
      <c r="G364" s="529">
        <v>929.93</v>
      </c>
      <c r="H364" s="551">
        <f t="shared" si="10"/>
        <v>215743.75999999998</v>
      </c>
      <c r="I364" s="340">
        <v>121</v>
      </c>
      <c r="J364" s="340">
        <f t="shared" si="12"/>
        <v>232</v>
      </c>
      <c r="K364" s="685" t="str">
        <f>UPPER((TEXT(Tabla5[[#This Row],[FECHA]],"MMM")))</f>
        <v>JUL</v>
      </c>
      <c r="L364" s="780">
        <f>YEAR(Tabla5[[#This Row],[FECHA]])</f>
        <v>2024</v>
      </c>
      <c r="M364" s="749">
        <v>247</v>
      </c>
      <c r="N364" s="441" t="s">
        <v>679</v>
      </c>
      <c r="O364" s="441" t="s">
        <v>712</v>
      </c>
      <c r="P364" s="441" t="s">
        <v>110</v>
      </c>
    </row>
    <row r="365" spans="1:16" ht="13.8">
      <c r="A365" s="531">
        <v>45499</v>
      </c>
      <c r="B365" s="340" t="s">
        <v>263</v>
      </c>
      <c r="C365" s="340" t="s">
        <v>264</v>
      </c>
      <c r="D365" s="340" t="s">
        <v>491</v>
      </c>
      <c r="E365" s="340">
        <v>76</v>
      </c>
      <c r="F365" s="340">
        <v>13</v>
      </c>
      <c r="G365" s="529">
        <v>929.93</v>
      </c>
      <c r="H365" s="551">
        <f t="shared" si="10"/>
        <v>918770.84</v>
      </c>
      <c r="I365" s="340">
        <v>1486</v>
      </c>
      <c r="J365" s="340">
        <f t="shared" si="12"/>
        <v>988</v>
      </c>
      <c r="K365" s="685" t="str">
        <f>UPPER((TEXT(Tabla5[[#This Row],[FECHA]],"MMM")))</f>
        <v>JUL</v>
      </c>
      <c r="L365" s="780">
        <f>YEAR(Tabla5[[#This Row],[FECHA]])</f>
        <v>2024</v>
      </c>
      <c r="M365" s="749">
        <v>247</v>
      </c>
      <c r="N365" s="441" t="s">
        <v>676</v>
      </c>
      <c r="O365" s="441" t="s">
        <v>712</v>
      </c>
      <c r="P365" s="441" t="s">
        <v>110</v>
      </c>
    </row>
    <row r="366" spans="1:16" ht="13.8">
      <c r="A366" s="531">
        <v>45499</v>
      </c>
      <c r="B366" s="340" t="s">
        <v>406</v>
      </c>
      <c r="C366" s="340" t="s">
        <v>259</v>
      </c>
      <c r="D366" s="340" t="s">
        <v>260</v>
      </c>
      <c r="E366" s="340">
        <v>58</v>
      </c>
      <c r="F366" s="340">
        <v>6</v>
      </c>
      <c r="G366" s="529">
        <v>929.93</v>
      </c>
      <c r="H366" s="551">
        <f t="shared" si="10"/>
        <v>323615.63999999996</v>
      </c>
      <c r="I366" s="340">
        <v>893</v>
      </c>
      <c r="J366" s="340">
        <f t="shared" si="12"/>
        <v>348</v>
      </c>
      <c r="K366" s="685" t="str">
        <f>UPPER((TEXT(Tabla5[[#This Row],[FECHA]],"MMM")))</f>
        <v>JUL</v>
      </c>
      <c r="L366" s="780">
        <f>YEAR(Tabla5[[#This Row],[FECHA]])</f>
        <v>2024</v>
      </c>
      <c r="M366" s="749">
        <v>247</v>
      </c>
      <c r="N366" s="441" t="s">
        <v>680</v>
      </c>
      <c r="O366" s="441" t="s">
        <v>712</v>
      </c>
      <c r="P366" s="441" t="s">
        <v>110</v>
      </c>
    </row>
    <row r="367" spans="1:16" ht="13.8">
      <c r="A367" s="531">
        <v>45500</v>
      </c>
      <c r="B367" s="340" t="s">
        <v>492</v>
      </c>
      <c r="C367" s="340" t="s">
        <v>493</v>
      </c>
      <c r="D367" s="340" t="s">
        <v>491</v>
      </c>
      <c r="E367" s="340">
        <v>76</v>
      </c>
      <c r="F367" s="340">
        <v>6</v>
      </c>
      <c r="G367" s="529">
        <v>929.93</v>
      </c>
      <c r="H367" s="551">
        <f t="shared" si="10"/>
        <v>424048.07999999996</v>
      </c>
      <c r="I367" s="340">
        <v>503</v>
      </c>
      <c r="J367" s="340">
        <f t="shared" si="12"/>
        <v>456</v>
      </c>
      <c r="K367" s="685" t="str">
        <f>UPPER((TEXT(Tabla5[[#This Row],[FECHA]],"MMM")))</f>
        <v>JUL</v>
      </c>
      <c r="L367" s="780">
        <f>YEAR(Tabla5[[#This Row],[FECHA]])</f>
        <v>2024</v>
      </c>
      <c r="M367" s="749">
        <v>247</v>
      </c>
      <c r="N367" s="441" t="s">
        <v>676</v>
      </c>
      <c r="O367" s="441" t="s">
        <v>712</v>
      </c>
      <c r="P367" s="441" t="s">
        <v>110</v>
      </c>
    </row>
    <row r="368" spans="1:16" ht="13.8">
      <c r="A368" s="531">
        <v>45500</v>
      </c>
      <c r="B368" s="340" t="s">
        <v>271</v>
      </c>
      <c r="C368" s="340" t="s">
        <v>292</v>
      </c>
      <c r="D368" s="340" t="s">
        <v>440</v>
      </c>
      <c r="E368" s="340">
        <v>96</v>
      </c>
      <c r="F368" s="340">
        <v>13</v>
      </c>
      <c r="G368" s="529">
        <v>929.93</v>
      </c>
      <c r="H368" s="551">
        <f t="shared" si="10"/>
        <v>1160552.6399999999</v>
      </c>
      <c r="I368" s="340">
        <v>1046</v>
      </c>
      <c r="J368" s="340">
        <f t="shared" si="12"/>
        <v>1248</v>
      </c>
      <c r="K368" s="685" t="str">
        <f>UPPER((TEXT(Tabla5[[#This Row],[FECHA]],"MMM")))</f>
        <v>JUL</v>
      </c>
      <c r="L368" s="780">
        <f>YEAR(Tabla5[[#This Row],[FECHA]])</f>
        <v>2024</v>
      </c>
      <c r="M368" s="749">
        <v>247</v>
      </c>
      <c r="N368" s="441" t="s">
        <v>678</v>
      </c>
      <c r="O368" s="441" t="s">
        <v>713</v>
      </c>
      <c r="P368" s="441" t="s">
        <v>110</v>
      </c>
    </row>
    <row r="369" spans="1:16" ht="13.8">
      <c r="A369" s="531">
        <v>45501</v>
      </c>
      <c r="B369" s="340" t="s">
        <v>277</v>
      </c>
      <c r="C369" s="340" t="s">
        <v>264</v>
      </c>
      <c r="D369" s="340" t="s">
        <v>440</v>
      </c>
      <c r="E369" s="340">
        <v>96</v>
      </c>
      <c r="F369" s="340">
        <v>15</v>
      </c>
      <c r="G369" s="529">
        <v>929.93</v>
      </c>
      <c r="H369" s="551">
        <f t="shared" si="10"/>
        <v>1339099.2</v>
      </c>
      <c r="I369" s="340">
        <v>1026</v>
      </c>
      <c r="J369" s="340">
        <f t="shared" si="12"/>
        <v>1440</v>
      </c>
      <c r="K369" s="685" t="str">
        <f>UPPER((TEXT(Tabla5[[#This Row],[FECHA]],"MMM")))</f>
        <v>JUL</v>
      </c>
      <c r="L369" s="780">
        <f>YEAR(Tabla5[[#This Row],[FECHA]])</f>
        <v>2024</v>
      </c>
      <c r="M369" s="749">
        <v>247</v>
      </c>
      <c r="N369" s="441" t="s">
        <v>678</v>
      </c>
      <c r="O369" s="441" t="s">
        <v>713</v>
      </c>
      <c r="P369" s="441" t="s">
        <v>110</v>
      </c>
    </row>
    <row r="370" spans="1:16" ht="13.8">
      <c r="A370" s="531">
        <v>45502</v>
      </c>
      <c r="B370" s="340" t="s">
        <v>269</v>
      </c>
      <c r="C370" s="340" t="s">
        <v>270</v>
      </c>
      <c r="D370" s="340" t="s">
        <v>260</v>
      </c>
      <c r="E370" s="340">
        <v>58</v>
      </c>
      <c r="F370" s="340">
        <v>4</v>
      </c>
      <c r="G370" s="529">
        <v>929.93</v>
      </c>
      <c r="H370" s="551">
        <f t="shared" si="10"/>
        <v>215743.75999999998</v>
      </c>
      <c r="I370" s="340">
        <v>165</v>
      </c>
      <c r="J370" s="340">
        <f t="shared" si="12"/>
        <v>232</v>
      </c>
      <c r="K370" s="685" t="str">
        <f>UPPER((TEXT(Tabla5[[#This Row],[FECHA]],"MMM")))</f>
        <v>JUL</v>
      </c>
      <c r="L370" s="780">
        <f>YEAR(Tabla5[[#This Row],[FECHA]])</f>
        <v>2024</v>
      </c>
      <c r="M370" s="749">
        <v>247</v>
      </c>
      <c r="N370" s="441" t="s">
        <v>679</v>
      </c>
      <c r="O370" s="441" t="s">
        <v>712</v>
      </c>
      <c r="P370" s="441" t="s">
        <v>110</v>
      </c>
    </row>
    <row r="371" spans="1:16" ht="13.8">
      <c r="A371" s="531">
        <v>45502</v>
      </c>
      <c r="B371" s="340" t="s">
        <v>263</v>
      </c>
      <c r="C371" s="340" t="s">
        <v>264</v>
      </c>
      <c r="D371" s="340" t="s">
        <v>491</v>
      </c>
      <c r="E371" s="340">
        <v>76</v>
      </c>
      <c r="F371" s="340">
        <v>10</v>
      </c>
      <c r="G371" s="529">
        <v>929.93</v>
      </c>
      <c r="H371" s="551">
        <f t="shared" si="10"/>
        <v>706746.79999999993</v>
      </c>
      <c r="I371" s="340">
        <v>922</v>
      </c>
      <c r="J371" s="340">
        <f t="shared" si="12"/>
        <v>760</v>
      </c>
      <c r="K371" s="685" t="str">
        <f>UPPER((TEXT(Tabla5[[#This Row],[FECHA]],"MMM")))</f>
        <v>JUL</v>
      </c>
      <c r="L371" s="780">
        <f>YEAR(Tabla5[[#This Row],[FECHA]])</f>
        <v>2024</v>
      </c>
      <c r="M371" s="749">
        <v>247</v>
      </c>
      <c r="N371" s="441" t="s">
        <v>676</v>
      </c>
      <c r="O371" s="441" t="s">
        <v>712</v>
      </c>
      <c r="P371" s="441" t="s">
        <v>110</v>
      </c>
    </row>
    <row r="372" spans="1:16" ht="13.8">
      <c r="A372" s="531">
        <v>45502</v>
      </c>
      <c r="B372" s="340" t="s">
        <v>441</v>
      </c>
      <c r="C372" s="340" t="s">
        <v>262</v>
      </c>
      <c r="D372" s="340" t="s">
        <v>260</v>
      </c>
      <c r="E372" s="340">
        <v>58</v>
      </c>
      <c r="F372" s="340">
        <v>4</v>
      </c>
      <c r="G372" s="529">
        <v>929.93</v>
      </c>
      <c r="H372" s="551">
        <f t="shared" si="10"/>
        <v>215743.75999999998</v>
      </c>
      <c r="I372" s="340">
        <v>435</v>
      </c>
      <c r="J372" s="340">
        <f t="shared" si="12"/>
        <v>232</v>
      </c>
      <c r="K372" s="685" t="str">
        <f>UPPER((TEXT(Tabla5[[#This Row],[FECHA]],"MMM")))</f>
        <v>JUL</v>
      </c>
      <c r="L372" s="780">
        <f>YEAR(Tabla5[[#This Row],[FECHA]])</f>
        <v>2024</v>
      </c>
      <c r="M372" s="749">
        <v>247</v>
      </c>
      <c r="N372" s="441" t="s">
        <v>680</v>
      </c>
      <c r="O372" s="441" t="s">
        <v>712</v>
      </c>
      <c r="P372" s="441" t="s">
        <v>110</v>
      </c>
    </row>
    <row r="373" spans="1:16" ht="13.8">
      <c r="A373" s="531">
        <v>45503</v>
      </c>
      <c r="B373" s="340" t="s">
        <v>269</v>
      </c>
      <c r="C373" s="340" t="s">
        <v>270</v>
      </c>
      <c r="D373" s="340" t="s">
        <v>260</v>
      </c>
      <c r="E373" s="340">
        <v>58</v>
      </c>
      <c r="F373" s="340">
        <v>4</v>
      </c>
      <c r="G373" s="529">
        <v>929.93</v>
      </c>
      <c r="H373" s="551">
        <f t="shared" si="10"/>
        <v>215743.75999999998</v>
      </c>
      <c r="I373" s="340">
        <v>183</v>
      </c>
      <c r="J373" s="340">
        <f t="shared" si="12"/>
        <v>232</v>
      </c>
      <c r="K373" s="685" t="str">
        <f>UPPER((TEXT(Tabla5[[#This Row],[FECHA]],"MMM")))</f>
        <v>JUL</v>
      </c>
      <c r="L373" s="780">
        <f>YEAR(Tabla5[[#This Row],[FECHA]])</f>
        <v>2024</v>
      </c>
      <c r="M373" s="749">
        <v>247</v>
      </c>
      <c r="N373" s="441" t="s">
        <v>679</v>
      </c>
      <c r="O373" s="441" t="s">
        <v>712</v>
      </c>
      <c r="P373" s="441" t="s">
        <v>110</v>
      </c>
    </row>
    <row r="374" spans="1:16" ht="13.8">
      <c r="A374" s="531">
        <v>45503</v>
      </c>
      <c r="B374" s="340" t="s">
        <v>263</v>
      </c>
      <c r="C374" s="340" t="s">
        <v>264</v>
      </c>
      <c r="D374" s="340" t="s">
        <v>491</v>
      </c>
      <c r="E374" s="340">
        <v>76</v>
      </c>
      <c r="F374" s="340">
        <v>10</v>
      </c>
      <c r="G374" s="529">
        <v>929.93</v>
      </c>
      <c r="H374" s="551">
        <f t="shared" si="10"/>
        <v>706746.79999999993</v>
      </c>
      <c r="I374" s="340">
        <v>1277</v>
      </c>
      <c r="J374" s="340">
        <f t="shared" si="12"/>
        <v>760</v>
      </c>
      <c r="K374" s="685" t="str">
        <f>UPPER((TEXT(Tabla5[[#This Row],[FECHA]],"MMM")))</f>
        <v>JUL</v>
      </c>
      <c r="L374" s="780">
        <f>YEAR(Tabla5[[#This Row],[FECHA]])</f>
        <v>2024</v>
      </c>
      <c r="M374" s="749">
        <v>247</v>
      </c>
      <c r="N374" s="441" t="s">
        <v>676</v>
      </c>
      <c r="O374" s="441" t="s">
        <v>712</v>
      </c>
      <c r="P374" s="441" t="s">
        <v>110</v>
      </c>
    </row>
    <row r="375" spans="1:16" ht="13.8">
      <c r="A375" s="531">
        <v>45503</v>
      </c>
      <c r="B375" s="340" t="s">
        <v>403</v>
      </c>
      <c r="C375" s="340" t="s">
        <v>404</v>
      </c>
      <c r="D375" s="340" t="s">
        <v>260</v>
      </c>
      <c r="E375" s="340">
        <v>58</v>
      </c>
      <c r="F375" s="340">
        <v>5</v>
      </c>
      <c r="G375" s="529">
        <v>929.93</v>
      </c>
      <c r="H375" s="551">
        <f t="shared" si="10"/>
        <v>269679.7</v>
      </c>
      <c r="I375" s="340">
        <v>574</v>
      </c>
      <c r="J375" s="340">
        <f t="shared" si="12"/>
        <v>290</v>
      </c>
      <c r="K375" s="685" t="str">
        <f>UPPER((TEXT(Tabla5[[#This Row],[FECHA]],"MMM")))</f>
        <v>JUL</v>
      </c>
      <c r="L375" s="780">
        <f>YEAR(Tabla5[[#This Row],[FECHA]])</f>
        <v>2024</v>
      </c>
      <c r="M375" s="749">
        <v>247</v>
      </c>
      <c r="N375" s="441" t="s">
        <v>680</v>
      </c>
      <c r="O375" s="441" t="s">
        <v>712</v>
      </c>
      <c r="P375" s="441" t="s">
        <v>110</v>
      </c>
    </row>
    <row r="376" spans="1:16" ht="13.8">
      <c r="A376" s="531">
        <v>45504</v>
      </c>
      <c r="B376" s="340" t="s">
        <v>269</v>
      </c>
      <c r="C376" s="340" t="s">
        <v>270</v>
      </c>
      <c r="D376" s="340" t="s">
        <v>260</v>
      </c>
      <c r="E376" s="340">
        <v>58</v>
      </c>
      <c r="F376" s="340">
        <v>4</v>
      </c>
      <c r="G376" s="529">
        <v>929.93</v>
      </c>
      <c r="H376" s="551">
        <f t="shared" si="10"/>
        <v>215743.75999999998</v>
      </c>
      <c r="I376" s="340">
        <v>118</v>
      </c>
      <c r="J376" s="340">
        <f t="shared" si="12"/>
        <v>232</v>
      </c>
      <c r="K376" s="685" t="str">
        <f>UPPER((TEXT(Tabla5[[#This Row],[FECHA]],"MMM")))</f>
        <v>JUL</v>
      </c>
      <c r="L376" s="780">
        <f>YEAR(Tabla5[[#This Row],[FECHA]])</f>
        <v>2024</v>
      </c>
      <c r="M376" s="749">
        <v>247</v>
      </c>
      <c r="N376" s="441" t="s">
        <v>679</v>
      </c>
      <c r="O376" s="441" t="s">
        <v>712</v>
      </c>
      <c r="P376" s="441" t="s">
        <v>110</v>
      </c>
    </row>
    <row r="377" spans="1:16" ht="13.8">
      <c r="A377" s="531">
        <v>45504</v>
      </c>
      <c r="B377" s="340" t="s">
        <v>263</v>
      </c>
      <c r="C377" s="340" t="s">
        <v>264</v>
      </c>
      <c r="D377" s="340" t="s">
        <v>491</v>
      </c>
      <c r="E377" s="340">
        <v>76</v>
      </c>
      <c r="F377" s="340">
        <v>10</v>
      </c>
      <c r="G377" s="529">
        <v>929.93</v>
      </c>
      <c r="H377" s="551">
        <f t="shared" si="10"/>
        <v>706746.79999999993</v>
      </c>
      <c r="I377" s="340">
        <v>1307</v>
      </c>
      <c r="J377" s="340">
        <f t="shared" si="12"/>
        <v>760</v>
      </c>
      <c r="K377" s="685" t="str">
        <f>UPPER((TEXT(Tabla5[[#This Row],[FECHA]],"MMM")))</f>
        <v>JUL</v>
      </c>
      <c r="L377" s="780">
        <f>YEAR(Tabla5[[#This Row],[FECHA]])</f>
        <v>2024</v>
      </c>
      <c r="M377" s="749">
        <v>247</v>
      </c>
      <c r="N377" s="441" t="s">
        <v>676</v>
      </c>
      <c r="O377" s="441" t="s">
        <v>712</v>
      </c>
      <c r="P377" s="441" t="s">
        <v>110</v>
      </c>
    </row>
    <row r="378" spans="1:16" ht="13.8">
      <c r="A378" s="531">
        <v>45504</v>
      </c>
      <c r="B378" s="340" t="s">
        <v>403</v>
      </c>
      <c r="C378" s="340" t="s">
        <v>404</v>
      </c>
      <c r="D378" s="340" t="s">
        <v>260</v>
      </c>
      <c r="E378" s="340">
        <v>58</v>
      </c>
      <c r="F378" s="340">
        <v>6</v>
      </c>
      <c r="G378" s="529">
        <v>929.93</v>
      </c>
      <c r="H378" s="551">
        <f t="shared" si="10"/>
        <v>323615.63999999996</v>
      </c>
      <c r="I378" s="340">
        <v>688</v>
      </c>
      <c r="J378" s="340">
        <f t="shared" si="12"/>
        <v>348</v>
      </c>
      <c r="K378" s="685" t="str">
        <f>UPPER((TEXT(Tabla5[[#This Row],[FECHA]],"MMM")))</f>
        <v>JUL</v>
      </c>
      <c r="L378" s="780">
        <f>YEAR(Tabla5[[#This Row],[FECHA]])</f>
        <v>2024</v>
      </c>
      <c r="M378" s="749">
        <v>247</v>
      </c>
      <c r="N378" s="441" t="s">
        <v>680</v>
      </c>
      <c r="O378" s="441" t="s">
        <v>712</v>
      </c>
      <c r="P378" s="441" t="s">
        <v>110</v>
      </c>
    </row>
    <row r="379" spans="1:16" ht="13.8">
      <c r="A379" s="531">
        <v>45505</v>
      </c>
      <c r="B379" s="340" t="s">
        <v>272</v>
      </c>
      <c r="C379" s="340" t="s">
        <v>278</v>
      </c>
      <c r="D379" s="340" t="s">
        <v>260</v>
      </c>
      <c r="E379" s="340">
        <v>58</v>
      </c>
      <c r="F379" s="340">
        <v>4</v>
      </c>
      <c r="G379" s="529">
        <v>929.93</v>
      </c>
      <c r="H379" s="529">
        <f t="shared" si="10"/>
        <v>215743.75999999998</v>
      </c>
      <c r="I379" s="340">
        <v>165</v>
      </c>
      <c r="J379" s="340">
        <f>E379*F379</f>
        <v>232</v>
      </c>
      <c r="K379" s="685" t="str">
        <f>UPPER((TEXT(Tabla5[[#This Row],[FECHA]],"MMM")))</f>
        <v>AGO</v>
      </c>
      <c r="L379" s="780">
        <f>YEAR(Tabla5[[#This Row],[FECHA]])</f>
        <v>2024</v>
      </c>
      <c r="M379" s="749">
        <v>267</v>
      </c>
      <c r="N379" s="441" t="s">
        <v>679</v>
      </c>
      <c r="O379" s="441" t="s">
        <v>712</v>
      </c>
      <c r="P379" s="441" t="s">
        <v>110</v>
      </c>
    </row>
    <row r="380" spans="1:16" ht="13.8">
      <c r="A380" s="531">
        <v>45505</v>
      </c>
      <c r="B380" s="340" t="s">
        <v>263</v>
      </c>
      <c r="C380" s="340" t="s">
        <v>283</v>
      </c>
      <c r="D380" s="340" t="s">
        <v>491</v>
      </c>
      <c r="E380" s="340">
        <v>76</v>
      </c>
      <c r="F380" s="340">
        <v>10</v>
      </c>
      <c r="G380" s="529">
        <v>929.93</v>
      </c>
      <c r="H380" s="529">
        <f t="shared" si="10"/>
        <v>706746.79999999993</v>
      </c>
      <c r="I380" s="340">
        <v>958</v>
      </c>
      <c r="J380" s="340">
        <f t="shared" ref="J380:J443" si="13">E380*F380</f>
        <v>760</v>
      </c>
      <c r="K380" s="685" t="str">
        <f>UPPER((TEXT(Tabla5[[#This Row],[FECHA]],"MMM")))</f>
        <v>AGO</v>
      </c>
      <c r="L380" s="780">
        <f>YEAR(Tabla5[[#This Row],[FECHA]])</f>
        <v>2024</v>
      </c>
      <c r="M380" s="749">
        <v>267</v>
      </c>
      <c r="N380" s="441" t="s">
        <v>676</v>
      </c>
      <c r="O380" s="441" t="s">
        <v>712</v>
      </c>
      <c r="P380" s="441" t="s">
        <v>110</v>
      </c>
    </row>
    <row r="381" spans="1:16" ht="13.8">
      <c r="A381" s="531">
        <v>45505</v>
      </c>
      <c r="B381" s="340" t="s">
        <v>403</v>
      </c>
      <c r="C381" s="340" t="s">
        <v>404</v>
      </c>
      <c r="D381" s="340" t="s">
        <v>260</v>
      </c>
      <c r="E381" s="340">
        <v>58</v>
      </c>
      <c r="F381" s="340">
        <v>6</v>
      </c>
      <c r="G381" s="529">
        <v>929.93</v>
      </c>
      <c r="H381" s="529">
        <f t="shared" si="10"/>
        <v>323615.63999999996</v>
      </c>
      <c r="I381" s="340">
        <v>654</v>
      </c>
      <c r="J381" s="340">
        <f t="shared" si="13"/>
        <v>348</v>
      </c>
      <c r="K381" s="685" t="str">
        <f>UPPER((TEXT(Tabla5[[#This Row],[FECHA]],"MMM")))</f>
        <v>AGO</v>
      </c>
      <c r="L381" s="780">
        <f>YEAR(Tabla5[[#This Row],[FECHA]])</f>
        <v>2024</v>
      </c>
      <c r="M381" s="749">
        <v>267</v>
      </c>
      <c r="N381" s="441" t="s">
        <v>680</v>
      </c>
      <c r="O381" s="441" t="s">
        <v>712</v>
      </c>
      <c r="P381" s="441" t="s">
        <v>110</v>
      </c>
    </row>
    <row r="382" spans="1:16" ht="13.8">
      <c r="A382" s="531">
        <v>45505</v>
      </c>
      <c r="B382" s="340" t="s">
        <v>549</v>
      </c>
      <c r="C382" s="340" t="s">
        <v>275</v>
      </c>
      <c r="D382" s="340" t="s">
        <v>440</v>
      </c>
      <c r="E382" s="340">
        <v>96</v>
      </c>
      <c r="F382" s="340">
        <v>3</v>
      </c>
      <c r="G382" s="529">
        <v>929.93</v>
      </c>
      <c r="H382" s="529">
        <f t="shared" si="10"/>
        <v>267819.83999999997</v>
      </c>
      <c r="I382" s="340">
        <v>172</v>
      </c>
      <c r="J382" s="340">
        <f t="shared" si="13"/>
        <v>288</v>
      </c>
      <c r="K382" s="685" t="str">
        <f>UPPER((TEXT(Tabla5[[#This Row],[FECHA]],"MMM")))</f>
        <v>AGO</v>
      </c>
      <c r="L382" s="780">
        <f>YEAR(Tabla5[[#This Row],[FECHA]])</f>
        <v>2024</v>
      </c>
      <c r="M382" s="749">
        <v>267</v>
      </c>
      <c r="N382" s="441" t="s">
        <v>678</v>
      </c>
      <c r="O382" s="441" t="s">
        <v>713</v>
      </c>
      <c r="P382" s="441" t="s">
        <v>110</v>
      </c>
    </row>
    <row r="383" spans="1:16" ht="13.8">
      <c r="A383" s="531">
        <v>45506</v>
      </c>
      <c r="B383" s="340" t="s">
        <v>272</v>
      </c>
      <c r="C383" s="340" t="s">
        <v>278</v>
      </c>
      <c r="D383" s="340" t="s">
        <v>260</v>
      </c>
      <c r="E383" s="340">
        <v>58</v>
      </c>
      <c r="F383" s="340">
        <v>4</v>
      </c>
      <c r="G383" s="529">
        <v>929.93</v>
      </c>
      <c r="H383" s="529">
        <f t="shared" si="10"/>
        <v>215743.75999999998</v>
      </c>
      <c r="I383" s="340">
        <v>143</v>
      </c>
      <c r="J383" s="340">
        <f t="shared" si="13"/>
        <v>232</v>
      </c>
      <c r="K383" s="685" t="str">
        <f>UPPER((TEXT(Tabla5[[#This Row],[FECHA]],"MMM")))</f>
        <v>AGO</v>
      </c>
      <c r="L383" s="780">
        <f>YEAR(Tabla5[[#This Row],[FECHA]])</f>
        <v>2024</v>
      </c>
      <c r="M383" s="749">
        <v>267</v>
      </c>
      <c r="N383" s="441" t="s">
        <v>679</v>
      </c>
      <c r="O383" s="441" t="s">
        <v>712</v>
      </c>
      <c r="P383" s="441" t="s">
        <v>110</v>
      </c>
    </row>
    <row r="384" spans="1:16" ht="13.8">
      <c r="A384" s="531">
        <v>45506</v>
      </c>
      <c r="B384" s="340" t="s">
        <v>263</v>
      </c>
      <c r="C384" s="340" t="s">
        <v>283</v>
      </c>
      <c r="D384" s="340" t="s">
        <v>491</v>
      </c>
      <c r="E384" s="340">
        <v>76</v>
      </c>
      <c r="F384" s="340">
        <v>10</v>
      </c>
      <c r="G384" s="529">
        <v>929.93</v>
      </c>
      <c r="H384" s="529">
        <f t="shared" si="10"/>
        <v>706746.79999999993</v>
      </c>
      <c r="I384" s="340">
        <v>1361</v>
      </c>
      <c r="J384" s="340">
        <f t="shared" si="13"/>
        <v>760</v>
      </c>
      <c r="K384" s="685" t="str">
        <f>UPPER((TEXT(Tabla5[[#This Row],[FECHA]],"MMM")))</f>
        <v>AGO</v>
      </c>
      <c r="L384" s="780">
        <f>YEAR(Tabla5[[#This Row],[FECHA]])</f>
        <v>2024</v>
      </c>
      <c r="M384" s="749">
        <v>267</v>
      </c>
      <c r="N384" s="441" t="s">
        <v>676</v>
      </c>
      <c r="O384" s="441" t="s">
        <v>712</v>
      </c>
      <c r="P384" s="441" t="s">
        <v>110</v>
      </c>
    </row>
    <row r="385" spans="1:16" ht="13.8">
      <c r="A385" s="531">
        <v>45506</v>
      </c>
      <c r="B385" s="340" t="s">
        <v>403</v>
      </c>
      <c r="C385" s="340" t="s">
        <v>404</v>
      </c>
      <c r="D385" s="340" t="s">
        <v>260</v>
      </c>
      <c r="E385" s="340">
        <v>58</v>
      </c>
      <c r="F385" s="340">
        <v>6</v>
      </c>
      <c r="G385" s="529">
        <v>929.93</v>
      </c>
      <c r="H385" s="529">
        <f t="shared" si="10"/>
        <v>323615.63999999996</v>
      </c>
      <c r="I385" s="340">
        <v>901</v>
      </c>
      <c r="J385" s="340">
        <f t="shared" si="13"/>
        <v>348</v>
      </c>
      <c r="K385" s="685" t="str">
        <f>UPPER((TEXT(Tabla5[[#This Row],[FECHA]],"MMM")))</f>
        <v>AGO</v>
      </c>
      <c r="L385" s="780">
        <f>YEAR(Tabla5[[#This Row],[FECHA]])</f>
        <v>2024</v>
      </c>
      <c r="M385" s="749">
        <v>267</v>
      </c>
      <c r="N385" s="441" t="s">
        <v>680</v>
      </c>
      <c r="O385" s="441" t="s">
        <v>712</v>
      </c>
      <c r="P385" s="441" t="s">
        <v>110</v>
      </c>
    </row>
    <row r="386" spans="1:16" ht="13.8">
      <c r="A386" s="531">
        <v>45507</v>
      </c>
      <c r="B386" s="340" t="s">
        <v>261</v>
      </c>
      <c r="C386" s="340" t="s">
        <v>275</v>
      </c>
      <c r="D386" s="340" t="s">
        <v>491</v>
      </c>
      <c r="E386" s="340">
        <v>76</v>
      </c>
      <c r="F386" s="340">
        <v>3</v>
      </c>
      <c r="G386" s="529">
        <v>929.93</v>
      </c>
      <c r="H386" s="529">
        <f t="shared" si="10"/>
        <v>212024.03999999998</v>
      </c>
      <c r="I386" s="340">
        <v>324</v>
      </c>
      <c r="J386" s="340">
        <f t="shared" si="13"/>
        <v>228</v>
      </c>
      <c r="K386" s="685" t="str">
        <f>UPPER((TEXT(Tabla5[[#This Row],[FECHA]],"MMM")))</f>
        <v>AGO</v>
      </c>
      <c r="L386" s="780">
        <f>YEAR(Tabla5[[#This Row],[FECHA]])</f>
        <v>2024</v>
      </c>
      <c r="M386" s="749">
        <v>267</v>
      </c>
      <c r="N386" s="441" t="s">
        <v>676</v>
      </c>
      <c r="O386" s="441" t="s">
        <v>712</v>
      </c>
      <c r="P386" s="441" t="s">
        <v>110</v>
      </c>
    </row>
    <row r="387" spans="1:16" ht="13.8">
      <c r="A387" s="531">
        <v>45507</v>
      </c>
      <c r="B387" s="340" t="s">
        <v>271</v>
      </c>
      <c r="C387" s="340" t="s">
        <v>292</v>
      </c>
      <c r="D387" s="340" t="s">
        <v>440</v>
      </c>
      <c r="E387" s="340">
        <v>96</v>
      </c>
      <c r="F387" s="340">
        <v>14</v>
      </c>
      <c r="G387" s="529">
        <v>929.93</v>
      </c>
      <c r="H387" s="529">
        <f t="shared" si="10"/>
        <v>1249825.92</v>
      </c>
      <c r="I387" s="340">
        <v>1074</v>
      </c>
      <c r="J387" s="340">
        <f t="shared" si="13"/>
        <v>1344</v>
      </c>
      <c r="K387" s="685" t="str">
        <f>UPPER((TEXT(Tabla5[[#This Row],[FECHA]],"MMM")))</f>
        <v>AGO</v>
      </c>
      <c r="L387" s="780">
        <f>YEAR(Tabla5[[#This Row],[FECHA]])</f>
        <v>2024</v>
      </c>
      <c r="M387" s="749">
        <v>267</v>
      </c>
      <c r="N387" s="441" t="s">
        <v>678</v>
      </c>
      <c r="O387" s="441" t="s">
        <v>713</v>
      </c>
      <c r="P387" s="441" t="s">
        <v>110</v>
      </c>
    </row>
    <row r="388" spans="1:16" ht="13.8">
      <c r="A388" s="531">
        <v>45508</v>
      </c>
      <c r="B388" s="340" t="s">
        <v>277</v>
      </c>
      <c r="C388" s="340" t="s">
        <v>264</v>
      </c>
      <c r="D388" s="340" t="s">
        <v>440</v>
      </c>
      <c r="E388" s="340">
        <v>96</v>
      </c>
      <c r="F388" s="340">
        <v>14</v>
      </c>
      <c r="G388" s="529">
        <v>929.93</v>
      </c>
      <c r="H388" s="529">
        <f t="shared" si="10"/>
        <v>1249825.92</v>
      </c>
      <c r="I388" s="340">
        <v>1060</v>
      </c>
      <c r="J388" s="340">
        <f t="shared" si="13"/>
        <v>1344</v>
      </c>
      <c r="K388" s="685" t="str">
        <f>UPPER((TEXT(Tabla5[[#This Row],[FECHA]],"MMM")))</f>
        <v>AGO</v>
      </c>
      <c r="L388" s="780">
        <f>YEAR(Tabla5[[#This Row],[FECHA]])</f>
        <v>2024</v>
      </c>
      <c r="M388" s="749">
        <v>267</v>
      </c>
      <c r="N388" s="441" t="s">
        <v>678</v>
      </c>
      <c r="O388" s="441" t="s">
        <v>713</v>
      </c>
      <c r="P388" s="441" t="s">
        <v>110</v>
      </c>
    </row>
    <row r="389" spans="1:16" ht="13.8">
      <c r="A389" s="531">
        <v>45509</v>
      </c>
      <c r="B389" s="340" t="s">
        <v>269</v>
      </c>
      <c r="C389" s="340" t="s">
        <v>270</v>
      </c>
      <c r="D389" s="340" t="s">
        <v>260</v>
      </c>
      <c r="E389" s="340">
        <v>58</v>
      </c>
      <c r="F389" s="340">
        <v>4</v>
      </c>
      <c r="G389" s="529">
        <v>929.93</v>
      </c>
      <c r="H389" s="529">
        <f t="shared" si="10"/>
        <v>215743.75999999998</v>
      </c>
      <c r="I389" s="340">
        <v>157</v>
      </c>
      <c r="J389" s="340">
        <f t="shared" si="13"/>
        <v>232</v>
      </c>
      <c r="K389" s="685" t="str">
        <f>UPPER((TEXT(Tabla5[[#This Row],[FECHA]],"MMM")))</f>
        <v>AGO</v>
      </c>
      <c r="L389" s="780">
        <f>YEAR(Tabla5[[#This Row],[FECHA]])</f>
        <v>2024</v>
      </c>
      <c r="M389" s="749">
        <v>267</v>
      </c>
      <c r="N389" s="441" t="s">
        <v>679</v>
      </c>
      <c r="O389" s="441" t="s">
        <v>712</v>
      </c>
      <c r="P389" s="441" t="s">
        <v>110</v>
      </c>
    </row>
    <row r="390" spans="1:16" ht="13.8">
      <c r="A390" s="531">
        <v>45509</v>
      </c>
      <c r="B390" s="340" t="s">
        <v>271</v>
      </c>
      <c r="C390" s="340" t="s">
        <v>257</v>
      </c>
      <c r="D390" s="340" t="s">
        <v>491</v>
      </c>
      <c r="E390" s="340">
        <v>76</v>
      </c>
      <c r="F390" s="340">
        <v>10</v>
      </c>
      <c r="G390" s="529">
        <v>929.93</v>
      </c>
      <c r="H390" s="529">
        <f t="shared" ref="H390:H453" si="14">E390*F390*G390</f>
        <v>706746.79999999993</v>
      </c>
      <c r="I390" s="340">
        <v>930</v>
      </c>
      <c r="J390" s="340">
        <f t="shared" si="13"/>
        <v>760</v>
      </c>
      <c r="K390" s="685" t="str">
        <f>UPPER((TEXT(Tabla5[[#This Row],[FECHA]],"MMM")))</f>
        <v>AGO</v>
      </c>
      <c r="L390" s="780">
        <f>YEAR(Tabla5[[#This Row],[FECHA]])</f>
        <v>2024</v>
      </c>
      <c r="M390" s="749">
        <v>267</v>
      </c>
      <c r="N390" s="441" t="s">
        <v>676</v>
      </c>
      <c r="O390" s="441" t="s">
        <v>712</v>
      </c>
      <c r="P390" s="441" t="s">
        <v>110</v>
      </c>
    </row>
    <row r="391" spans="1:16" ht="13.8">
      <c r="A391" s="531">
        <v>45509</v>
      </c>
      <c r="B391" s="340" t="s">
        <v>441</v>
      </c>
      <c r="C391" s="340" t="s">
        <v>262</v>
      </c>
      <c r="D391" s="340" t="s">
        <v>260</v>
      </c>
      <c r="E391" s="340">
        <v>58</v>
      </c>
      <c r="F391" s="340">
        <v>4</v>
      </c>
      <c r="G391" s="529">
        <v>929.93</v>
      </c>
      <c r="H391" s="529">
        <f t="shared" si="14"/>
        <v>215743.75999999998</v>
      </c>
      <c r="I391" s="340">
        <v>460</v>
      </c>
      <c r="J391" s="340">
        <f t="shared" si="13"/>
        <v>232</v>
      </c>
      <c r="K391" s="685" t="str">
        <f>UPPER((TEXT(Tabla5[[#This Row],[FECHA]],"MMM")))</f>
        <v>AGO</v>
      </c>
      <c r="L391" s="780">
        <f>YEAR(Tabla5[[#This Row],[FECHA]])</f>
        <v>2024</v>
      </c>
      <c r="M391" s="749">
        <v>267</v>
      </c>
      <c r="N391" s="441" t="s">
        <v>680</v>
      </c>
      <c r="O391" s="441" t="s">
        <v>712</v>
      </c>
      <c r="P391" s="441" t="s">
        <v>110</v>
      </c>
    </row>
    <row r="392" spans="1:16" ht="13.8">
      <c r="A392" s="531">
        <v>45510</v>
      </c>
      <c r="B392" s="340" t="s">
        <v>269</v>
      </c>
      <c r="C392" s="340" t="s">
        <v>270</v>
      </c>
      <c r="D392" s="340" t="s">
        <v>260</v>
      </c>
      <c r="E392" s="340">
        <v>58</v>
      </c>
      <c r="F392" s="340">
        <v>4</v>
      </c>
      <c r="G392" s="529">
        <v>929.93</v>
      </c>
      <c r="H392" s="529">
        <f t="shared" si="14"/>
        <v>215743.75999999998</v>
      </c>
      <c r="I392" s="340">
        <v>167</v>
      </c>
      <c r="J392" s="340">
        <f t="shared" si="13"/>
        <v>232</v>
      </c>
      <c r="K392" s="685" t="str">
        <f>UPPER((TEXT(Tabla5[[#This Row],[FECHA]],"MMM")))</f>
        <v>AGO</v>
      </c>
      <c r="L392" s="780">
        <f>YEAR(Tabla5[[#This Row],[FECHA]])</f>
        <v>2024</v>
      </c>
      <c r="M392" s="749">
        <v>267</v>
      </c>
      <c r="N392" s="441" t="s">
        <v>679</v>
      </c>
      <c r="O392" s="441" t="s">
        <v>712</v>
      </c>
      <c r="P392" s="441" t="s">
        <v>110</v>
      </c>
    </row>
    <row r="393" spans="1:16" ht="13.8">
      <c r="A393" s="531">
        <v>45510</v>
      </c>
      <c r="B393" s="340" t="s">
        <v>263</v>
      </c>
      <c r="C393" s="340" t="s">
        <v>264</v>
      </c>
      <c r="D393" s="340" t="s">
        <v>491</v>
      </c>
      <c r="E393" s="340">
        <v>76</v>
      </c>
      <c r="F393" s="340">
        <v>10</v>
      </c>
      <c r="G393" s="529">
        <v>929.93</v>
      </c>
      <c r="H393" s="529">
        <f t="shared" si="14"/>
        <v>706746.79999999993</v>
      </c>
      <c r="I393" s="340">
        <v>1325</v>
      </c>
      <c r="J393" s="340">
        <f t="shared" si="13"/>
        <v>760</v>
      </c>
      <c r="K393" s="685" t="str">
        <f>UPPER((TEXT(Tabla5[[#This Row],[FECHA]],"MMM")))</f>
        <v>AGO</v>
      </c>
      <c r="L393" s="780">
        <f>YEAR(Tabla5[[#This Row],[FECHA]])</f>
        <v>2024</v>
      </c>
      <c r="M393" s="749">
        <v>267</v>
      </c>
      <c r="N393" s="441" t="s">
        <v>676</v>
      </c>
      <c r="O393" s="441" t="s">
        <v>712</v>
      </c>
      <c r="P393" s="441" t="s">
        <v>110</v>
      </c>
    </row>
    <row r="394" spans="1:16" ht="13.8">
      <c r="A394" s="531">
        <v>45510</v>
      </c>
      <c r="B394" s="340" t="s">
        <v>284</v>
      </c>
      <c r="C394" s="340" t="s">
        <v>285</v>
      </c>
      <c r="D394" s="340" t="s">
        <v>260</v>
      </c>
      <c r="E394" s="340">
        <v>58</v>
      </c>
      <c r="F394" s="340">
        <v>5</v>
      </c>
      <c r="G394" s="529">
        <v>929.93</v>
      </c>
      <c r="H394" s="529">
        <f t="shared" si="14"/>
        <v>269679.7</v>
      </c>
      <c r="I394" s="340">
        <v>601</v>
      </c>
      <c r="J394" s="340">
        <f t="shared" si="13"/>
        <v>290</v>
      </c>
      <c r="K394" s="685" t="str">
        <f>UPPER((TEXT(Tabla5[[#This Row],[FECHA]],"MMM")))</f>
        <v>AGO</v>
      </c>
      <c r="L394" s="780">
        <f>YEAR(Tabla5[[#This Row],[FECHA]])</f>
        <v>2024</v>
      </c>
      <c r="M394" s="749">
        <v>267</v>
      </c>
      <c r="N394" s="441" t="s">
        <v>680</v>
      </c>
      <c r="O394" s="441" t="s">
        <v>712</v>
      </c>
      <c r="P394" s="441" t="s">
        <v>110</v>
      </c>
    </row>
    <row r="395" spans="1:16" ht="13.8">
      <c r="A395" s="531">
        <v>45511</v>
      </c>
      <c r="B395" s="340" t="s">
        <v>277</v>
      </c>
      <c r="C395" s="340" t="s">
        <v>264</v>
      </c>
      <c r="D395" s="340" t="s">
        <v>440</v>
      </c>
      <c r="E395" s="340">
        <v>96</v>
      </c>
      <c r="F395" s="340">
        <v>10</v>
      </c>
      <c r="G395" s="529">
        <v>929.93</v>
      </c>
      <c r="H395" s="529">
        <f t="shared" si="14"/>
        <v>892732.79999999993</v>
      </c>
      <c r="I395" s="340">
        <v>698</v>
      </c>
      <c r="J395" s="340">
        <f t="shared" si="13"/>
        <v>960</v>
      </c>
      <c r="K395" s="685" t="str">
        <f>UPPER((TEXT(Tabla5[[#This Row],[FECHA]],"MMM")))</f>
        <v>AGO</v>
      </c>
      <c r="L395" s="780">
        <f>YEAR(Tabla5[[#This Row],[FECHA]])</f>
        <v>2024</v>
      </c>
      <c r="M395" s="749">
        <v>267</v>
      </c>
      <c r="N395" s="441" t="s">
        <v>678</v>
      </c>
      <c r="O395" s="441" t="s">
        <v>713</v>
      </c>
      <c r="P395" s="441" t="s">
        <v>110</v>
      </c>
    </row>
    <row r="396" spans="1:16" ht="13.8">
      <c r="A396" s="531">
        <v>45512</v>
      </c>
      <c r="B396" s="340" t="s">
        <v>272</v>
      </c>
      <c r="C396" s="340" t="s">
        <v>278</v>
      </c>
      <c r="D396" s="340" t="s">
        <v>260</v>
      </c>
      <c r="E396" s="340">
        <v>58</v>
      </c>
      <c r="F396" s="340">
        <v>4</v>
      </c>
      <c r="G396" s="529">
        <v>929.93</v>
      </c>
      <c r="H396" s="529">
        <f t="shared" si="14"/>
        <v>215743.75999999998</v>
      </c>
      <c r="I396" s="340">
        <v>201</v>
      </c>
      <c r="J396" s="340">
        <f t="shared" si="13"/>
        <v>232</v>
      </c>
      <c r="K396" s="685" t="str">
        <f>UPPER((TEXT(Tabla5[[#This Row],[FECHA]],"MMM")))</f>
        <v>AGO</v>
      </c>
      <c r="L396" s="780">
        <f>YEAR(Tabla5[[#This Row],[FECHA]])</f>
        <v>2024</v>
      </c>
      <c r="M396" s="749">
        <v>267</v>
      </c>
      <c r="N396" s="441" t="s">
        <v>679</v>
      </c>
      <c r="O396" s="441" t="s">
        <v>712</v>
      </c>
      <c r="P396" s="441" t="s">
        <v>110</v>
      </c>
    </row>
    <row r="397" spans="1:16" ht="13.8">
      <c r="A397" s="531">
        <v>45512</v>
      </c>
      <c r="B397" s="340" t="s">
        <v>263</v>
      </c>
      <c r="C397" s="340" t="s">
        <v>264</v>
      </c>
      <c r="D397" s="340" t="s">
        <v>491</v>
      </c>
      <c r="E397" s="340">
        <v>76</v>
      </c>
      <c r="F397" s="340">
        <v>10</v>
      </c>
      <c r="G397" s="529">
        <v>929.93</v>
      </c>
      <c r="H397" s="529">
        <f t="shared" si="14"/>
        <v>706746.79999999993</v>
      </c>
      <c r="I397" s="340">
        <v>917</v>
      </c>
      <c r="J397" s="340">
        <f t="shared" si="13"/>
        <v>760</v>
      </c>
      <c r="K397" s="685" t="str">
        <f>UPPER((TEXT(Tabla5[[#This Row],[FECHA]],"MMM")))</f>
        <v>AGO</v>
      </c>
      <c r="L397" s="780">
        <f>YEAR(Tabla5[[#This Row],[FECHA]])</f>
        <v>2024</v>
      </c>
      <c r="M397" s="749">
        <v>267</v>
      </c>
      <c r="N397" s="441" t="s">
        <v>676</v>
      </c>
      <c r="O397" s="441" t="s">
        <v>712</v>
      </c>
      <c r="P397" s="441" t="s">
        <v>110</v>
      </c>
    </row>
    <row r="398" spans="1:16" ht="13.8">
      <c r="A398" s="531">
        <v>45512</v>
      </c>
      <c r="B398" s="340" t="s">
        <v>403</v>
      </c>
      <c r="C398" s="340" t="s">
        <v>404</v>
      </c>
      <c r="D398" s="340" t="s">
        <v>260</v>
      </c>
      <c r="E398" s="340">
        <v>58</v>
      </c>
      <c r="F398" s="340">
        <v>6</v>
      </c>
      <c r="G398" s="529">
        <v>929.93</v>
      </c>
      <c r="H398" s="529">
        <f t="shared" si="14"/>
        <v>323615.63999999996</v>
      </c>
      <c r="I398" s="340">
        <v>611</v>
      </c>
      <c r="J398" s="340">
        <f t="shared" si="13"/>
        <v>348</v>
      </c>
      <c r="K398" s="685" t="str">
        <f>UPPER((TEXT(Tabla5[[#This Row],[FECHA]],"MMM")))</f>
        <v>AGO</v>
      </c>
      <c r="L398" s="780">
        <f>YEAR(Tabla5[[#This Row],[FECHA]])</f>
        <v>2024</v>
      </c>
      <c r="M398" s="749">
        <v>267</v>
      </c>
      <c r="N398" s="441" t="s">
        <v>680</v>
      </c>
      <c r="O398" s="441" t="s">
        <v>712</v>
      </c>
      <c r="P398" s="441" t="s">
        <v>110</v>
      </c>
    </row>
    <row r="399" spans="1:16" ht="13.8">
      <c r="A399" s="531">
        <v>45513</v>
      </c>
      <c r="B399" s="340" t="s">
        <v>272</v>
      </c>
      <c r="C399" s="340" t="s">
        <v>278</v>
      </c>
      <c r="D399" s="340" t="s">
        <v>260</v>
      </c>
      <c r="E399" s="340">
        <v>58</v>
      </c>
      <c r="F399" s="340">
        <v>4</v>
      </c>
      <c r="G399" s="529">
        <v>929.93</v>
      </c>
      <c r="H399" s="529">
        <f t="shared" si="14"/>
        <v>215743.75999999998</v>
      </c>
      <c r="I399" s="340">
        <v>129</v>
      </c>
      <c r="J399" s="340">
        <f t="shared" si="13"/>
        <v>232</v>
      </c>
      <c r="K399" s="685" t="str">
        <f>UPPER((TEXT(Tabla5[[#This Row],[FECHA]],"MMM")))</f>
        <v>AGO</v>
      </c>
      <c r="L399" s="780">
        <f>YEAR(Tabla5[[#This Row],[FECHA]])</f>
        <v>2024</v>
      </c>
      <c r="M399" s="749">
        <v>267</v>
      </c>
      <c r="N399" s="441" t="s">
        <v>679</v>
      </c>
      <c r="O399" s="441" t="s">
        <v>712</v>
      </c>
      <c r="P399" s="441" t="s">
        <v>110</v>
      </c>
    </row>
    <row r="400" spans="1:16" ht="13.8">
      <c r="A400" s="531">
        <v>45513</v>
      </c>
      <c r="B400" s="340" t="s">
        <v>271</v>
      </c>
      <c r="C400" s="340" t="s">
        <v>257</v>
      </c>
      <c r="D400" s="340" t="s">
        <v>491</v>
      </c>
      <c r="E400" s="340">
        <v>76</v>
      </c>
      <c r="F400" s="340">
        <v>11</v>
      </c>
      <c r="G400" s="529">
        <v>929.93</v>
      </c>
      <c r="H400" s="529">
        <f t="shared" si="14"/>
        <v>777421.48</v>
      </c>
      <c r="I400" s="340">
        <v>1396</v>
      </c>
      <c r="J400" s="340">
        <f t="shared" si="13"/>
        <v>836</v>
      </c>
      <c r="K400" s="685" t="str">
        <f>UPPER((TEXT(Tabla5[[#This Row],[FECHA]],"MMM")))</f>
        <v>AGO</v>
      </c>
      <c r="L400" s="780">
        <f>YEAR(Tabla5[[#This Row],[FECHA]])</f>
        <v>2024</v>
      </c>
      <c r="M400" s="749">
        <v>267</v>
      </c>
      <c r="N400" s="441" t="s">
        <v>676</v>
      </c>
      <c r="O400" s="441" t="s">
        <v>712</v>
      </c>
      <c r="P400" s="441" t="s">
        <v>110</v>
      </c>
    </row>
    <row r="401" spans="1:16" ht="13.8">
      <c r="A401" s="531">
        <v>45513</v>
      </c>
      <c r="B401" s="340" t="s">
        <v>403</v>
      </c>
      <c r="C401" s="340" t="s">
        <v>404</v>
      </c>
      <c r="D401" s="340" t="s">
        <v>260</v>
      </c>
      <c r="E401" s="340">
        <v>58</v>
      </c>
      <c r="F401" s="340">
        <v>6</v>
      </c>
      <c r="G401" s="529">
        <v>929.93</v>
      </c>
      <c r="H401" s="529">
        <f t="shared" si="14"/>
        <v>323615.63999999996</v>
      </c>
      <c r="I401" s="340">
        <v>811</v>
      </c>
      <c r="J401" s="340">
        <f t="shared" si="13"/>
        <v>348</v>
      </c>
      <c r="K401" s="685" t="str">
        <f>UPPER((TEXT(Tabla5[[#This Row],[FECHA]],"MMM")))</f>
        <v>AGO</v>
      </c>
      <c r="L401" s="780">
        <f>YEAR(Tabla5[[#This Row],[FECHA]])</f>
        <v>2024</v>
      </c>
      <c r="M401" s="749">
        <v>267</v>
      </c>
      <c r="N401" s="441" t="s">
        <v>680</v>
      </c>
      <c r="O401" s="441" t="s">
        <v>712</v>
      </c>
      <c r="P401" s="441" t="s">
        <v>110</v>
      </c>
    </row>
    <row r="402" spans="1:16" ht="13.8">
      <c r="A402" s="531">
        <v>45514</v>
      </c>
      <c r="B402" s="340" t="s">
        <v>550</v>
      </c>
      <c r="C402" s="340" t="s">
        <v>551</v>
      </c>
      <c r="D402" s="340" t="s">
        <v>491</v>
      </c>
      <c r="E402" s="340">
        <v>76</v>
      </c>
      <c r="F402" s="340">
        <v>4</v>
      </c>
      <c r="G402" s="529">
        <v>929.93</v>
      </c>
      <c r="H402" s="529">
        <f t="shared" si="14"/>
        <v>282698.71999999997</v>
      </c>
      <c r="I402" s="340">
        <v>469</v>
      </c>
      <c r="J402" s="340">
        <f t="shared" si="13"/>
        <v>304</v>
      </c>
      <c r="K402" s="685" t="str">
        <f>UPPER((TEXT(Tabla5[[#This Row],[FECHA]],"MMM")))</f>
        <v>AGO</v>
      </c>
      <c r="L402" s="780">
        <f>YEAR(Tabla5[[#This Row],[FECHA]])</f>
        <v>2024</v>
      </c>
      <c r="M402" s="749">
        <v>267</v>
      </c>
      <c r="N402" s="441" t="s">
        <v>676</v>
      </c>
      <c r="O402" s="441" t="s">
        <v>712</v>
      </c>
      <c r="P402" s="441" t="s">
        <v>110</v>
      </c>
    </row>
    <row r="403" spans="1:16" ht="13.8">
      <c r="A403" s="531">
        <v>45514</v>
      </c>
      <c r="B403" s="340" t="s">
        <v>271</v>
      </c>
      <c r="C403" s="340" t="s">
        <v>292</v>
      </c>
      <c r="D403" s="340" t="s">
        <v>440</v>
      </c>
      <c r="E403" s="340">
        <v>96</v>
      </c>
      <c r="F403" s="340">
        <v>12</v>
      </c>
      <c r="G403" s="529">
        <v>929.93</v>
      </c>
      <c r="H403" s="529">
        <f t="shared" si="14"/>
        <v>1071279.3599999999</v>
      </c>
      <c r="I403" s="340">
        <v>962</v>
      </c>
      <c r="J403" s="340">
        <f t="shared" si="13"/>
        <v>1152</v>
      </c>
      <c r="K403" s="685" t="str">
        <f>UPPER((TEXT(Tabla5[[#This Row],[FECHA]],"MMM")))</f>
        <v>AGO</v>
      </c>
      <c r="L403" s="780">
        <f>YEAR(Tabla5[[#This Row],[FECHA]])</f>
        <v>2024</v>
      </c>
      <c r="M403" s="749">
        <v>267</v>
      </c>
      <c r="N403" s="441" t="s">
        <v>678</v>
      </c>
      <c r="O403" s="441" t="s">
        <v>713</v>
      </c>
      <c r="P403" s="441" t="s">
        <v>110</v>
      </c>
    </row>
    <row r="404" spans="1:16" ht="13.8">
      <c r="A404" s="531">
        <v>45514</v>
      </c>
      <c r="B404" s="340" t="s">
        <v>284</v>
      </c>
      <c r="C404" s="340" t="s">
        <v>552</v>
      </c>
      <c r="D404" s="340" t="s">
        <v>440</v>
      </c>
      <c r="E404" s="340">
        <v>96</v>
      </c>
      <c r="F404" s="340">
        <v>6</v>
      </c>
      <c r="G404" s="529">
        <v>929.93</v>
      </c>
      <c r="H404" s="529">
        <f t="shared" si="14"/>
        <v>535639.67999999993</v>
      </c>
      <c r="I404" s="340">
        <v>472</v>
      </c>
      <c r="J404" s="340">
        <f t="shared" si="13"/>
        <v>576</v>
      </c>
      <c r="K404" s="685" t="str">
        <f>UPPER((TEXT(Tabla5[[#This Row],[FECHA]],"MMM")))</f>
        <v>AGO</v>
      </c>
      <c r="L404" s="780">
        <f>YEAR(Tabla5[[#This Row],[FECHA]])</f>
        <v>2024</v>
      </c>
      <c r="M404" s="749">
        <v>267</v>
      </c>
      <c r="N404" s="441" t="s">
        <v>678</v>
      </c>
      <c r="O404" s="441" t="s">
        <v>713</v>
      </c>
      <c r="P404" s="441" t="s">
        <v>110</v>
      </c>
    </row>
    <row r="405" spans="1:16" ht="13.8">
      <c r="A405" s="531">
        <v>45515</v>
      </c>
      <c r="B405" s="340" t="s">
        <v>277</v>
      </c>
      <c r="C405" s="340" t="s">
        <v>264</v>
      </c>
      <c r="D405" s="340" t="s">
        <v>440</v>
      </c>
      <c r="E405" s="340">
        <v>96</v>
      </c>
      <c r="F405" s="340">
        <v>16</v>
      </c>
      <c r="G405" s="529">
        <v>929.93</v>
      </c>
      <c r="H405" s="529">
        <f t="shared" si="14"/>
        <v>1428372.48</v>
      </c>
      <c r="I405" s="340">
        <v>1400</v>
      </c>
      <c r="J405" s="340">
        <f t="shared" si="13"/>
        <v>1536</v>
      </c>
      <c r="K405" s="685" t="str">
        <f>UPPER((TEXT(Tabla5[[#This Row],[FECHA]],"MMM")))</f>
        <v>AGO</v>
      </c>
      <c r="L405" s="780">
        <f>YEAR(Tabla5[[#This Row],[FECHA]])</f>
        <v>2024</v>
      </c>
      <c r="M405" s="749">
        <v>267</v>
      </c>
      <c r="N405" s="441" t="s">
        <v>678</v>
      </c>
      <c r="O405" s="441" t="s">
        <v>713</v>
      </c>
      <c r="P405" s="441" t="s">
        <v>110</v>
      </c>
    </row>
    <row r="406" spans="1:16" ht="13.8">
      <c r="A406" s="531">
        <v>45516</v>
      </c>
      <c r="B406" s="340" t="s">
        <v>272</v>
      </c>
      <c r="C406" s="340" t="s">
        <v>278</v>
      </c>
      <c r="D406" s="340" t="s">
        <v>260</v>
      </c>
      <c r="E406" s="340">
        <v>58</v>
      </c>
      <c r="F406" s="340">
        <v>4</v>
      </c>
      <c r="G406" s="529">
        <v>929.93</v>
      </c>
      <c r="H406" s="529">
        <f t="shared" si="14"/>
        <v>215743.75999999998</v>
      </c>
      <c r="I406" s="340">
        <v>157</v>
      </c>
      <c r="J406" s="340">
        <f t="shared" si="13"/>
        <v>232</v>
      </c>
      <c r="K406" s="685" t="str">
        <f>UPPER((TEXT(Tabla5[[#This Row],[FECHA]],"MMM")))</f>
        <v>AGO</v>
      </c>
      <c r="L406" s="780">
        <f>YEAR(Tabla5[[#This Row],[FECHA]])</f>
        <v>2024</v>
      </c>
      <c r="M406" s="749">
        <v>267</v>
      </c>
      <c r="N406" s="441" t="s">
        <v>679</v>
      </c>
      <c r="O406" s="441" t="s">
        <v>712</v>
      </c>
      <c r="P406" s="441" t="s">
        <v>110</v>
      </c>
    </row>
    <row r="407" spans="1:16" ht="13.8">
      <c r="A407" s="531">
        <v>45516</v>
      </c>
      <c r="B407" s="340" t="s">
        <v>271</v>
      </c>
      <c r="C407" s="340" t="s">
        <v>257</v>
      </c>
      <c r="D407" s="340" t="s">
        <v>491</v>
      </c>
      <c r="E407" s="340">
        <v>76</v>
      </c>
      <c r="F407" s="340">
        <v>10</v>
      </c>
      <c r="G407" s="529">
        <v>929.93</v>
      </c>
      <c r="H407" s="529">
        <f t="shared" si="14"/>
        <v>706746.79999999993</v>
      </c>
      <c r="I407" s="340">
        <v>984</v>
      </c>
      <c r="J407" s="340">
        <f t="shared" si="13"/>
        <v>760</v>
      </c>
      <c r="K407" s="685" t="str">
        <f>UPPER((TEXT(Tabla5[[#This Row],[FECHA]],"MMM")))</f>
        <v>AGO</v>
      </c>
      <c r="L407" s="780">
        <f>YEAR(Tabla5[[#This Row],[FECHA]])</f>
        <v>2024</v>
      </c>
      <c r="M407" s="749">
        <v>267</v>
      </c>
      <c r="N407" s="441" t="s">
        <v>676</v>
      </c>
      <c r="O407" s="441" t="s">
        <v>712</v>
      </c>
      <c r="P407" s="441" t="s">
        <v>110</v>
      </c>
    </row>
    <row r="408" spans="1:16" ht="13.8">
      <c r="A408" s="531">
        <v>45516</v>
      </c>
      <c r="B408" s="340" t="s">
        <v>441</v>
      </c>
      <c r="C408" s="340" t="s">
        <v>262</v>
      </c>
      <c r="D408" s="340" t="s">
        <v>260</v>
      </c>
      <c r="E408" s="340">
        <v>58</v>
      </c>
      <c r="F408" s="340">
        <v>4</v>
      </c>
      <c r="G408" s="529">
        <v>929.93</v>
      </c>
      <c r="H408" s="529">
        <f t="shared" si="14"/>
        <v>215743.75999999998</v>
      </c>
      <c r="I408" s="340">
        <v>437</v>
      </c>
      <c r="J408" s="340">
        <f t="shared" si="13"/>
        <v>232</v>
      </c>
      <c r="K408" s="685" t="str">
        <f>UPPER((TEXT(Tabla5[[#This Row],[FECHA]],"MMM")))</f>
        <v>AGO</v>
      </c>
      <c r="L408" s="780">
        <f>YEAR(Tabla5[[#This Row],[FECHA]])</f>
        <v>2024</v>
      </c>
      <c r="M408" s="749">
        <v>267</v>
      </c>
      <c r="N408" s="441" t="s">
        <v>680</v>
      </c>
      <c r="O408" s="441" t="s">
        <v>712</v>
      </c>
      <c r="P408" s="441" t="s">
        <v>110</v>
      </c>
    </row>
    <row r="409" spans="1:16" ht="13.8">
      <c r="A409" s="531">
        <v>45517</v>
      </c>
      <c r="B409" s="340" t="s">
        <v>261</v>
      </c>
      <c r="C409" s="340" t="s">
        <v>266</v>
      </c>
      <c r="D409" s="340" t="s">
        <v>260</v>
      </c>
      <c r="E409" s="340">
        <v>58</v>
      </c>
      <c r="F409" s="340">
        <v>4</v>
      </c>
      <c r="G409" s="529">
        <v>929.93</v>
      </c>
      <c r="H409" s="529">
        <f t="shared" si="14"/>
        <v>215743.75999999998</v>
      </c>
      <c r="I409" s="340">
        <v>179</v>
      </c>
      <c r="J409" s="340">
        <f t="shared" si="13"/>
        <v>232</v>
      </c>
      <c r="K409" s="685" t="str">
        <f>UPPER((TEXT(Tabla5[[#This Row],[FECHA]],"MMM")))</f>
        <v>AGO</v>
      </c>
      <c r="L409" s="780">
        <f>YEAR(Tabla5[[#This Row],[FECHA]])</f>
        <v>2024</v>
      </c>
      <c r="M409" s="749">
        <v>267</v>
      </c>
      <c r="N409" s="441" t="s">
        <v>679</v>
      </c>
      <c r="O409" s="441" t="s">
        <v>712</v>
      </c>
      <c r="P409" s="441" t="s">
        <v>110</v>
      </c>
    </row>
    <row r="410" spans="1:16" ht="13.8">
      <c r="A410" s="531">
        <v>45517</v>
      </c>
      <c r="B410" s="340" t="s">
        <v>271</v>
      </c>
      <c r="C410" s="340" t="s">
        <v>257</v>
      </c>
      <c r="D410" s="340" t="s">
        <v>491</v>
      </c>
      <c r="E410" s="340">
        <v>76</v>
      </c>
      <c r="F410" s="340">
        <v>10</v>
      </c>
      <c r="G410" s="529">
        <v>929.93</v>
      </c>
      <c r="H410" s="529">
        <f t="shared" si="14"/>
        <v>706746.79999999993</v>
      </c>
      <c r="I410" s="340">
        <v>1208</v>
      </c>
      <c r="J410" s="340">
        <f t="shared" si="13"/>
        <v>760</v>
      </c>
      <c r="K410" s="685" t="str">
        <f>UPPER((TEXT(Tabla5[[#This Row],[FECHA]],"MMM")))</f>
        <v>AGO</v>
      </c>
      <c r="L410" s="780">
        <f>YEAR(Tabla5[[#This Row],[FECHA]])</f>
        <v>2024</v>
      </c>
      <c r="M410" s="749">
        <v>267</v>
      </c>
      <c r="N410" s="441" t="s">
        <v>676</v>
      </c>
      <c r="O410" s="441" t="s">
        <v>712</v>
      </c>
      <c r="P410" s="441" t="s">
        <v>110</v>
      </c>
    </row>
    <row r="411" spans="1:16" ht="13.8">
      <c r="A411" s="531">
        <v>45517</v>
      </c>
      <c r="B411" s="340" t="s">
        <v>403</v>
      </c>
      <c r="C411" s="340" t="s">
        <v>404</v>
      </c>
      <c r="D411" s="340" t="s">
        <v>260</v>
      </c>
      <c r="E411" s="340">
        <v>58</v>
      </c>
      <c r="F411" s="340">
        <v>5</v>
      </c>
      <c r="G411" s="529">
        <v>929.93</v>
      </c>
      <c r="H411" s="529">
        <f t="shared" si="14"/>
        <v>269679.7</v>
      </c>
      <c r="I411" s="340">
        <v>599</v>
      </c>
      <c r="J411" s="340">
        <f t="shared" si="13"/>
        <v>290</v>
      </c>
      <c r="K411" s="685" t="str">
        <f>UPPER((TEXT(Tabla5[[#This Row],[FECHA]],"MMM")))</f>
        <v>AGO</v>
      </c>
      <c r="L411" s="780">
        <f>YEAR(Tabla5[[#This Row],[FECHA]])</f>
        <v>2024</v>
      </c>
      <c r="M411" s="749">
        <v>267</v>
      </c>
      <c r="N411" s="441" t="s">
        <v>680</v>
      </c>
      <c r="O411" s="441" t="s">
        <v>712</v>
      </c>
      <c r="P411" s="441" t="s">
        <v>110</v>
      </c>
    </row>
    <row r="412" spans="1:16" ht="13.8">
      <c r="A412" s="531">
        <v>45518</v>
      </c>
      <c r="B412" s="340" t="s">
        <v>261</v>
      </c>
      <c r="C412" s="340" t="s">
        <v>553</v>
      </c>
      <c r="D412" s="340" t="s">
        <v>260</v>
      </c>
      <c r="E412" s="340">
        <v>58</v>
      </c>
      <c r="F412" s="340">
        <v>4</v>
      </c>
      <c r="G412" s="529">
        <v>929.93</v>
      </c>
      <c r="H412" s="529">
        <f t="shared" si="14"/>
        <v>215743.75999999998</v>
      </c>
      <c r="I412" s="340">
        <v>215</v>
      </c>
      <c r="J412" s="340">
        <f t="shared" si="13"/>
        <v>232</v>
      </c>
      <c r="K412" s="685" t="str">
        <f>UPPER((TEXT(Tabla5[[#This Row],[FECHA]],"MMM")))</f>
        <v>AGO</v>
      </c>
      <c r="L412" s="780">
        <f>YEAR(Tabla5[[#This Row],[FECHA]])</f>
        <v>2024</v>
      </c>
      <c r="M412" s="749">
        <v>267</v>
      </c>
      <c r="N412" s="441" t="s">
        <v>679</v>
      </c>
      <c r="O412" s="441" t="s">
        <v>712</v>
      </c>
      <c r="P412" s="441" t="s">
        <v>110</v>
      </c>
    </row>
    <row r="413" spans="1:16" ht="13.8">
      <c r="A413" s="531">
        <v>45518</v>
      </c>
      <c r="B413" s="340" t="s">
        <v>271</v>
      </c>
      <c r="C413" s="340" t="s">
        <v>257</v>
      </c>
      <c r="D413" s="340" t="s">
        <v>491</v>
      </c>
      <c r="E413" s="340">
        <v>76</v>
      </c>
      <c r="F413" s="340">
        <v>10</v>
      </c>
      <c r="G413" s="529">
        <v>929.93</v>
      </c>
      <c r="H413" s="529">
        <f t="shared" si="14"/>
        <v>706746.79999999993</v>
      </c>
      <c r="I413" s="340">
        <v>1368</v>
      </c>
      <c r="J413" s="340">
        <f t="shared" si="13"/>
        <v>760</v>
      </c>
      <c r="K413" s="685" t="str">
        <f>UPPER((TEXT(Tabla5[[#This Row],[FECHA]],"MMM")))</f>
        <v>AGO</v>
      </c>
      <c r="L413" s="780">
        <f>YEAR(Tabla5[[#This Row],[FECHA]])</f>
        <v>2024</v>
      </c>
      <c r="M413" s="749">
        <v>267</v>
      </c>
      <c r="N413" s="441" t="s">
        <v>676</v>
      </c>
      <c r="O413" s="441" t="s">
        <v>712</v>
      </c>
      <c r="P413" s="441" t="s">
        <v>110</v>
      </c>
    </row>
    <row r="414" spans="1:16" ht="13.8">
      <c r="A414" s="531">
        <v>45518</v>
      </c>
      <c r="B414" s="340" t="s">
        <v>403</v>
      </c>
      <c r="C414" s="340" t="s">
        <v>554</v>
      </c>
      <c r="D414" s="340" t="s">
        <v>260</v>
      </c>
      <c r="E414" s="340">
        <v>58</v>
      </c>
      <c r="F414" s="340">
        <v>5</v>
      </c>
      <c r="G414" s="529">
        <v>929.93</v>
      </c>
      <c r="H414" s="529">
        <f t="shared" si="14"/>
        <v>269679.7</v>
      </c>
      <c r="I414" s="340">
        <v>782</v>
      </c>
      <c r="J414" s="340">
        <f t="shared" si="13"/>
        <v>290</v>
      </c>
      <c r="K414" s="685" t="str">
        <f>UPPER((TEXT(Tabla5[[#This Row],[FECHA]],"MMM")))</f>
        <v>AGO</v>
      </c>
      <c r="L414" s="780">
        <f>YEAR(Tabla5[[#This Row],[FECHA]])</f>
        <v>2024</v>
      </c>
      <c r="M414" s="749">
        <v>267</v>
      </c>
      <c r="N414" s="441" t="s">
        <v>680</v>
      </c>
      <c r="O414" s="441" t="s">
        <v>712</v>
      </c>
      <c r="P414" s="441" t="s">
        <v>110</v>
      </c>
    </row>
    <row r="415" spans="1:16" ht="13.8">
      <c r="A415" s="531">
        <v>45518</v>
      </c>
      <c r="B415" s="340" t="s">
        <v>555</v>
      </c>
      <c r="C415" s="340" t="s">
        <v>273</v>
      </c>
      <c r="D415" s="340" t="s">
        <v>260</v>
      </c>
      <c r="E415" s="340">
        <v>58</v>
      </c>
      <c r="F415" s="340">
        <v>4</v>
      </c>
      <c r="G415" s="529">
        <v>929.93</v>
      </c>
      <c r="H415" s="529">
        <f t="shared" si="14"/>
        <v>215743.75999999998</v>
      </c>
      <c r="I415" s="340">
        <v>156</v>
      </c>
      <c r="J415" s="340">
        <f t="shared" si="13"/>
        <v>232</v>
      </c>
      <c r="K415" s="685" t="str">
        <f>UPPER((TEXT(Tabla5[[#This Row],[FECHA]],"MMM")))</f>
        <v>AGO</v>
      </c>
      <c r="L415" s="780">
        <f>YEAR(Tabla5[[#This Row],[FECHA]])</f>
        <v>2024</v>
      </c>
      <c r="M415" s="749">
        <v>267</v>
      </c>
      <c r="N415" s="441" t="s">
        <v>679</v>
      </c>
      <c r="O415" s="441" t="s">
        <v>712</v>
      </c>
      <c r="P415" s="441" t="s">
        <v>110</v>
      </c>
    </row>
    <row r="416" spans="1:16" ht="13.8">
      <c r="A416" s="531">
        <v>45519</v>
      </c>
      <c r="B416" s="340" t="s">
        <v>269</v>
      </c>
      <c r="C416" s="340" t="s">
        <v>270</v>
      </c>
      <c r="D416" s="340" t="s">
        <v>260</v>
      </c>
      <c r="E416" s="340">
        <v>58</v>
      </c>
      <c r="F416" s="340">
        <v>4</v>
      </c>
      <c r="G416" s="529">
        <v>929.93</v>
      </c>
      <c r="H416" s="529">
        <f t="shared" si="14"/>
        <v>215743.75999999998</v>
      </c>
      <c r="I416" s="340">
        <v>190</v>
      </c>
      <c r="J416" s="340">
        <f t="shared" si="13"/>
        <v>232</v>
      </c>
      <c r="K416" s="685" t="str">
        <f>UPPER((TEXT(Tabla5[[#This Row],[FECHA]],"MMM")))</f>
        <v>AGO</v>
      </c>
      <c r="L416" s="780">
        <f>YEAR(Tabla5[[#This Row],[FECHA]])</f>
        <v>2024</v>
      </c>
      <c r="M416" s="749">
        <v>267</v>
      </c>
      <c r="N416" s="441" t="s">
        <v>679</v>
      </c>
      <c r="O416" s="441" t="s">
        <v>712</v>
      </c>
      <c r="P416" s="441" t="s">
        <v>110</v>
      </c>
    </row>
    <row r="417" spans="1:16" ht="13.8">
      <c r="A417" s="531">
        <v>45519</v>
      </c>
      <c r="B417" s="340" t="s">
        <v>263</v>
      </c>
      <c r="C417" s="340" t="s">
        <v>264</v>
      </c>
      <c r="D417" s="340" t="s">
        <v>491</v>
      </c>
      <c r="E417" s="340">
        <v>76</v>
      </c>
      <c r="F417" s="340">
        <v>11</v>
      </c>
      <c r="G417" s="529">
        <v>929.93</v>
      </c>
      <c r="H417" s="529">
        <f t="shared" si="14"/>
        <v>777421.48</v>
      </c>
      <c r="I417" s="340">
        <v>936</v>
      </c>
      <c r="J417" s="340">
        <f t="shared" si="13"/>
        <v>836</v>
      </c>
      <c r="K417" s="685" t="str">
        <f>UPPER((TEXT(Tabla5[[#This Row],[FECHA]],"MMM")))</f>
        <v>AGO</v>
      </c>
      <c r="L417" s="780">
        <f>YEAR(Tabla5[[#This Row],[FECHA]])</f>
        <v>2024</v>
      </c>
      <c r="M417" s="749">
        <v>267</v>
      </c>
      <c r="N417" s="441" t="s">
        <v>676</v>
      </c>
      <c r="O417" s="441" t="s">
        <v>712</v>
      </c>
      <c r="P417" s="441" t="s">
        <v>110</v>
      </c>
    </row>
    <row r="418" spans="1:16" ht="13.8">
      <c r="A418" s="531">
        <v>45519</v>
      </c>
      <c r="B418" s="340" t="s">
        <v>403</v>
      </c>
      <c r="C418" s="340" t="s">
        <v>404</v>
      </c>
      <c r="D418" s="340" t="s">
        <v>260</v>
      </c>
      <c r="E418" s="340">
        <v>58</v>
      </c>
      <c r="F418" s="340">
        <v>5</v>
      </c>
      <c r="G418" s="529">
        <v>929.93</v>
      </c>
      <c r="H418" s="529">
        <f t="shared" si="14"/>
        <v>269679.7</v>
      </c>
      <c r="I418" s="340">
        <v>580</v>
      </c>
      <c r="J418" s="340">
        <f t="shared" si="13"/>
        <v>290</v>
      </c>
      <c r="K418" s="685" t="str">
        <f>UPPER((TEXT(Tabla5[[#This Row],[FECHA]],"MMM")))</f>
        <v>AGO</v>
      </c>
      <c r="L418" s="780">
        <f>YEAR(Tabla5[[#This Row],[FECHA]])</f>
        <v>2024</v>
      </c>
      <c r="M418" s="749">
        <v>267</v>
      </c>
      <c r="N418" s="441" t="s">
        <v>680</v>
      </c>
      <c r="O418" s="441" t="s">
        <v>712</v>
      </c>
      <c r="P418" s="441" t="s">
        <v>110</v>
      </c>
    </row>
    <row r="419" spans="1:16" ht="13.8">
      <c r="A419" s="531">
        <v>45520</v>
      </c>
      <c r="B419" s="340" t="s">
        <v>269</v>
      </c>
      <c r="C419" s="340" t="s">
        <v>270</v>
      </c>
      <c r="D419" s="340" t="s">
        <v>260</v>
      </c>
      <c r="E419" s="340">
        <v>58</v>
      </c>
      <c r="F419" s="340">
        <v>4</v>
      </c>
      <c r="G419" s="529">
        <v>929.93</v>
      </c>
      <c r="H419" s="529">
        <f t="shared" si="14"/>
        <v>215743.75999999998</v>
      </c>
      <c r="I419" s="340">
        <v>141</v>
      </c>
      <c r="J419" s="340">
        <f t="shared" si="13"/>
        <v>232</v>
      </c>
      <c r="K419" s="685" t="str">
        <f>UPPER((TEXT(Tabla5[[#This Row],[FECHA]],"MMM")))</f>
        <v>AGO</v>
      </c>
      <c r="L419" s="780">
        <f>YEAR(Tabla5[[#This Row],[FECHA]])</f>
        <v>2024</v>
      </c>
      <c r="M419" s="749">
        <v>267</v>
      </c>
      <c r="N419" s="441" t="s">
        <v>679</v>
      </c>
      <c r="O419" s="441" t="s">
        <v>712</v>
      </c>
      <c r="P419" s="441" t="s">
        <v>110</v>
      </c>
    </row>
    <row r="420" spans="1:16" ht="13.8">
      <c r="A420" s="531">
        <v>45520</v>
      </c>
      <c r="B420" s="340" t="s">
        <v>263</v>
      </c>
      <c r="C420" s="340" t="s">
        <v>264</v>
      </c>
      <c r="D420" s="340" t="s">
        <v>491</v>
      </c>
      <c r="E420" s="340">
        <v>76</v>
      </c>
      <c r="F420" s="340">
        <v>10</v>
      </c>
      <c r="G420" s="529">
        <v>929.93</v>
      </c>
      <c r="H420" s="529">
        <f t="shared" si="14"/>
        <v>706746.79999999993</v>
      </c>
      <c r="I420" s="340">
        <v>1319</v>
      </c>
      <c r="J420" s="340">
        <f t="shared" si="13"/>
        <v>760</v>
      </c>
      <c r="K420" s="685" t="str">
        <f>UPPER((TEXT(Tabla5[[#This Row],[FECHA]],"MMM")))</f>
        <v>AGO</v>
      </c>
      <c r="L420" s="780">
        <f>YEAR(Tabla5[[#This Row],[FECHA]])</f>
        <v>2024</v>
      </c>
      <c r="M420" s="749">
        <v>267</v>
      </c>
      <c r="N420" s="441" t="s">
        <v>676</v>
      </c>
      <c r="O420" s="441" t="s">
        <v>712</v>
      </c>
      <c r="P420" s="441" t="s">
        <v>110</v>
      </c>
    </row>
    <row r="421" spans="1:16" ht="13.8">
      <c r="A421" s="531">
        <v>45520</v>
      </c>
      <c r="B421" s="340" t="s">
        <v>403</v>
      </c>
      <c r="C421" s="340" t="s">
        <v>404</v>
      </c>
      <c r="D421" s="340" t="s">
        <v>260</v>
      </c>
      <c r="E421" s="340">
        <v>58</v>
      </c>
      <c r="F421" s="340">
        <v>6</v>
      </c>
      <c r="G421" s="529">
        <v>929.93</v>
      </c>
      <c r="H421" s="529">
        <f t="shared" si="14"/>
        <v>323615.63999999996</v>
      </c>
      <c r="I421" s="340">
        <v>684</v>
      </c>
      <c r="J421" s="340">
        <f t="shared" si="13"/>
        <v>348</v>
      </c>
      <c r="K421" s="685" t="str">
        <f>UPPER((TEXT(Tabla5[[#This Row],[FECHA]],"MMM")))</f>
        <v>AGO</v>
      </c>
      <c r="L421" s="780">
        <f>YEAR(Tabla5[[#This Row],[FECHA]])</f>
        <v>2024</v>
      </c>
      <c r="M421" s="749">
        <v>267</v>
      </c>
      <c r="N421" s="441" t="s">
        <v>680</v>
      </c>
      <c r="O421" s="441" t="s">
        <v>712</v>
      </c>
      <c r="P421" s="441" t="s">
        <v>110</v>
      </c>
    </row>
    <row r="422" spans="1:16" ht="13.8">
      <c r="A422" s="531">
        <v>45521</v>
      </c>
      <c r="B422" s="340" t="s">
        <v>272</v>
      </c>
      <c r="C422" s="340" t="s">
        <v>282</v>
      </c>
      <c r="D422" s="340" t="s">
        <v>491</v>
      </c>
      <c r="E422" s="340">
        <v>76</v>
      </c>
      <c r="F422" s="340">
        <v>3</v>
      </c>
      <c r="G422" s="529">
        <v>929.93</v>
      </c>
      <c r="H422" s="529">
        <f t="shared" si="14"/>
        <v>212024.03999999998</v>
      </c>
      <c r="I422" s="340">
        <v>369</v>
      </c>
      <c r="J422" s="340">
        <f t="shared" si="13"/>
        <v>228</v>
      </c>
      <c r="K422" s="685" t="str">
        <f>UPPER((TEXT(Tabla5[[#This Row],[FECHA]],"MMM")))</f>
        <v>AGO</v>
      </c>
      <c r="L422" s="780">
        <f>YEAR(Tabla5[[#This Row],[FECHA]])</f>
        <v>2024</v>
      </c>
      <c r="M422" s="749">
        <v>267</v>
      </c>
      <c r="N422" s="441" t="s">
        <v>676</v>
      </c>
      <c r="O422" s="441" t="s">
        <v>712</v>
      </c>
      <c r="P422" s="441" t="s">
        <v>110</v>
      </c>
    </row>
    <row r="423" spans="1:16" ht="13.8">
      <c r="A423" s="531">
        <v>45521</v>
      </c>
      <c r="B423" s="340" t="s">
        <v>271</v>
      </c>
      <c r="C423" s="340" t="s">
        <v>292</v>
      </c>
      <c r="D423" s="340" t="s">
        <v>440</v>
      </c>
      <c r="E423" s="340">
        <v>96</v>
      </c>
      <c r="F423" s="340">
        <v>17</v>
      </c>
      <c r="G423" s="529">
        <v>929.93</v>
      </c>
      <c r="H423" s="529">
        <f t="shared" si="14"/>
        <v>1517645.76</v>
      </c>
      <c r="I423" s="340">
        <v>1254</v>
      </c>
      <c r="J423" s="340">
        <f t="shared" si="13"/>
        <v>1632</v>
      </c>
      <c r="K423" s="685" t="str">
        <f>UPPER((TEXT(Tabla5[[#This Row],[FECHA]],"MMM")))</f>
        <v>AGO</v>
      </c>
      <c r="L423" s="780">
        <f>YEAR(Tabla5[[#This Row],[FECHA]])</f>
        <v>2024</v>
      </c>
      <c r="M423" s="749">
        <v>267</v>
      </c>
      <c r="N423" s="441" t="s">
        <v>678</v>
      </c>
      <c r="O423" s="441" t="s">
        <v>713</v>
      </c>
      <c r="P423" s="441" t="s">
        <v>110</v>
      </c>
    </row>
    <row r="424" spans="1:16" ht="13.8">
      <c r="A424" s="531">
        <v>45522</v>
      </c>
      <c r="B424" s="340" t="s">
        <v>277</v>
      </c>
      <c r="C424" s="340" t="s">
        <v>264</v>
      </c>
      <c r="D424" s="340" t="s">
        <v>440</v>
      </c>
      <c r="E424" s="340">
        <v>96</v>
      </c>
      <c r="F424" s="340">
        <v>18</v>
      </c>
      <c r="G424" s="529">
        <v>929.93</v>
      </c>
      <c r="H424" s="529">
        <f t="shared" si="14"/>
        <v>1606919.0399999998</v>
      </c>
      <c r="I424" s="340">
        <v>1600</v>
      </c>
      <c r="J424" s="340">
        <f t="shared" si="13"/>
        <v>1728</v>
      </c>
      <c r="K424" s="685" t="str">
        <f>UPPER((TEXT(Tabla5[[#This Row],[FECHA]],"MMM")))</f>
        <v>AGO</v>
      </c>
      <c r="L424" s="780">
        <f>YEAR(Tabla5[[#This Row],[FECHA]])</f>
        <v>2024</v>
      </c>
      <c r="M424" s="749">
        <v>267</v>
      </c>
      <c r="N424" s="441" t="s">
        <v>678</v>
      </c>
      <c r="O424" s="441" t="s">
        <v>713</v>
      </c>
      <c r="P424" s="441" t="s">
        <v>110</v>
      </c>
    </row>
    <row r="425" spans="1:16" ht="13.8">
      <c r="A425" s="531">
        <v>45523</v>
      </c>
      <c r="B425" s="340" t="s">
        <v>256</v>
      </c>
      <c r="C425" s="340" t="s">
        <v>257</v>
      </c>
      <c r="D425" s="340" t="s">
        <v>440</v>
      </c>
      <c r="E425" s="340">
        <v>96</v>
      </c>
      <c r="F425" s="340">
        <v>14</v>
      </c>
      <c r="G425" s="529">
        <v>929.93</v>
      </c>
      <c r="H425" s="529">
        <f t="shared" si="14"/>
        <v>1249825.92</v>
      </c>
      <c r="I425" s="340">
        <v>1014</v>
      </c>
      <c r="J425" s="340">
        <f t="shared" si="13"/>
        <v>1344</v>
      </c>
      <c r="K425" s="685" t="str">
        <f>UPPER((TEXT(Tabla5[[#This Row],[FECHA]],"MMM")))</f>
        <v>AGO</v>
      </c>
      <c r="L425" s="780">
        <f>YEAR(Tabla5[[#This Row],[FECHA]])</f>
        <v>2024</v>
      </c>
      <c r="M425" s="749">
        <v>267</v>
      </c>
      <c r="N425" s="441" t="s">
        <v>678</v>
      </c>
      <c r="O425" s="441" t="s">
        <v>713</v>
      </c>
      <c r="P425" s="441" t="s">
        <v>110</v>
      </c>
    </row>
    <row r="426" spans="1:16" ht="13.8">
      <c r="A426" s="531">
        <v>45524</v>
      </c>
      <c r="B426" s="340" t="s">
        <v>272</v>
      </c>
      <c r="C426" s="340" t="s">
        <v>278</v>
      </c>
      <c r="D426" s="340" t="s">
        <v>260</v>
      </c>
      <c r="E426" s="340">
        <v>58</v>
      </c>
      <c r="F426" s="340">
        <v>4</v>
      </c>
      <c r="G426" s="529">
        <v>929.93</v>
      </c>
      <c r="H426" s="529">
        <f t="shared" si="14"/>
        <v>215743.75999999998</v>
      </c>
      <c r="I426" s="340">
        <v>238</v>
      </c>
      <c r="J426" s="340">
        <f t="shared" si="13"/>
        <v>232</v>
      </c>
      <c r="K426" s="685" t="str">
        <f>UPPER((TEXT(Tabla5[[#This Row],[FECHA]],"MMM")))</f>
        <v>AGO</v>
      </c>
      <c r="L426" s="780">
        <f>YEAR(Tabla5[[#This Row],[FECHA]])</f>
        <v>2024</v>
      </c>
      <c r="M426" s="749">
        <v>267</v>
      </c>
      <c r="N426" s="441" t="s">
        <v>679</v>
      </c>
      <c r="O426" s="441" t="s">
        <v>712</v>
      </c>
      <c r="P426" s="441" t="s">
        <v>110</v>
      </c>
    </row>
    <row r="427" spans="1:16" ht="13.8">
      <c r="A427" s="531">
        <v>45524</v>
      </c>
      <c r="B427" s="340" t="s">
        <v>263</v>
      </c>
      <c r="C427" s="340" t="s">
        <v>264</v>
      </c>
      <c r="D427" s="340" t="s">
        <v>491</v>
      </c>
      <c r="E427" s="340">
        <v>76</v>
      </c>
      <c r="F427" s="340">
        <v>10</v>
      </c>
      <c r="G427" s="529">
        <v>929.93</v>
      </c>
      <c r="H427" s="529">
        <f t="shared" si="14"/>
        <v>706746.79999999993</v>
      </c>
      <c r="I427" s="340">
        <v>1250</v>
      </c>
      <c r="J427" s="340">
        <f t="shared" si="13"/>
        <v>760</v>
      </c>
      <c r="K427" s="685" t="str">
        <f>UPPER((TEXT(Tabla5[[#This Row],[FECHA]],"MMM")))</f>
        <v>AGO</v>
      </c>
      <c r="L427" s="780">
        <f>YEAR(Tabla5[[#This Row],[FECHA]])</f>
        <v>2024</v>
      </c>
      <c r="M427" s="749">
        <v>267</v>
      </c>
      <c r="N427" s="441" t="s">
        <v>676</v>
      </c>
      <c r="O427" s="441" t="s">
        <v>712</v>
      </c>
      <c r="P427" s="441" t="s">
        <v>110</v>
      </c>
    </row>
    <row r="428" spans="1:16" ht="13.8">
      <c r="A428" s="531">
        <v>45524</v>
      </c>
      <c r="B428" s="340" t="s">
        <v>403</v>
      </c>
      <c r="C428" s="340" t="s">
        <v>404</v>
      </c>
      <c r="D428" s="340" t="s">
        <v>260</v>
      </c>
      <c r="E428" s="340">
        <v>58</v>
      </c>
      <c r="F428" s="340">
        <v>5</v>
      </c>
      <c r="G428" s="529">
        <v>929.93</v>
      </c>
      <c r="H428" s="529">
        <f t="shared" si="14"/>
        <v>269679.7</v>
      </c>
      <c r="I428" s="340">
        <v>639</v>
      </c>
      <c r="J428" s="340">
        <f t="shared" si="13"/>
        <v>290</v>
      </c>
      <c r="K428" s="685" t="str">
        <f>UPPER((TEXT(Tabla5[[#This Row],[FECHA]],"MMM")))</f>
        <v>AGO</v>
      </c>
      <c r="L428" s="780">
        <f>YEAR(Tabla5[[#This Row],[FECHA]])</f>
        <v>2024</v>
      </c>
      <c r="M428" s="749">
        <v>267</v>
      </c>
      <c r="N428" s="441" t="s">
        <v>680</v>
      </c>
      <c r="O428" s="441" t="s">
        <v>712</v>
      </c>
      <c r="P428" s="441" t="s">
        <v>110</v>
      </c>
    </row>
    <row r="429" spans="1:16" ht="13.8">
      <c r="A429" s="531">
        <v>45525</v>
      </c>
      <c r="B429" s="340" t="s">
        <v>272</v>
      </c>
      <c r="C429" s="340" t="s">
        <v>278</v>
      </c>
      <c r="D429" s="340" t="s">
        <v>260</v>
      </c>
      <c r="E429" s="340">
        <v>58</v>
      </c>
      <c r="F429" s="340">
        <v>4</v>
      </c>
      <c r="G429" s="529">
        <v>929.93</v>
      </c>
      <c r="H429" s="529">
        <f t="shared" si="14"/>
        <v>215743.75999999998</v>
      </c>
      <c r="I429" s="340">
        <v>173</v>
      </c>
      <c r="J429" s="340">
        <f t="shared" si="13"/>
        <v>232</v>
      </c>
      <c r="K429" s="685" t="str">
        <f>UPPER((TEXT(Tabla5[[#This Row],[FECHA]],"MMM")))</f>
        <v>AGO</v>
      </c>
      <c r="L429" s="780">
        <f>YEAR(Tabla5[[#This Row],[FECHA]])</f>
        <v>2024</v>
      </c>
      <c r="M429" s="749">
        <v>267</v>
      </c>
      <c r="N429" s="441" t="s">
        <v>679</v>
      </c>
      <c r="O429" s="441" t="s">
        <v>712</v>
      </c>
      <c r="P429" s="441" t="s">
        <v>110</v>
      </c>
    </row>
    <row r="430" spans="1:16" ht="13.8">
      <c r="A430" s="531">
        <v>45525</v>
      </c>
      <c r="B430" s="340" t="s">
        <v>263</v>
      </c>
      <c r="C430" s="340" t="s">
        <v>264</v>
      </c>
      <c r="D430" s="340" t="s">
        <v>491</v>
      </c>
      <c r="E430" s="340">
        <v>76</v>
      </c>
      <c r="F430" s="340">
        <v>10</v>
      </c>
      <c r="G430" s="529">
        <v>929.93</v>
      </c>
      <c r="H430" s="529">
        <f t="shared" si="14"/>
        <v>706746.79999999993</v>
      </c>
      <c r="I430" s="340">
        <v>1347</v>
      </c>
      <c r="J430" s="340">
        <f t="shared" si="13"/>
        <v>760</v>
      </c>
      <c r="K430" s="685" t="str">
        <f>UPPER((TEXT(Tabla5[[#This Row],[FECHA]],"MMM")))</f>
        <v>AGO</v>
      </c>
      <c r="L430" s="780">
        <f>YEAR(Tabla5[[#This Row],[FECHA]])</f>
        <v>2024</v>
      </c>
      <c r="M430" s="749">
        <v>267</v>
      </c>
      <c r="N430" s="441" t="s">
        <v>676</v>
      </c>
      <c r="O430" s="441" t="s">
        <v>712</v>
      </c>
      <c r="P430" s="441" t="s">
        <v>110</v>
      </c>
    </row>
    <row r="431" spans="1:16" ht="13.8">
      <c r="A431" s="531">
        <v>45525</v>
      </c>
      <c r="B431" s="340" t="s">
        <v>403</v>
      </c>
      <c r="C431" s="340" t="s">
        <v>404</v>
      </c>
      <c r="D431" s="340" t="s">
        <v>260</v>
      </c>
      <c r="E431" s="340">
        <v>58</v>
      </c>
      <c r="F431" s="340">
        <v>6</v>
      </c>
      <c r="G431" s="529">
        <v>929.93</v>
      </c>
      <c r="H431" s="529">
        <f t="shared" si="14"/>
        <v>323615.63999999996</v>
      </c>
      <c r="I431" s="340">
        <v>671</v>
      </c>
      <c r="J431" s="340">
        <f>E431*F431</f>
        <v>348</v>
      </c>
      <c r="K431" s="685" t="str">
        <f>UPPER((TEXT(Tabla5[[#This Row],[FECHA]],"MMM")))</f>
        <v>AGO</v>
      </c>
      <c r="L431" s="780">
        <f>YEAR(Tabla5[[#This Row],[FECHA]])</f>
        <v>2024</v>
      </c>
      <c r="M431" s="749">
        <v>267</v>
      </c>
      <c r="N431" s="441" t="s">
        <v>680</v>
      </c>
      <c r="O431" s="441" t="s">
        <v>712</v>
      </c>
      <c r="P431" s="441" t="s">
        <v>110</v>
      </c>
    </row>
    <row r="432" spans="1:16" ht="13.8">
      <c r="A432" s="531">
        <v>45526</v>
      </c>
      <c r="B432" s="340" t="s">
        <v>261</v>
      </c>
      <c r="C432" s="340" t="s">
        <v>266</v>
      </c>
      <c r="D432" s="340" t="s">
        <v>260</v>
      </c>
      <c r="E432" s="340">
        <v>58</v>
      </c>
      <c r="F432" s="340">
        <v>4</v>
      </c>
      <c r="G432" s="529">
        <v>929.93</v>
      </c>
      <c r="H432" s="529">
        <f t="shared" si="14"/>
        <v>215743.75999999998</v>
      </c>
      <c r="I432" s="340">
        <v>191</v>
      </c>
      <c r="J432" s="340">
        <f t="shared" si="13"/>
        <v>232</v>
      </c>
      <c r="K432" s="685" t="str">
        <f>UPPER((TEXT(Tabla5[[#This Row],[FECHA]],"MMM")))</f>
        <v>AGO</v>
      </c>
      <c r="L432" s="780">
        <f>YEAR(Tabla5[[#This Row],[FECHA]])</f>
        <v>2024</v>
      </c>
      <c r="M432" s="749">
        <v>267</v>
      </c>
      <c r="N432" s="441" t="s">
        <v>679</v>
      </c>
      <c r="O432" s="441" t="s">
        <v>712</v>
      </c>
      <c r="P432" s="441" t="s">
        <v>110</v>
      </c>
    </row>
    <row r="433" spans="1:16" ht="13.8">
      <c r="A433" s="531">
        <v>45526</v>
      </c>
      <c r="B433" s="340" t="s">
        <v>263</v>
      </c>
      <c r="C433" s="340" t="s">
        <v>264</v>
      </c>
      <c r="D433" s="340" t="s">
        <v>491</v>
      </c>
      <c r="E433" s="340">
        <v>76</v>
      </c>
      <c r="F433" s="340">
        <v>10</v>
      </c>
      <c r="G433" s="529">
        <v>929.93</v>
      </c>
      <c r="H433" s="529">
        <f t="shared" si="14"/>
        <v>706746.79999999993</v>
      </c>
      <c r="I433" s="340">
        <v>900</v>
      </c>
      <c r="J433" s="340">
        <f t="shared" si="13"/>
        <v>760</v>
      </c>
      <c r="K433" s="685" t="str">
        <f>UPPER((TEXT(Tabla5[[#This Row],[FECHA]],"MMM")))</f>
        <v>AGO</v>
      </c>
      <c r="L433" s="780">
        <f>YEAR(Tabla5[[#This Row],[FECHA]])</f>
        <v>2024</v>
      </c>
      <c r="M433" s="749">
        <v>267</v>
      </c>
      <c r="N433" s="441" t="s">
        <v>676</v>
      </c>
      <c r="O433" s="441" t="s">
        <v>712</v>
      </c>
      <c r="P433" s="441" t="s">
        <v>110</v>
      </c>
    </row>
    <row r="434" spans="1:16" ht="13.8">
      <c r="A434" s="531">
        <v>45526</v>
      </c>
      <c r="B434" s="340" t="s">
        <v>403</v>
      </c>
      <c r="C434" s="340" t="s">
        <v>404</v>
      </c>
      <c r="D434" s="340" t="s">
        <v>260</v>
      </c>
      <c r="E434" s="340">
        <v>58</v>
      </c>
      <c r="F434" s="340">
        <v>5</v>
      </c>
      <c r="G434" s="529">
        <v>929.93</v>
      </c>
      <c r="H434" s="529">
        <f t="shared" si="14"/>
        <v>269679.7</v>
      </c>
      <c r="I434" s="340">
        <v>596</v>
      </c>
      <c r="J434" s="340">
        <f t="shared" si="13"/>
        <v>290</v>
      </c>
      <c r="K434" s="685" t="str">
        <f>UPPER((TEXT(Tabla5[[#This Row],[FECHA]],"MMM")))</f>
        <v>AGO</v>
      </c>
      <c r="L434" s="780">
        <f>YEAR(Tabla5[[#This Row],[FECHA]])</f>
        <v>2024</v>
      </c>
      <c r="M434" s="749">
        <v>267</v>
      </c>
      <c r="N434" s="441" t="s">
        <v>680</v>
      </c>
      <c r="O434" s="441" t="s">
        <v>712</v>
      </c>
      <c r="P434" s="441" t="s">
        <v>110</v>
      </c>
    </row>
    <row r="435" spans="1:16" ht="13.8">
      <c r="A435" s="531">
        <v>45527</v>
      </c>
      <c r="B435" s="340" t="s">
        <v>272</v>
      </c>
      <c r="C435" s="340" t="s">
        <v>278</v>
      </c>
      <c r="D435" s="340" t="s">
        <v>260</v>
      </c>
      <c r="E435" s="340">
        <v>58</v>
      </c>
      <c r="F435" s="340">
        <v>4</v>
      </c>
      <c r="G435" s="529">
        <v>929.93</v>
      </c>
      <c r="H435" s="529">
        <f t="shared" si="14"/>
        <v>215743.75999999998</v>
      </c>
      <c r="I435" s="340">
        <v>163</v>
      </c>
      <c r="J435" s="340">
        <f t="shared" si="13"/>
        <v>232</v>
      </c>
      <c r="K435" s="685" t="str">
        <f>UPPER((TEXT(Tabla5[[#This Row],[FECHA]],"MMM")))</f>
        <v>AGO</v>
      </c>
      <c r="L435" s="780">
        <f>YEAR(Tabla5[[#This Row],[FECHA]])</f>
        <v>2024</v>
      </c>
      <c r="M435" s="749">
        <v>267</v>
      </c>
      <c r="N435" s="441" t="s">
        <v>679</v>
      </c>
      <c r="O435" s="441" t="s">
        <v>712</v>
      </c>
      <c r="P435" s="441" t="s">
        <v>110</v>
      </c>
    </row>
    <row r="436" spans="1:16" ht="13.8">
      <c r="A436" s="531">
        <v>45527</v>
      </c>
      <c r="B436" s="340" t="s">
        <v>263</v>
      </c>
      <c r="C436" s="340" t="s">
        <v>264</v>
      </c>
      <c r="D436" s="340" t="s">
        <v>491</v>
      </c>
      <c r="E436" s="340">
        <v>76</v>
      </c>
      <c r="F436" s="340">
        <v>10</v>
      </c>
      <c r="G436" s="529">
        <v>929.93</v>
      </c>
      <c r="H436" s="529">
        <f t="shared" si="14"/>
        <v>706746.79999999993</v>
      </c>
      <c r="I436" s="340">
        <v>1403</v>
      </c>
      <c r="J436" s="340">
        <f t="shared" si="13"/>
        <v>760</v>
      </c>
      <c r="K436" s="685" t="str">
        <f>UPPER((TEXT(Tabla5[[#This Row],[FECHA]],"MMM")))</f>
        <v>AGO</v>
      </c>
      <c r="L436" s="780">
        <f>YEAR(Tabla5[[#This Row],[FECHA]])</f>
        <v>2024</v>
      </c>
      <c r="M436" s="749">
        <v>267</v>
      </c>
      <c r="N436" s="441" t="s">
        <v>676</v>
      </c>
      <c r="O436" s="441" t="s">
        <v>712</v>
      </c>
      <c r="P436" s="441" t="s">
        <v>110</v>
      </c>
    </row>
    <row r="437" spans="1:16" ht="13.8">
      <c r="A437" s="531">
        <v>45527</v>
      </c>
      <c r="B437" s="340" t="s">
        <v>403</v>
      </c>
      <c r="C437" s="340" t="s">
        <v>404</v>
      </c>
      <c r="D437" s="340" t="s">
        <v>260</v>
      </c>
      <c r="E437" s="340">
        <v>58</v>
      </c>
      <c r="F437" s="340">
        <v>6</v>
      </c>
      <c r="G437" s="529">
        <v>929.93</v>
      </c>
      <c r="H437" s="529">
        <f t="shared" si="14"/>
        <v>323615.63999999996</v>
      </c>
      <c r="I437" s="340">
        <v>755</v>
      </c>
      <c r="J437" s="340">
        <f>E437*F437</f>
        <v>348</v>
      </c>
      <c r="K437" s="685" t="str">
        <f>UPPER((TEXT(Tabla5[[#This Row],[FECHA]],"MMM")))</f>
        <v>AGO</v>
      </c>
      <c r="L437" s="780">
        <f>YEAR(Tabla5[[#This Row],[FECHA]])</f>
        <v>2024</v>
      </c>
      <c r="M437" s="749">
        <v>267</v>
      </c>
      <c r="N437" s="441" t="s">
        <v>680</v>
      </c>
      <c r="O437" s="441" t="s">
        <v>712</v>
      </c>
      <c r="P437" s="441" t="s">
        <v>110</v>
      </c>
    </row>
    <row r="438" spans="1:16" ht="13.8">
      <c r="A438" s="531">
        <v>45528</v>
      </c>
      <c r="B438" s="340" t="s">
        <v>556</v>
      </c>
      <c r="C438" s="340" t="s">
        <v>275</v>
      </c>
      <c r="D438" s="340" t="s">
        <v>491</v>
      </c>
      <c r="E438" s="340">
        <v>76</v>
      </c>
      <c r="F438" s="340">
        <v>3</v>
      </c>
      <c r="G438" s="529">
        <v>929.93</v>
      </c>
      <c r="H438" s="529">
        <f t="shared" si="14"/>
        <v>212024.03999999998</v>
      </c>
      <c r="I438" s="340">
        <v>445</v>
      </c>
      <c r="J438" s="340">
        <f t="shared" si="13"/>
        <v>228</v>
      </c>
      <c r="K438" s="685" t="str">
        <f>UPPER((TEXT(Tabla5[[#This Row],[FECHA]],"MMM")))</f>
        <v>AGO</v>
      </c>
      <c r="L438" s="780">
        <f>YEAR(Tabla5[[#This Row],[FECHA]])</f>
        <v>2024</v>
      </c>
      <c r="M438" s="749">
        <v>267</v>
      </c>
      <c r="N438" s="441" t="s">
        <v>676</v>
      </c>
      <c r="O438" s="441" t="s">
        <v>712</v>
      </c>
      <c r="P438" s="441" t="s">
        <v>110</v>
      </c>
    </row>
    <row r="439" spans="1:16" ht="13.8">
      <c r="A439" s="531">
        <v>45528</v>
      </c>
      <c r="B439" s="340" t="s">
        <v>263</v>
      </c>
      <c r="C439" s="340" t="s">
        <v>283</v>
      </c>
      <c r="D439" s="340" t="s">
        <v>440</v>
      </c>
      <c r="E439" s="340">
        <v>96</v>
      </c>
      <c r="F439" s="340">
        <v>13</v>
      </c>
      <c r="G439" s="529">
        <v>929.93</v>
      </c>
      <c r="H439" s="529">
        <f t="shared" si="14"/>
        <v>1160552.6399999999</v>
      </c>
      <c r="I439" s="340">
        <v>962</v>
      </c>
      <c r="J439" s="340">
        <f t="shared" si="13"/>
        <v>1248</v>
      </c>
      <c r="K439" s="685" t="str">
        <f>UPPER((TEXT(Tabla5[[#This Row],[FECHA]],"MMM")))</f>
        <v>AGO</v>
      </c>
      <c r="L439" s="780">
        <f>YEAR(Tabla5[[#This Row],[FECHA]])</f>
        <v>2024</v>
      </c>
      <c r="M439" s="749">
        <v>267</v>
      </c>
      <c r="N439" s="441" t="s">
        <v>678</v>
      </c>
      <c r="O439" s="441" t="s">
        <v>713</v>
      </c>
      <c r="P439" s="441" t="s">
        <v>110</v>
      </c>
    </row>
    <row r="440" spans="1:16" ht="13.8">
      <c r="A440" s="531">
        <v>45529</v>
      </c>
      <c r="B440" s="340" t="s">
        <v>289</v>
      </c>
      <c r="C440" s="340" t="s">
        <v>290</v>
      </c>
      <c r="D440" s="340" t="s">
        <v>440</v>
      </c>
      <c r="E440" s="340">
        <v>96</v>
      </c>
      <c r="F440" s="340">
        <v>15</v>
      </c>
      <c r="G440" s="529">
        <v>929.93</v>
      </c>
      <c r="H440" s="529">
        <f t="shared" si="14"/>
        <v>1339099.2</v>
      </c>
      <c r="I440" s="340">
        <v>1060</v>
      </c>
      <c r="J440" s="340">
        <f t="shared" si="13"/>
        <v>1440</v>
      </c>
      <c r="K440" s="685" t="str">
        <f>UPPER((TEXT(Tabla5[[#This Row],[FECHA]],"MMM")))</f>
        <v>AGO</v>
      </c>
      <c r="L440" s="780">
        <f>YEAR(Tabla5[[#This Row],[FECHA]])</f>
        <v>2024</v>
      </c>
      <c r="M440" s="749">
        <v>267</v>
      </c>
      <c r="N440" s="441" t="s">
        <v>678</v>
      </c>
      <c r="O440" s="441" t="s">
        <v>713</v>
      </c>
      <c r="P440" s="441" t="s">
        <v>110</v>
      </c>
    </row>
    <row r="441" spans="1:16" ht="13.8">
      <c r="A441" s="531">
        <v>45530</v>
      </c>
      <c r="B441" s="340" t="s">
        <v>272</v>
      </c>
      <c r="C441" s="340" t="s">
        <v>278</v>
      </c>
      <c r="D441" s="340" t="s">
        <v>260</v>
      </c>
      <c r="E441" s="340">
        <v>58</v>
      </c>
      <c r="F441" s="340">
        <v>4</v>
      </c>
      <c r="G441" s="529">
        <v>929.93</v>
      </c>
      <c r="H441" s="529">
        <f t="shared" si="14"/>
        <v>215743.75999999998</v>
      </c>
      <c r="I441" s="340">
        <v>173</v>
      </c>
      <c r="J441" s="340">
        <f t="shared" si="13"/>
        <v>232</v>
      </c>
      <c r="K441" s="685" t="str">
        <f>UPPER((TEXT(Tabla5[[#This Row],[FECHA]],"MMM")))</f>
        <v>AGO</v>
      </c>
      <c r="L441" s="780">
        <f>YEAR(Tabla5[[#This Row],[FECHA]])</f>
        <v>2024</v>
      </c>
      <c r="M441" s="749">
        <v>267</v>
      </c>
      <c r="N441" s="441" t="s">
        <v>679</v>
      </c>
      <c r="O441" s="441" t="s">
        <v>712</v>
      </c>
      <c r="P441" s="441" t="s">
        <v>110</v>
      </c>
    </row>
    <row r="442" spans="1:16" ht="13.8">
      <c r="A442" s="531">
        <v>45530</v>
      </c>
      <c r="B442" s="340" t="s">
        <v>263</v>
      </c>
      <c r="C442" s="340" t="s">
        <v>264</v>
      </c>
      <c r="D442" s="340" t="s">
        <v>491</v>
      </c>
      <c r="E442" s="340">
        <v>76</v>
      </c>
      <c r="F442" s="340">
        <v>10</v>
      </c>
      <c r="G442" s="529">
        <v>929.93</v>
      </c>
      <c r="H442" s="529">
        <f t="shared" si="14"/>
        <v>706746.79999999993</v>
      </c>
      <c r="I442" s="340">
        <v>947</v>
      </c>
      <c r="J442" s="340">
        <f t="shared" si="13"/>
        <v>760</v>
      </c>
      <c r="K442" s="685" t="str">
        <f>UPPER((TEXT(Tabla5[[#This Row],[FECHA]],"MMM")))</f>
        <v>AGO</v>
      </c>
      <c r="L442" s="780">
        <f>YEAR(Tabla5[[#This Row],[FECHA]])</f>
        <v>2024</v>
      </c>
      <c r="M442" s="749">
        <v>267</v>
      </c>
      <c r="N442" s="441" t="s">
        <v>676</v>
      </c>
      <c r="O442" s="441" t="s">
        <v>712</v>
      </c>
      <c r="P442" s="441" t="s">
        <v>110</v>
      </c>
    </row>
    <row r="443" spans="1:16" ht="13.8">
      <c r="A443" s="531">
        <v>45530</v>
      </c>
      <c r="B443" s="340" t="s">
        <v>291</v>
      </c>
      <c r="C443" s="340" t="s">
        <v>280</v>
      </c>
      <c r="D443" s="340" t="s">
        <v>260</v>
      </c>
      <c r="E443" s="340">
        <v>58</v>
      </c>
      <c r="F443" s="340">
        <v>4</v>
      </c>
      <c r="G443" s="529">
        <v>929.93</v>
      </c>
      <c r="H443" s="529">
        <f t="shared" si="14"/>
        <v>215743.75999999998</v>
      </c>
      <c r="I443" s="340">
        <v>440</v>
      </c>
      <c r="J443" s="340">
        <f t="shared" si="13"/>
        <v>232</v>
      </c>
      <c r="K443" s="685" t="str">
        <f>UPPER((TEXT(Tabla5[[#This Row],[FECHA]],"MMM")))</f>
        <v>AGO</v>
      </c>
      <c r="L443" s="780">
        <f>YEAR(Tabla5[[#This Row],[FECHA]])</f>
        <v>2024</v>
      </c>
      <c r="M443" s="749">
        <v>267</v>
      </c>
      <c r="N443" s="441" t="s">
        <v>680</v>
      </c>
      <c r="O443" s="441" t="s">
        <v>712</v>
      </c>
      <c r="P443" s="441" t="s">
        <v>110</v>
      </c>
    </row>
    <row r="444" spans="1:16" ht="13.8">
      <c r="A444" s="531">
        <v>45531</v>
      </c>
      <c r="B444" s="340" t="s">
        <v>272</v>
      </c>
      <c r="C444" s="340" t="s">
        <v>278</v>
      </c>
      <c r="D444" s="340" t="s">
        <v>260</v>
      </c>
      <c r="E444" s="340">
        <v>58</v>
      </c>
      <c r="F444" s="340">
        <v>4</v>
      </c>
      <c r="G444" s="529">
        <v>929.93</v>
      </c>
      <c r="H444" s="529">
        <f t="shared" si="14"/>
        <v>215743.75999999998</v>
      </c>
      <c r="I444" s="340">
        <v>229</v>
      </c>
      <c r="J444" s="340">
        <f t="shared" ref="J444:J450" si="15">E444*F444</f>
        <v>232</v>
      </c>
      <c r="K444" s="685" t="str">
        <f>UPPER((TEXT(Tabla5[[#This Row],[FECHA]],"MMM")))</f>
        <v>AGO</v>
      </c>
      <c r="L444" s="780">
        <f>YEAR(Tabla5[[#This Row],[FECHA]])</f>
        <v>2024</v>
      </c>
      <c r="M444" s="749">
        <v>267</v>
      </c>
      <c r="N444" s="441" t="s">
        <v>679</v>
      </c>
      <c r="O444" s="441" t="s">
        <v>712</v>
      </c>
      <c r="P444" s="441" t="s">
        <v>110</v>
      </c>
    </row>
    <row r="445" spans="1:16" ht="13.8">
      <c r="A445" s="531">
        <v>45531</v>
      </c>
      <c r="B445" s="340" t="s">
        <v>263</v>
      </c>
      <c r="C445" s="340" t="s">
        <v>264</v>
      </c>
      <c r="D445" s="340" t="s">
        <v>491</v>
      </c>
      <c r="E445" s="340">
        <v>76</v>
      </c>
      <c r="F445" s="340">
        <v>13</v>
      </c>
      <c r="G445" s="529">
        <v>929.93</v>
      </c>
      <c r="H445" s="529">
        <f t="shared" si="14"/>
        <v>918770.84</v>
      </c>
      <c r="I445" s="340">
        <v>1570</v>
      </c>
      <c r="J445" s="340">
        <f t="shared" si="15"/>
        <v>988</v>
      </c>
      <c r="K445" s="685" t="str">
        <f>UPPER((TEXT(Tabla5[[#This Row],[FECHA]],"MMM")))</f>
        <v>AGO</v>
      </c>
      <c r="L445" s="780">
        <f>YEAR(Tabla5[[#This Row],[FECHA]])</f>
        <v>2024</v>
      </c>
      <c r="M445" s="749">
        <v>267</v>
      </c>
      <c r="N445" s="441" t="s">
        <v>676</v>
      </c>
      <c r="O445" s="441" t="s">
        <v>712</v>
      </c>
      <c r="P445" s="441" t="s">
        <v>110</v>
      </c>
    </row>
    <row r="446" spans="1:16" ht="13.8">
      <c r="A446" s="531">
        <v>45531</v>
      </c>
      <c r="B446" s="340" t="s">
        <v>403</v>
      </c>
      <c r="C446" s="340" t="s">
        <v>404</v>
      </c>
      <c r="D446" s="340" t="s">
        <v>260</v>
      </c>
      <c r="E446" s="340">
        <v>58</v>
      </c>
      <c r="F446" s="340">
        <v>5</v>
      </c>
      <c r="G446" s="529">
        <v>929.93</v>
      </c>
      <c r="H446" s="529">
        <f t="shared" si="14"/>
        <v>269679.7</v>
      </c>
      <c r="I446" s="340">
        <v>668</v>
      </c>
      <c r="J446" s="340">
        <f t="shared" si="15"/>
        <v>290</v>
      </c>
      <c r="K446" s="685" t="str">
        <f>UPPER((TEXT(Tabla5[[#This Row],[FECHA]],"MMM")))</f>
        <v>AGO</v>
      </c>
      <c r="L446" s="780">
        <f>YEAR(Tabla5[[#This Row],[FECHA]])</f>
        <v>2024</v>
      </c>
      <c r="M446" s="749">
        <v>267</v>
      </c>
      <c r="N446" s="441" t="s">
        <v>680</v>
      </c>
      <c r="O446" s="441" t="s">
        <v>712</v>
      </c>
      <c r="P446" s="441" t="s">
        <v>110</v>
      </c>
    </row>
    <row r="447" spans="1:16" ht="13.8">
      <c r="A447" s="531">
        <v>45532</v>
      </c>
      <c r="B447" s="340" t="s">
        <v>272</v>
      </c>
      <c r="C447" s="340" t="s">
        <v>278</v>
      </c>
      <c r="D447" s="340" t="s">
        <v>260</v>
      </c>
      <c r="E447" s="340">
        <v>58</v>
      </c>
      <c r="F447" s="340">
        <v>4</v>
      </c>
      <c r="G447" s="529">
        <v>929.93</v>
      </c>
      <c r="H447" s="529">
        <f t="shared" si="14"/>
        <v>215743.75999999998</v>
      </c>
      <c r="I447" s="340">
        <v>183</v>
      </c>
      <c r="J447" s="340">
        <f t="shared" si="15"/>
        <v>232</v>
      </c>
      <c r="K447" s="685" t="str">
        <f>UPPER((TEXT(Tabla5[[#This Row],[FECHA]],"MMM")))</f>
        <v>AGO</v>
      </c>
      <c r="L447" s="780">
        <f>YEAR(Tabla5[[#This Row],[FECHA]])</f>
        <v>2024</v>
      </c>
      <c r="M447" s="749">
        <v>267</v>
      </c>
      <c r="N447" s="441" t="s">
        <v>679</v>
      </c>
      <c r="O447" s="441" t="s">
        <v>712</v>
      </c>
      <c r="P447" s="441" t="s">
        <v>110</v>
      </c>
    </row>
    <row r="448" spans="1:16" ht="13.8">
      <c r="A448" s="531">
        <v>45532</v>
      </c>
      <c r="B448" s="340" t="s">
        <v>263</v>
      </c>
      <c r="C448" s="340" t="s">
        <v>264</v>
      </c>
      <c r="D448" s="340" t="s">
        <v>491</v>
      </c>
      <c r="E448" s="340">
        <v>76</v>
      </c>
      <c r="F448" s="340">
        <v>10</v>
      </c>
      <c r="G448" s="529">
        <v>929.93</v>
      </c>
      <c r="H448" s="529">
        <f t="shared" si="14"/>
        <v>706746.79999999993</v>
      </c>
      <c r="I448" s="340">
        <v>1255</v>
      </c>
      <c r="J448" s="340">
        <f t="shared" si="15"/>
        <v>760</v>
      </c>
      <c r="K448" s="685" t="str">
        <f>UPPER((TEXT(Tabla5[[#This Row],[FECHA]],"MMM")))</f>
        <v>AGO</v>
      </c>
      <c r="L448" s="780">
        <f>YEAR(Tabla5[[#This Row],[FECHA]])</f>
        <v>2024</v>
      </c>
      <c r="M448" s="749">
        <v>267</v>
      </c>
      <c r="N448" s="441" t="s">
        <v>676</v>
      </c>
      <c r="O448" s="441" t="s">
        <v>712</v>
      </c>
      <c r="P448" s="441" t="s">
        <v>110</v>
      </c>
    </row>
    <row r="449" spans="1:16" ht="13.8">
      <c r="A449" s="531">
        <v>45532</v>
      </c>
      <c r="B449" s="340" t="s">
        <v>403</v>
      </c>
      <c r="C449" s="340" t="s">
        <v>404</v>
      </c>
      <c r="D449" s="340" t="s">
        <v>260</v>
      </c>
      <c r="E449" s="340">
        <v>58</v>
      </c>
      <c r="F449" s="340">
        <v>6</v>
      </c>
      <c r="G449" s="529">
        <v>929.93</v>
      </c>
      <c r="H449" s="529">
        <f t="shared" si="14"/>
        <v>323615.63999999996</v>
      </c>
      <c r="I449" s="340">
        <v>644</v>
      </c>
      <c r="J449" s="340">
        <f t="shared" si="15"/>
        <v>348</v>
      </c>
      <c r="K449" s="685" t="str">
        <f>UPPER((TEXT(Tabla5[[#This Row],[FECHA]],"MMM")))</f>
        <v>AGO</v>
      </c>
      <c r="L449" s="780">
        <f>YEAR(Tabla5[[#This Row],[FECHA]])</f>
        <v>2024</v>
      </c>
      <c r="M449" s="749">
        <v>267</v>
      </c>
      <c r="N449" s="441" t="s">
        <v>680</v>
      </c>
      <c r="O449" s="441" t="s">
        <v>712</v>
      </c>
      <c r="P449" s="441" t="s">
        <v>110</v>
      </c>
    </row>
    <row r="450" spans="1:16" ht="13.8">
      <c r="A450" s="531">
        <v>45533</v>
      </c>
      <c r="B450" s="340" t="s">
        <v>261</v>
      </c>
      <c r="C450" s="340" t="s">
        <v>266</v>
      </c>
      <c r="D450" s="340" t="s">
        <v>260</v>
      </c>
      <c r="E450" s="340">
        <v>58</v>
      </c>
      <c r="F450" s="340">
        <v>4</v>
      </c>
      <c r="G450" s="529">
        <v>929.93</v>
      </c>
      <c r="H450" s="529">
        <f t="shared" si="14"/>
        <v>215743.75999999998</v>
      </c>
      <c r="I450" s="340">
        <v>203</v>
      </c>
      <c r="J450" s="340">
        <f t="shared" si="15"/>
        <v>232</v>
      </c>
      <c r="K450" s="685" t="str">
        <f>UPPER((TEXT(Tabla5[[#This Row],[FECHA]],"MMM")))</f>
        <v>AGO</v>
      </c>
      <c r="L450" s="780">
        <f>YEAR(Tabla5[[#This Row],[FECHA]])</f>
        <v>2024</v>
      </c>
      <c r="M450" s="749">
        <v>267</v>
      </c>
      <c r="N450" s="441" t="s">
        <v>679</v>
      </c>
      <c r="O450" s="441" t="s">
        <v>712</v>
      </c>
      <c r="P450" s="441" t="s">
        <v>110</v>
      </c>
    </row>
    <row r="451" spans="1:16" ht="13.8">
      <c r="A451" s="531">
        <v>45533</v>
      </c>
      <c r="B451" s="340" t="s">
        <v>263</v>
      </c>
      <c r="C451" s="340" t="s">
        <v>264</v>
      </c>
      <c r="D451" s="340" t="s">
        <v>491</v>
      </c>
      <c r="E451" s="340">
        <v>76</v>
      </c>
      <c r="F451" s="340">
        <v>10</v>
      </c>
      <c r="G451" s="529">
        <v>929.93</v>
      </c>
      <c r="H451" s="529">
        <f t="shared" si="14"/>
        <v>706746.79999999993</v>
      </c>
      <c r="I451" s="340">
        <v>860</v>
      </c>
      <c r="J451" s="340">
        <f>E451*F451</f>
        <v>760</v>
      </c>
      <c r="K451" s="685" t="str">
        <f>UPPER((TEXT(Tabla5[[#This Row],[FECHA]],"MMM")))</f>
        <v>AGO</v>
      </c>
      <c r="L451" s="780">
        <f>YEAR(Tabla5[[#This Row],[FECHA]])</f>
        <v>2024</v>
      </c>
      <c r="M451" s="749">
        <v>267</v>
      </c>
      <c r="N451" s="441" t="s">
        <v>676</v>
      </c>
      <c r="O451" s="441" t="s">
        <v>712</v>
      </c>
      <c r="P451" s="441" t="s">
        <v>110</v>
      </c>
    </row>
    <row r="452" spans="1:16" ht="13.8">
      <c r="A452" s="531">
        <v>45533</v>
      </c>
      <c r="B452" s="340" t="s">
        <v>403</v>
      </c>
      <c r="C452" s="340" t="s">
        <v>404</v>
      </c>
      <c r="D452" s="340" t="s">
        <v>260</v>
      </c>
      <c r="E452" s="340">
        <v>58</v>
      </c>
      <c r="F452" s="340">
        <v>5</v>
      </c>
      <c r="G452" s="529">
        <v>929.93</v>
      </c>
      <c r="H452" s="529">
        <f t="shared" si="14"/>
        <v>269679.7</v>
      </c>
      <c r="I452" s="340">
        <v>565</v>
      </c>
      <c r="J452" s="340">
        <f t="shared" ref="J452:J457" si="16">E452*F452</f>
        <v>290</v>
      </c>
      <c r="K452" s="685" t="str">
        <f>UPPER((TEXT(Tabla5[[#This Row],[FECHA]],"MMM")))</f>
        <v>AGO</v>
      </c>
      <c r="L452" s="780">
        <f>YEAR(Tabla5[[#This Row],[FECHA]])</f>
        <v>2024</v>
      </c>
      <c r="M452" s="749">
        <v>267</v>
      </c>
      <c r="N452" s="441" t="s">
        <v>680</v>
      </c>
      <c r="O452" s="441" t="s">
        <v>712</v>
      </c>
      <c r="P452" s="441" t="s">
        <v>110</v>
      </c>
    </row>
    <row r="453" spans="1:16" ht="13.8">
      <c r="A453" s="531">
        <v>45534</v>
      </c>
      <c r="B453" s="340" t="s">
        <v>261</v>
      </c>
      <c r="C453" s="340" t="s">
        <v>266</v>
      </c>
      <c r="D453" s="340" t="s">
        <v>260</v>
      </c>
      <c r="E453" s="340">
        <v>58</v>
      </c>
      <c r="F453" s="340">
        <v>4</v>
      </c>
      <c r="G453" s="529">
        <v>929.93</v>
      </c>
      <c r="H453" s="529">
        <f t="shared" si="14"/>
        <v>215743.75999999998</v>
      </c>
      <c r="I453" s="340">
        <v>146</v>
      </c>
      <c r="J453" s="340">
        <f t="shared" si="16"/>
        <v>232</v>
      </c>
      <c r="K453" s="685" t="str">
        <f>UPPER((TEXT(Tabla5[[#This Row],[FECHA]],"MMM")))</f>
        <v>AGO</v>
      </c>
      <c r="L453" s="780">
        <f>YEAR(Tabla5[[#This Row],[FECHA]])</f>
        <v>2024</v>
      </c>
      <c r="M453" s="749">
        <v>267</v>
      </c>
      <c r="N453" s="441" t="s">
        <v>679</v>
      </c>
      <c r="O453" s="441" t="s">
        <v>712</v>
      </c>
      <c r="P453" s="441" t="s">
        <v>110</v>
      </c>
    </row>
    <row r="454" spans="1:16" ht="13.8">
      <c r="A454" s="531">
        <v>45534</v>
      </c>
      <c r="B454" s="340" t="s">
        <v>263</v>
      </c>
      <c r="C454" s="340" t="s">
        <v>264</v>
      </c>
      <c r="D454" s="340" t="s">
        <v>491</v>
      </c>
      <c r="E454" s="340">
        <v>76</v>
      </c>
      <c r="F454" s="340">
        <v>11</v>
      </c>
      <c r="G454" s="529">
        <v>929.93</v>
      </c>
      <c r="H454" s="529">
        <f>E454*F454*G454</f>
        <v>777421.48</v>
      </c>
      <c r="I454" s="340">
        <v>1290</v>
      </c>
      <c r="J454" s="340">
        <f t="shared" si="16"/>
        <v>836</v>
      </c>
      <c r="K454" s="685" t="str">
        <f>UPPER((TEXT(Tabla5[[#This Row],[FECHA]],"MMM")))</f>
        <v>AGO</v>
      </c>
      <c r="L454" s="780">
        <f>YEAR(Tabla5[[#This Row],[FECHA]])</f>
        <v>2024</v>
      </c>
      <c r="M454" s="749">
        <v>267</v>
      </c>
      <c r="N454" s="441" t="s">
        <v>676</v>
      </c>
      <c r="O454" s="441" t="s">
        <v>712</v>
      </c>
      <c r="P454" s="441" t="s">
        <v>110</v>
      </c>
    </row>
    <row r="455" spans="1:16" ht="13.8">
      <c r="A455" s="531">
        <v>45534</v>
      </c>
      <c r="B455" s="340" t="s">
        <v>403</v>
      </c>
      <c r="C455" s="340" t="s">
        <v>404</v>
      </c>
      <c r="D455" s="340" t="s">
        <v>260</v>
      </c>
      <c r="E455" s="340">
        <v>58</v>
      </c>
      <c r="F455" s="340">
        <v>6</v>
      </c>
      <c r="G455" s="529">
        <v>929.93</v>
      </c>
      <c r="H455" s="529">
        <f>E455*F455*G455</f>
        <v>323615.63999999996</v>
      </c>
      <c r="I455" s="340">
        <v>779</v>
      </c>
      <c r="J455" s="340">
        <f t="shared" si="16"/>
        <v>348</v>
      </c>
      <c r="K455" s="685" t="str">
        <f>UPPER((TEXT(Tabla5[[#This Row],[FECHA]],"MMM")))</f>
        <v>AGO</v>
      </c>
      <c r="L455" s="780">
        <f>YEAR(Tabla5[[#This Row],[FECHA]])</f>
        <v>2024</v>
      </c>
      <c r="M455" s="749">
        <v>267</v>
      </c>
      <c r="N455" s="441" t="s">
        <v>680</v>
      </c>
      <c r="O455" s="441" t="s">
        <v>712</v>
      </c>
      <c r="P455" s="441" t="s">
        <v>110</v>
      </c>
    </row>
    <row r="456" spans="1:16" ht="13.8">
      <c r="A456" s="531">
        <v>45535</v>
      </c>
      <c r="B456" s="340" t="s">
        <v>261</v>
      </c>
      <c r="C456" s="340" t="s">
        <v>275</v>
      </c>
      <c r="D456" s="340" t="s">
        <v>491</v>
      </c>
      <c r="E456" s="340">
        <v>76</v>
      </c>
      <c r="F456" s="340">
        <v>3</v>
      </c>
      <c r="G456" s="529">
        <v>929.93</v>
      </c>
      <c r="H456" s="529">
        <f>E456*F456*G456</f>
        <v>212024.03999999998</v>
      </c>
      <c r="I456" s="340">
        <v>377</v>
      </c>
      <c r="J456" s="340">
        <f t="shared" si="16"/>
        <v>228</v>
      </c>
      <c r="K456" s="685" t="str">
        <f>UPPER((TEXT(Tabla5[[#This Row],[FECHA]],"MMM")))</f>
        <v>AGO</v>
      </c>
      <c r="L456" s="780">
        <f>YEAR(Tabla5[[#This Row],[FECHA]])</f>
        <v>2024</v>
      </c>
      <c r="M456" s="749">
        <v>267</v>
      </c>
      <c r="N456" s="441" t="s">
        <v>676</v>
      </c>
      <c r="O456" s="441" t="s">
        <v>712</v>
      </c>
      <c r="P456" s="441" t="s">
        <v>110</v>
      </c>
    </row>
    <row r="457" spans="1:16" ht="13.8">
      <c r="A457" s="531">
        <v>45535</v>
      </c>
      <c r="B457" s="340" t="s">
        <v>287</v>
      </c>
      <c r="C457" s="340" t="s">
        <v>288</v>
      </c>
      <c r="D457" s="340" t="s">
        <v>440</v>
      </c>
      <c r="E457" s="340">
        <v>96</v>
      </c>
      <c r="F457" s="340">
        <v>11</v>
      </c>
      <c r="G457" s="529">
        <v>929.93</v>
      </c>
      <c r="H457" s="529">
        <f>E457*F457*G457</f>
        <v>982006.08</v>
      </c>
      <c r="I457" s="340">
        <v>664</v>
      </c>
      <c r="J457" s="340">
        <f t="shared" si="16"/>
        <v>1056</v>
      </c>
      <c r="K457" s="685" t="str">
        <f>UPPER((TEXT(Tabla5[[#This Row],[FECHA]],"MMM")))</f>
        <v>AGO</v>
      </c>
      <c r="L457" s="780">
        <f>YEAR(Tabla5[[#This Row],[FECHA]])</f>
        <v>2024</v>
      </c>
      <c r="M457" s="749">
        <v>267</v>
      </c>
      <c r="N457" s="441" t="s">
        <v>678</v>
      </c>
      <c r="O457" s="441" t="s">
        <v>713</v>
      </c>
      <c r="P457" s="441" t="s">
        <v>110</v>
      </c>
    </row>
    <row r="458" spans="1:16" ht="13.8">
      <c r="A458" s="754">
        <v>45536</v>
      </c>
      <c r="B458" s="755" t="s">
        <v>256</v>
      </c>
      <c r="C458" s="755" t="s">
        <v>257</v>
      </c>
      <c r="D458" s="755" t="s">
        <v>440</v>
      </c>
      <c r="E458" s="755">
        <v>96</v>
      </c>
      <c r="F458" s="755">
        <v>16</v>
      </c>
      <c r="G458" s="756">
        <v>929.93</v>
      </c>
      <c r="H458" s="529">
        <f>E458*F458*G458</f>
        <v>1428372.48</v>
      </c>
      <c r="I458" s="755">
        <v>1242</v>
      </c>
      <c r="J458" s="340">
        <f>E458*F458</f>
        <v>1536</v>
      </c>
      <c r="K458" s="685" t="str">
        <f>UPPER((TEXT(Tabla5[[#This Row],[FECHA]],"MMM")))</f>
        <v>SEP</v>
      </c>
      <c r="L458" s="780">
        <f>YEAR(Tabla5[[#This Row],[FECHA]])</f>
        <v>2024</v>
      </c>
      <c r="M458" s="749">
        <v>287</v>
      </c>
      <c r="N458" s="441" t="s">
        <v>678</v>
      </c>
      <c r="O458" s="441" t="s">
        <v>713</v>
      </c>
      <c r="P458" s="441" t="s">
        <v>110</v>
      </c>
    </row>
    <row r="459" spans="1:16" ht="13.8">
      <c r="A459" s="757">
        <v>45537</v>
      </c>
      <c r="B459" s="755" t="s">
        <v>272</v>
      </c>
      <c r="C459" s="755" t="s">
        <v>278</v>
      </c>
      <c r="D459" s="755" t="s">
        <v>260</v>
      </c>
      <c r="E459" s="755">
        <v>58</v>
      </c>
      <c r="F459" s="755">
        <v>4</v>
      </c>
      <c r="G459" s="756">
        <v>929.93</v>
      </c>
      <c r="H459" s="529">
        <f t="shared" ref="H459:H490" si="17">E459*F459*G459</f>
        <v>215743.75999999998</v>
      </c>
      <c r="I459" s="755">
        <v>339</v>
      </c>
      <c r="J459" s="340">
        <f t="shared" ref="J459:J522" si="18">E459*F459</f>
        <v>232</v>
      </c>
      <c r="K459" s="685" t="str">
        <f>UPPER((TEXT(Tabla5[[#This Row],[FECHA]],"MMM")))</f>
        <v>SEP</v>
      </c>
      <c r="L459" s="780">
        <f>YEAR(Tabla5[[#This Row],[FECHA]])</f>
        <v>2024</v>
      </c>
      <c r="M459" s="749">
        <v>287</v>
      </c>
      <c r="N459" s="441" t="s">
        <v>679</v>
      </c>
      <c r="O459" s="441" t="s">
        <v>712</v>
      </c>
      <c r="P459" s="441" t="s">
        <v>110</v>
      </c>
    </row>
    <row r="460" spans="1:16" ht="13.8">
      <c r="A460" s="757">
        <v>45537</v>
      </c>
      <c r="B460" s="755" t="s">
        <v>287</v>
      </c>
      <c r="C460" s="755" t="s">
        <v>290</v>
      </c>
      <c r="D460" s="755" t="s">
        <v>491</v>
      </c>
      <c r="E460" s="755">
        <v>76</v>
      </c>
      <c r="F460" s="755">
        <v>10</v>
      </c>
      <c r="G460" s="756">
        <v>929.93</v>
      </c>
      <c r="H460" s="529">
        <f t="shared" si="17"/>
        <v>706746.79999999993</v>
      </c>
      <c r="I460" s="755">
        <v>1296</v>
      </c>
      <c r="J460" s="340">
        <f t="shared" si="18"/>
        <v>760</v>
      </c>
      <c r="K460" s="685" t="str">
        <f>UPPER((TEXT(Tabla5[[#This Row],[FECHA]],"MMM")))</f>
        <v>SEP</v>
      </c>
      <c r="L460" s="780">
        <f>YEAR(Tabla5[[#This Row],[FECHA]])</f>
        <v>2024</v>
      </c>
      <c r="M460" s="749">
        <v>287</v>
      </c>
      <c r="N460" s="441" t="s">
        <v>676</v>
      </c>
      <c r="O460" s="441" t="s">
        <v>712</v>
      </c>
      <c r="P460" s="441" t="s">
        <v>110</v>
      </c>
    </row>
    <row r="461" spans="1:16" ht="13.2" customHeight="1">
      <c r="A461" s="757">
        <v>45537</v>
      </c>
      <c r="B461" s="755" t="s">
        <v>441</v>
      </c>
      <c r="C461" s="755" t="s">
        <v>262</v>
      </c>
      <c r="D461" s="755" t="s">
        <v>260</v>
      </c>
      <c r="E461" s="755">
        <v>58</v>
      </c>
      <c r="F461" s="755">
        <v>4</v>
      </c>
      <c r="G461" s="756">
        <v>929.93</v>
      </c>
      <c r="H461" s="529">
        <f t="shared" si="17"/>
        <v>215743.75999999998</v>
      </c>
      <c r="I461" s="755">
        <v>444</v>
      </c>
      <c r="J461" s="340">
        <f t="shared" si="18"/>
        <v>232</v>
      </c>
      <c r="K461" s="685" t="str">
        <f>UPPER((TEXT(Tabla5[[#This Row],[FECHA]],"MMM")))</f>
        <v>SEP</v>
      </c>
      <c r="L461" s="780">
        <f>YEAR(Tabla5[[#This Row],[FECHA]])</f>
        <v>2024</v>
      </c>
      <c r="M461" s="749">
        <v>287</v>
      </c>
      <c r="N461" s="441" t="s">
        <v>680</v>
      </c>
      <c r="O461" s="441" t="s">
        <v>712</v>
      </c>
      <c r="P461" s="441" t="s">
        <v>110</v>
      </c>
    </row>
    <row r="462" spans="1:16" ht="13.8">
      <c r="A462" s="757">
        <v>45538</v>
      </c>
      <c r="B462" s="755" t="s">
        <v>256</v>
      </c>
      <c r="C462" s="755" t="s">
        <v>259</v>
      </c>
      <c r="D462" s="755" t="s">
        <v>260</v>
      </c>
      <c r="E462" s="755">
        <v>58</v>
      </c>
      <c r="F462" s="755">
        <v>5</v>
      </c>
      <c r="G462" s="756">
        <v>929.93</v>
      </c>
      <c r="H462" s="529">
        <f t="shared" si="17"/>
        <v>269679.7</v>
      </c>
      <c r="I462" s="755">
        <v>227</v>
      </c>
      <c r="J462" s="340">
        <f t="shared" si="18"/>
        <v>290</v>
      </c>
      <c r="K462" s="685" t="str">
        <f>UPPER((TEXT(Tabla5[[#This Row],[FECHA]],"MMM")))</f>
        <v>SEP</v>
      </c>
      <c r="L462" s="780">
        <f>YEAR(Tabla5[[#This Row],[FECHA]])</f>
        <v>2024</v>
      </c>
      <c r="M462" s="749">
        <v>287</v>
      </c>
      <c r="N462" s="441" t="s">
        <v>680</v>
      </c>
      <c r="O462" s="441" t="s">
        <v>712</v>
      </c>
      <c r="P462" s="441" t="s">
        <v>110</v>
      </c>
    </row>
    <row r="463" spans="1:16" ht="13.8">
      <c r="A463" s="757">
        <v>45542</v>
      </c>
      <c r="B463" s="755" t="s">
        <v>272</v>
      </c>
      <c r="C463" s="755" t="s">
        <v>282</v>
      </c>
      <c r="D463" s="755" t="s">
        <v>491</v>
      </c>
      <c r="E463" s="755">
        <v>76</v>
      </c>
      <c r="F463" s="755">
        <v>3</v>
      </c>
      <c r="G463" s="756">
        <v>929.93</v>
      </c>
      <c r="H463" s="529">
        <f t="shared" si="17"/>
        <v>212024.03999999998</v>
      </c>
      <c r="I463" s="755">
        <v>352</v>
      </c>
      <c r="J463" s="340">
        <f t="shared" si="18"/>
        <v>228</v>
      </c>
      <c r="K463" s="685" t="str">
        <f>UPPER((TEXT(Tabla5[[#This Row],[FECHA]],"MMM")))</f>
        <v>SEP</v>
      </c>
      <c r="L463" s="780">
        <f>YEAR(Tabla5[[#This Row],[FECHA]])</f>
        <v>2024</v>
      </c>
      <c r="M463" s="749">
        <v>287</v>
      </c>
      <c r="N463" s="441" t="s">
        <v>676</v>
      </c>
      <c r="O463" s="441" t="s">
        <v>712</v>
      </c>
      <c r="P463" s="441" t="s">
        <v>110</v>
      </c>
    </row>
    <row r="464" spans="1:16" ht="13.8">
      <c r="A464" s="757">
        <v>45542</v>
      </c>
      <c r="B464" s="755" t="s">
        <v>271</v>
      </c>
      <c r="C464" s="755" t="s">
        <v>292</v>
      </c>
      <c r="D464" s="755" t="s">
        <v>440</v>
      </c>
      <c r="E464" s="755">
        <v>96</v>
      </c>
      <c r="F464" s="755">
        <v>10</v>
      </c>
      <c r="G464" s="756">
        <v>929.93</v>
      </c>
      <c r="H464" s="529">
        <f t="shared" si="17"/>
        <v>892732.79999999993</v>
      </c>
      <c r="I464" s="755">
        <v>528</v>
      </c>
      <c r="J464" s="340">
        <f t="shared" si="18"/>
        <v>960</v>
      </c>
      <c r="K464" s="685" t="str">
        <f>UPPER((TEXT(Tabla5[[#This Row],[FECHA]],"MMM")))</f>
        <v>SEP</v>
      </c>
      <c r="L464" s="780">
        <f>YEAR(Tabla5[[#This Row],[FECHA]])</f>
        <v>2024</v>
      </c>
      <c r="M464" s="749">
        <v>287</v>
      </c>
      <c r="N464" s="441" t="s">
        <v>678</v>
      </c>
      <c r="O464" s="441" t="s">
        <v>713</v>
      </c>
      <c r="P464" s="441" t="s">
        <v>110</v>
      </c>
    </row>
    <row r="465" spans="1:16" ht="13.8">
      <c r="A465" s="757">
        <v>45543</v>
      </c>
      <c r="B465" s="755" t="s">
        <v>277</v>
      </c>
      <c r="C465" s="755" t="s">
        <v>264</v>
      </c>
      <c r="D465" s="755" t="s">
        <v>440</v>
      </c>
      <c r="E465" s="755">
        <v>96</v>
      </c>
      <c r="F465" s="755">
        <v>11</v>
      </c>
      <c r="G465" s="756">
        <v>929.93</v>
      </c>
      <c r="H465" s="529">
        <f t="shared" si="17"/>
        <v>982006.08</v>
      </c>
      <c r="I465" s="755">
        <v>726</v>
      </c>
      <c r="J465" s="340">
        <f t="shared" si="18"/>
        <v>1056</v>
      </c>
      <c r="K465" s="685" t="str">
        <f>UPPER((TEXT(Tabla5[[#This Row],[FECHA]],"MMM")))</f>
        <v>SEP</v>
      </c>
      <c r="L465" s="780">
        <f>YEAR(Tabla5[[#This Row],[FECHA]])</f>
        <v>2024</v>
      </c>
      <c r="M465" s="749">
        <v>287</v>
      </c>
      <c r="N465" s="441" t="s">
        <v>678</v>
      </c>
      <c r="O465" s="441" t="s">
        <v>713</v>
      </c>
      <c r="P465" s="441" t="s">
        <v>110</v>
      </c>
    </row>
    <row r="466" spans="1:16" ht="13.8">
      <c r="A466" s="757">
        <v>45544</v>
      </c>
      <c r="B466" s="755" t="s">
        <v>269</v>
      </c>
      <c r="C466" s="755" t="s">
        <v>270</v>
      </c>
      <c r="D466" s="755" t="s">
        <v>260</v>
      </c>
      <c r="E466" s="755">
        <v>58</v>
      </c>
      <c r="F466" s="755">
        <v>4</v>
      </c>
      <c r="G466" s="756">
        <v>929.93</v>
      </c>
      <c r="H466" s="529">
        <f t="shared" si="17"/>
        <v>215743.75999999998</v>
      </c>
      <c r="I466" s="755">
        <v>183</v>
      </c>
      <c r="J466" s="340">
        <f t="shared" si="18"/>
        <v>232</v>
      </c>
      <c r="K466" s="685" t="str">
        <f>UPPER((TEXT(Tabla5[[#This Row],[FECHA]],"MMM")))</f>
        <v>SEP</v>
      </c>
      <c r="L466" s="780">
        <f>YEAR(Tabla5[[#This Row],[FECHA]])</f>
        <v>2024</v>
      </c>
      <c r="M466" s="749">
        <v>287</v>
      </c>
      <c r="N466" s="441" t="s">
        <v>679</v>
      </c>
      <c r="O466" s="441" t="s">
        <v>712</v>
      </c>
      <c r="P466" s="441" t="s">
        <v>110</v>
      </c>
    </row>
    <row r="467" spans="1:16" ht="13.8">
      <c r="A467" s="757">
        <v>45544</v>
      </c>
      <c r="B467" s="755" t="s">
        <v>263</v>
      </c>
      <c r="C467" s="755" t="s">
        <v>264</v>
      </c>
      <c r="D467" s="755" t="s">
        <v>491</v>
      </c>
      <c r="E467" s="755">
        <v>76</v>
      </c>
      <c r="F467" s="755">
        <v>10</v>
      </c>
      <c r="G467" s="756">
        <v>929.93</v>
      </c>
      <c r="H467" s="529">
        <f t="shared" si="17"/>
        <v>706746.79999999993</v>
      </c>
      <c r="I467" s="755">
        <v>936</v>
      </c>
      <c r="J467" s="340">
        <f t="shared" si="18"/>
        <v>760</v>
      </c>
      <c r="K467" s="685" t="str">
        <f>UPPER((TEXT(Tabla5[[#This Row],[FECHA]],"MMM")))</f>
        <v>SEP</v>
      </c>
      <c r="L467" s="780">
        <f>YEAR(Tabla5[[#This Row],[FECHA]])</f>
        <v>2024</v>
      </c>
      <c r="M467" s="749">
        <v>287</v>
      </c>
      <c r="N467" s="441" t="s">
        <v>676</v>
      </c>
      <c r="O467" s="441" t="s">
        <v>712</v>
      </c>
      <c r="P467" s="441" t="s">
        <v>110</v>
      </c>
    </row>
    <row r="468" spans="1:16" ht="13.8">
      <c r="A468" s="757">
        <v>45544</v>
      </c>
      <c r="B468" s="755" t="s">
        <v>293</v>
      </c>
      <c r="C468" s="755" t="s">
        <v>273</v>
      </c>
      <c r="D468" s="755" t="s">
        <v>260</v>
      </c>
      <c r="E468" s="755">
        <v>58</v>
      </c>
      <c r="F468" s="755">
        <v>4</v>
      </c>
      <c r="G468" s="756">
        <v>929.93</v>
      </c>
      <c r="H468" s="529">
        <f t="shared" si="17"/>
        <v>215743.75999999998</v>
      </c>
      <c r="I468" s="755">
        <v>482</v>
      </c>
      <c r="J468" s="340">
        <f t="shared" si="18"/>
        <v>232</v>
      </c>
      <c r="K468" s="685" t="str">
        <f>UPPER((TEXT(Tabla5[[#This Row],[FECHA]],"MMM")))</f>
        <v>SEP</v>
      </c>
      <c r="L468" s="780">
        <f>YEAR(Tabla5[[#This Row],[FECHA]])</f>
        <v>2024</v>
      </c>
      <c r="M468" s="749">
        <v>287</v>
      </c>
      <c r="N468" s="441" t="s">
        <v>680</v>
      </c>
      <c r="O468" s="441" t="s">
        <v>712</v>
      </c>
      <c r="P468" s="441" t="s">
        <v>110</v>
      </c>
    </row>
    <row r="469" spans="1:16" ht="13.8">
      <c r="A469" s="757">
        <v>45545</v>
      </c>
      <c r="B469" s="755" t="s">
        <v>272</v>
      </c>
      <c r="C469" s="755" t="s">
        <v>278</v>
      </c>
      <c r="D469" s="755" t="s">
        <v>260</v>
      </c>
      <c r="E469" s="755">
        <v>58</v>
      </c>
      <c r="F469" s="755">
        <v>4</v>
      </c>
      <c r="G469" s="756">
        <v>929.93</v>
      </c>
      <c r="H469" s="529">
        <f t="shared" si="17"/>
        <v>215743.75999999998</v>
      </c>
      <c r="I469" s="755">
        <v>204</v>
      </c>
      <c r="J469" s="340">
        <f t="shared" si="18"/>
        <v>232</v>
      </c>
      <c r="K469" s="685" t="str">
        <f>UPPER((TEXT(Tabla5[[#This Row],[FECHA]],"MMM")))</f>
        <v>SEP</v>
      </c>
      <c r="L469" s="780">
        <f>YEAR(Tabla5[[#This Row],[FECHA]])</f>
        <v>2024</v>
      </c>
      <c r="M469" s="749">
        <v>287</v>
      </c>
      <c r="N469" s="441" t="s">
        <v>679</v>
      </c>
      <c r="O469" s="441" t="s">
        <v>712</v>
      </c>
      <c r="P469" s="441" t="s">
        <v>110</v>
      </c>
    </row>
    <row r="470" spans="1:16" ht="13.8">
      <c r="A470" s="757">
        <v>45545</v>
      </c>
      <c r="B470" s="755" t="s">
        <v>263</v>
      </c>
      <c r="C470" s="755" t="s">
        <v>264</v>
      </c>
      <c r="D470" s="755" t="s">
        <v>491</v>
      </c>
      <c r="E470" s="755">
        <v>76</v>
      </c>
      <c r="F470" s="755">
        <v>10</v>
      </c>
      <c r="G470" s="756">
        <v>929.93</v>
      </c>
      <c r="H470" s="529">
        <f t="shared" si="17"/>
        <v>706746.79999999993</v>
      </c>
      <c r="I470" s="755">
        <v>1189</v>
      </c>
      <c r="J470" s="340">
        <f t="shared" si="18"/>
        <v>760</v>
      </c>
      <c r="K470" s="685" t="str">
        <f>UPPER((TEXT(Tabla5[[#This Row],[FECHA]],"MMM")))</f>
        <v>SEP</v>
      </c>
      <c r="L470" s="780">
        <f>YEAR(Tabla5[[#This Row],[FECHA]])</f>
        <v>2024</v>
      </c>
      <c r="M470" s="749">
        <v>287</v>
      </c>
      <c r="N470" s="441" t="s">
        <v>676</v>
      </c>
      <c r="O470" s="441" t="s">
        <v>712</v>
      </c>
      <c r="P470" s="441" t="s">
        <v>110</v>
      </c>
    </row>
    <row r="471" spans="1:16" ht="13.8">
      <c r="A471" s="757">
        <v>45545</v>
      </c>
      <c r="B471" s="755" t="s">
        <v>403</v>
      </c>
      <c r="C471" s="755" t="s">
        <v>404</v>
      </c>
      <c r="D471" s="755" t="s">
        <v>260</v>
      </c>
      <c r="E471" s="755">
        <v>58</v>
      </c>
      <c r="F471" s="755">
        <v>5</v>
      </c>
      <c r="G471" s="756">
        <v>929.93</v>
      </c>
      <c r="H471" s="529">
        <f t="shared" si="17"/>
        <v>269679.7</v>
      </c>
      <c r="I471" s="755">
        <v>612</v>
      </c>
      <c r="J471" s="340">
        <f t="shared" si="18"/>
        <v>290</v>
      </c>
      <c r="K471" s="685" t="str">
        <f>UPPER((TEXT(Tabla5[[#This Row],[FECHA]],"MMM")))</f>
        <v>SEP</v>
      </c>
      <c r="L471" s="780">
        <f>YEAR(Tabla5[[#This Row],[FECHA]])</f>
        <v>2024</v>
      </c>
      <c r="M471" s="749">
        <v>287</v>
      </c>
      <c r="N471" s="441" t="s">
        <v>680</v>
      </c>
      <c r="O471" s="441" t="s">
        <v>712</v>
      </c>
      <c r="P471" s="441" t="s">
        <v>110</v>
      </c>
    </row>
    <row r="472" spans="1:16" ht="13.8">
      <c r="A472" s="757">
        <v>45546</v>
      </c>
      <c r="B472" s="755" t="s">
        <v>272</v>
      </c>
      <c r="C472" s="755" t="s">
        <v>278</v>
      </c>
      <c r="D472" s="755" t="s">
        <v>260</v>
      </c>
      <c r="E472" s="755">
        <v>58</v>
      </c>
      <c r="F472" s="755">
        <v>4</v>
      </c>
      <c r="G472" s="756">
        <v>929.93</v>
      </c>
      <c r="H472" s="529">
        <f t="shared" si="17"/>
        <v>215743.75999999998</v>
      </c>
      <c r="I472" s="755">
        <v>173</v>
      </c>
      <c r="J472" s="340">
        <f t="shared" si="18"/>
        <v>232</v>
      </c>
      <c r="K472" s="685" t="str">
        <f>UPPER((TEXT(Tabla5[[#This Row],[FECHA]],"MMM")))</f>
        <v>SEP</v>
      </c>
      <c r="L472" s="780">
        <f>YEAR(Tabla5[[#This Row],[FECHA]])</f>
        <v>2024</v>
      </c>
      <c r="M472" s="749">
        <v>287</v>
      </c>
      <c r="N472" s="441" t="s">
        <v>679</v>
      </c>
      <c r="O472" s="441" t="s">
        <v>712</v>
      </c>
      <c r="P472" s="441" t="s">
        <v>110</v>
      </c>
    </row>
    <row r="473" spans="1:16" ht="13.8">
      <c r="A473" s="757">
        <v>45546</v>
      </c>
      <c r="B473" s="755" t="s">
        <v>263</v>
      </c>
      <c r="C473" s="755" t="s">
        <v>264</v>
      </c>
      <c r="D473" s="755" t="s">
        <v>491</v>
      </c>
      <c r="E473" s="755">
        <v>76</v>
      </c>
      <c r="F473" s="755">
        <v>10</v>
      </c>
      <c r="G473" s="756">
        <v>929.93</v>
      </c>
      <c r="H473" s="529">
        <f t="shared" si="17"/>
        <v>706746.79999999993</v>
      </c>
      <c r="I473" s="755">
        <v>1385</v>
      </c>
      <c r="J473" s="340">
        <f t="shared" si="18"/>
        <v>760</v>
      </c>
      <c r="K473" s="685" t="str">
        <f>UPPER((TEXT(Tabla5[[#This Row],[FECHA]],"MMM")))</f>
        <v>SEP</v>
      </c>
      <c r="L473" s="780">
        <f>YEAR(Tabla5[[#This Row],[FECHA]])</f>
        <v>2024</v>
      </c>
      <c r="M473" s="749">
        <v>287</v>
      </c>
      <c r="N473" s="441" t="s">
        <v>676</v>
      </c>
      <c r="O473" s="441" t="s">
        <v>712</v>
      </c>
      <c r="P473" s="441" t="s">
        <v>110</v>
      </c>
    </row>
    <row r="474" spans="1:16" ht="13.8">
      <c r="A474" s="757">
        <v>45546</v>
      </c>
      <c r="B474" s="755" t="s">
        <v>403</v>
      </c>
      <c r="C474" s="755" t="s">
        <v>404</v>
      </c>
      <c r="D474" s="755" t="s">
        <v>260</v>
      </c>
      <c r="E474" s="755">
        <v>58</v>
      </c>
      <c r="F474" s="755">
        <v>6</v>
      </c>
      <c r="G474" s="756">
        <v>929.93</v>
      </c>
      <c r="H474" s="529">
        <f t="shared" si="17"/>
        <v>323615.63999999996</v>
      </c>
      <c r="I474" s="755">
        <v>600</v>
      </c>
      <c r="J474" s="340">
        <f t="shared" si="18"/>
        <v>348</v>
      </c>
      <c r="K474" s="685" t="str">
        <f>UPPER((TEXT(Tabla5[[#This Row],[FECHA]],"MMM")))</f>
        <v>SEP</v>
      </c>
      <c r="L474" s="780">
        <f>YEAR(Tabla5[[#This Row],[FECHA]])</f>
        <v>2024</v>
      </c>
      <c r="M474" s="749">
        <v>287</v>
      </c>
      <c r="N474" s="441" t="s">
        <v>680</v>
      </c>
      <c r="O474" s="441" t="s">
        <v>712</v>
      </c>
      <c r="P474" s="441" t="s">
        <v>110</v>
      </c>
    </row>
    <row r="475" spans="1:16" ht="13.8">
      <c r="A475" s="757">
        <v>45547</v>
      </c>
      <c r="B475" s="755" t="s">
        <v>269</v>
      </c>
      <c r="C475" s="755" t="s">
        <v>270</v>
      </c>
      <c r="D475" s="755" t="s">
        <v>260</v>
      </c>
      <c r="E475" s="755">
        <v>58</v>
      </c>
      <c r="F475" s="755">
        <v>4</v>
      </c>
      <c r="G475" s="756">
        <v>929.93</v>
      </c>
      <c r="H475" s="529">
        <f t="shared" si="17"/>
        <v>215743.75999999998</v>
      </c>
      <c r="I475" s="755">
        <v>201</v>
      </c>
      <c r="J475" s="340">
        <f t="shared" si="18"/>
        <v>232</v>
      </c>
      <c r="K475" s="685" t="str">
        <f>UPPER((TEXT(Tabla5[[#This Row],[FECHA]],"MMM")))</f>
        <v>SEP</v>
      </c>
      <c r="L475" s="780">
        <f>YEAR(Tabla5[[#This Row],[FECHA]])</f>
        <v>2024</v>
      </c>
      <c r="M475" s="749">
        <v>287</v>
      </c>
      <c r="N475" s="441" t="s">
        <v>679</v>
      </c>
      <c r="O475" s="441" t="s">
        <v>712</v>
      </c>
      <c r="P475" s="441" t="s">
        <v>110</v>
      </c>
    </row>
    <row r="476" spans="1:16" ht="13.8">
      <c r="A476" s="757">
        <v>45547</v>
      </c>
      <c r="B476" s="755" t="s">
        <v>263</v>
      </c>
      <c r="C476" s="755" t="s">
        <v>264</v>
      </c>
      <c r="D476" s="755" t="s">
        <v>491</v>
      </c>
      <c r="E476" s="755">
        <v>76</v>
      </c>
      <c r="F476" s="755">
        <v>11</v>
      </c>
      <c r="G476" s="756">
        <v>929.93</v>
      </c>
      <c r="H476" s="529">
        <f t="shared" si="17"/>
        <v>777421.48</v>
      </c>
      <c r="I476" s="755">
        <v>893</v>
      </c>
      <c r="J476" s="340">
        <f t="shared" si="18"/>
        <v>836</v>
      </c>
      <c r="K476" s="685" t="str">
        <f>UPPER((TEXT(Tabla5[[#This Row],[FECHA]],"MMM")))</f>
        <v>SEP</v>
      </c>
      <c r="L476" s="780">
        <f>YEAR(Tabla5[[#This Row],[FECHA]])</f>
        <v>2024</v>
      </c>
      <c r="M476" s="749">
        <v>287</v>
      </c>
      <c r="N476" s="441" t="s">
        <v>676</v>
      </c>
      <c r="O476" s="441" t="s">
        <v>712</v>
      </c>
      <c r="P476" s="441" t="s">
        <v>110</v>
      </c>
    </row>
    <row r="477" spans="1:16" ht="13.8">
      <c r="A477" s="757">
        <v>45547</v>
      </c>
      <c r="B477" s="755" t="s">
        <v>403</v>
      </c>
      <c r="C477" s="755" t="s">
        <v>404</v>
      </c>
      <c r="D477" s="755" t="s">
        <v>260</v>
      </c>
      <c r="E477" s="755">
        <v>58</v>
      </c>
      <c r="F477" s="755">
        <v>5</v>
      </c>
      <c r="G477" s="756">
        <v>929.93</v>
      </c>
      <c r="H477" s="529">
        <f t="shared" si="17"/>
        <v>269679.7</v>
      </c>
      <c r="I477" s="755">
        <v>697</v>
      </c>
      <c r="J477" s="340">
        <f t="shared" si="18"/>
        <v>290</v>
      </c>
      <c r="K477" s="685" t="str">
        <f>UPPER((TEXT(Tabla5[[#This Row],[FECHA]],"MMM")))</f>
        <v>SEP</v>
      </c>
      <c r="L477" s="780">
        <f>YEAR(Tabla5[[#This Row],[FECHA]])</f>
        <v>2024</v>
      </c>
      <c r="M477" s="749">
        <v>287</v>
      </c>
      <c r="N477" s="441" t="s">
        <v>680</v>
      </c>
      <c r="O477" s="441" t="s">
        <v>712</v>
      </c>
      <c r="P477" s="441" t="s">
        <v>110</v>
      </c>
    </row>
    <row r="478" spans="1:16" ht="13.8">
      <c r="A478" s="754">
        <v>45548</v>
      </c>
      <c r="B478" s="755" t="s">
        <v>269</v>
      </c>
      <c r="C478" s="755" t="s">
        <v>270</v>
      </c>
      <c r="D478" s="755" t="s">
        <v>260</v>
      </c>
      <c r="E478" s="755">
        <v>58</v>
      </c>
      <c r="F478" s="755">
        <v>4</v>
      </c>
      <c r="G478" s="756">
        <v>929.93</v>
      </c>
      <c r="H478" s="529">
        <f t="shared" si="17"/>
        <v>215743.75999999998</v>
      </c>
      <c r="I478" s="755">
        <v>179</v>
      </c>
      <c r="J478" s="340">
        <f t="shared" si="18"/>
        <v>232</v>
      </c>
      <c r="K478" s="685" t="str">
        <f>UPPER((TEXT(Tabla5[[#This Row],[FECHA]],"MMM")))</f>
        <v>SEP</v>
      </c>
      <c r="L478" s="780">
        <f>YEAR(Tabla5[[#This Row],[FECHA]])</f>
        <v>2024</v>
      </c>
      <c r="M478" s="749">
        <v>287</v>
      </c>
      <c r="N478" s="441" t="s">
        <v>679</v>
      </c>
      <c r="O478" s="441" t="s">
        <v>712</v>
      </c>
      <c r="P478" s="441" t="s">
        <v>110</v>
      </c>
    </row>
    <row r="479" spans="1:16" ht="13.8">
      <c r="A479" s="754">
        <v>45548</v>
      </c>
      <c r="B479" s="755" t="s">
        <v>271</v>
      </c>
      <c r="C479" s="755" t="s">
        <v>257</v>
      </c>
      <c r="D479" s="755" t="s">
        <v>491</v>
      </c>
      <c r="E479" s="755">
        <v>76</v>
      </c>
      <c r="F479" s="755">
        <v>12</v>
      </c>
      <c r="G479" s="756">
        <v>929.93</v>
      </c>
      <c r="H479" s="529">
        <f t="shared" si="17"/>
        <v>848096.15999999992</v>
      </c>
      <c r="I479" s="755">
        <v>1336</v>
      </c>
      <c r="J479" s="340">
        <f t="shared" si="18"/>
        <v>912</v>
      </c>
      <c r="K479" s="685" t="str">
        <f>UPPER((TEXT(Tabla5[[#This Row],[FECHA]],"MMM")))</f>
        <v>SEP</v>
      </c>
      <c r="L479" s="780">
        <f>YEAR(Tabla5[[#This Row],[FECHA]])</f>
        <v>2024</v>
      </c>
      <c r="M479" s="749">
        <v>287</v>
      </c>
      <c r="N479" s="441" t="s">
        <v>676</v>
      </c>
      <c r="O479" s="441" t="s">
        <v>712</v>
      </c>
      <c r="P479" s="441" t="s">
        <v>110</v>
      </c>
    </row>
    <row r="480" spans="1:16" ht="13.8">
      <c r="A480" s="754">
        <v>45548</v>
      </c>
      <c r="B480" s="755" t="s">
        <v>403</v>
      </c>
      <c r="C480" s="755" t="s">
        <v>404</v>
      </c>
      <c r="D480" s="755" t="s">
        <v>260</v>
      </c>
      <c r="E480" s="755">
        <v>58</v>
      </c>
      <c r="F480" s="755">
        <v>6</v>
      </c>
      <c r="G480" s="756">
        <v>929.93</v>
      </c>
      <c r="H480" s="529">
        <f t="shared" si="17"/>
        <v>323615.63999999996</v>
      </c>
      <c r="I480" s="755">
        <v>685</v>
      </c>
      <c r="J480" s="340">
        <f t="shared" si="18"/>
        <v>348</v>
      </c>
      <c r="K480" s="685" t="str">
        <f>UPPER((TEXT(Tabla5[[#This Row],[FECHA]],"MMM")))</f>
        <v>SEP</v>
      </c>
      <c r="L480" s="780">
        <f>YEAR(Tabla5[[#This Row],[FECHA]])</f>
        <v>2024</v>
      </c>
      <c r="M480" s="749">
        <v>287</v>
      </c>
      <c r="N480" s="441" t="s">
        <v>680</v>
      </c>
      <c r="O480" s="441" t="s">
        <v>712</v>
      </c>
      <c r="P480" s="441" t="s">
        <v>110</v>
      </c>
    </row>
    <row r="481" spans="1:16" ht="13.8">
      <c r="A481" s="754">
        <v>45549</v>
      </c>
      <c r="B481" s="755" t="s">
        <v>579</v>
      </c>
      <c r="C481" s="755" t="s">
        <v>580</v>
      </c>
      <c r="D481" s="755" t="s">
        <v>581</v>
      </c>
      <c r="E481" s="755">
        <v>72</v>
      </c>
      <c r="F481" s="755">
        <v>3</v>
      </c>
      <c r="G481" s="756">
        <v>929.93</v>
      </c>
      <c r="H481" s="529">
        <f t="shared" si="17"/>
        <v>200864.87999999998</v>
      </c>
      <c r="I481" s="755">
        <v>190</v>
      </c>
      <c r="J481" s="340">
        <f t="shared" si="18"/>
        <v>216</v>
      </c>
      <c r="K481" s="685" t="str">
        <f>UPPER((TEXT(Tabla5[[#This Row],[FECHA]],"MMM")))</f>
        <v>SEP</v>
      </c>
      <c r="L481" s="780">
        <f>YEAR(Tabla5[[#This Row],[FECHA]])</f>
        <v>2024</v>
      </c>
      <c r="M481" s="749">
        <v>287</v>
      </c>
      <c r="N481" s="441" t="s">
        <v>676</v>
      </c>
      <c r="O481" s="441" t="s">
        <v>712</v>
      </c>
      <c r="P481" s="441" t="s">
        <v>110</v>
      </c>
    </row>
    <row r="482" spans="1:16" ht="13.8">
      <c r="A482" s="754">
        <v>45549</v>
      </c>
      <c r="B482" s="755" t="s">
        <v>263</v>
      </c>
      <c r="C482" s="755" t="s">
        <v>264</v>
      </c>
      <c r="D482" s="755" t="s">
        <v>440</v>
      </c>
      <c r="E482" s="755">
        <v>96</v>
      </c>
      <c r="F482" s="755">
        <v>11</v>
      </c>
      <c r="G482" s="756">
        <v>929.93</v>
      </c>
      <c r="H482" s="529">
        <f t="shared" si="17"/>
        <v>982006.08</v>
      </c>
      <c r="I482" s="755">
        <v>514</v>
      </c>
      <c r="J482" s="340">
        <f t="shared" si="18"/>
        <v>1056</v>
      </c>
      <c r="K482" s="685" t="str">
        <f>UPPER((TEXT(Tabla5[[#This Row],[FECHA]],"MMM")))</f>
        <v>SEP</v>
      </c>
      <c r="L482" s="780">
        <f>YEAR(Tabla5[[#This Row],[FECHA]])</f>
        <v>2024</v>
      </c>
      <c r="M482" s="749">
        <v>287</v>
      </c>
      <c r="N482" s="441" t="s">
        <v>678</v>
      </c>
      <c r="O482" s="441" t="s">
        <v>713</v>
      </c>
      <c r="P482" s="441" t="s">
        <v>110</v>
      </c>
    </row>
    <row r="483" spans="1:16" ht="13.8">
      <c r="A483" s="754">
        <v>45550</v>
      </c>
      <c r="B483" s="755" t="s">
        <v>256</v>
      </c>
      <c r="C483" s="755" t="s">
        <v>257</v>
      </c>
      <c r="D483" s="755" t="s">
        <v>440</v>
      </c>
      <c r="E483" s="755">
        <v>96</v>
      </c>
      <c r="F483" s="755">
        <v>16</v>
      </c>
      <c r="G483" s="756">
        <v>929.93</v>
      </c>
      <c r="H483" s="529">
        <f t="shared" si="17"/>
        <v>1428372.48</v>
      </c>
      <c r="I483" s="755">
        <v>1244</v>
      </c>
      <c r="J483" s="340">
        <f t="shared" si="18"/>
        <v>1536</v>
      </c>
      <c r="K483" s="685" t="str">
        <f>UPPER((TEXT(Tabla5[[#This Row],[FECHA]],"MMM")))</f>
        <v>SEP</v>
      </c>
      <c r="L483" s="780">
        <f>YEAR(Tabla5[[#This Row],[FECHA]])</f>
        <v>2024</v>
      </c>
      <c r="M483" s="749">
        <v>287</v>
      </c>
      <c r="N483" s="441" t="s">
        <v>678</v>
      </c>
      <c r="O483" s="441" t="s">
        <v>713</v>
      </c>
      <c r="P483" s="441" t="s">
        <v>110</v>
      </c>
    </row>
    <row r="484" spans="1:16" ht="13.8">
      <c r="A484" s="754">
        <v>45551</v>
      </c>
      <c r="B484" s="755" t="s">
        <v>582</v>
      </c>
      <c r="C484" s="755" t="s">
        <v>583</v>
      </c>
      <c r="D484" s="755" t="s">
        <v>260</v>
      </c>
      <c r="E484" s="755">
        <v>58</v>
      </c>
      <c r="F484" s="755">
        <v>4</v>
      </c>
      <c r="G484" s="756">
        <v>929.93</v>
      </c>
      <c r="H484" s="529">
        <f t="shared" si="17"/>
        <v>215743.75999999998</v>
      </c>
      <c r="I484" s="755">
        <v>181</v>
      </c>
      <c r="J484" s="340">
        <f t="shared" si="18"/>
        <v>232</v>
      </c>
      <c r="K484" s="685" t="str">
        <f>UPPER((TEXT(Tabla5[[#This Row],[FECHA]],"MMM")))</f>
        <v>SEP</v>
      </c>
      <c r="L484" s="780">
        <f>YEAR(Tabla5[[#This Row],[FECHA]])</f>
        <v>2024</v>
      </c>
      <c r="M484" s="749">
        <v>287</v>
      </c>
      <c r="N484" s="441" t="s">
        <v>679</v>
      </c>
      <c r="O484" s="441" t="s">
        <v>712</v>
      </c>
      <c r="P484" s="441" t="s">
        <v>110</v>
      </c>
    </row>
    <row r="485" spans="1:16" ht="13.8">
      <c r="A485" s="754">
        <v>45551</v>
      </c>
      <c r="B485" s="755" t="s">
        <v>263</v>
      </c>
      <c r="C485" s="755" t="s">
        <v>264</v>
      </c>
      <c r="D485" s="755" t="s">
        <v>491</v>
      </c>
      <c r="E485" s="755">
        <v>76</v>
      </c>
      <c r="F485" s="755">
        <v>9</v>
      </c>
      <c r="G485" s="756">
        <v>929.93</v>
      </c>
      <c r="H485" s="529">
        <f t="shared" si="17"/>
        <v>636072.12</v>
      </c>
      <c r="I485" s="755">
        <v>943</v>
      </c>
      <c r="J485" s="340">
        <f t="shared" si="18"/>
        <v>684</v>
      </c>
      <c r="K485" s="685" t="str">
        <f>UPPER((TEXT(Tabla5[[#This Row],[FECHA]],"MMM")))</f>
        <v>SEP</v>
      </c>
      <c r="L485" s="780">
        <f>YEAR(Tabla5[[#This Row],[FECHA]])</f>
        <v>2024</v>
      </c>
      <c r="M485" s="749">
        <v>287</v>
      </c>
      <c r="N485" s="441" t="s">
        <v>676</v>
      </c>
      <c r="O485" s="441" t="s">
        <v>712</v>
      </c>
      <c r="P485" s="441" t="s">
        <v>110</v>
      </c>
    </row>
    <row r="486" spans="1:16" ht="13.8">
      <c r="A486" s="754">
        <v>45551</v>
      </c>
      <c r="B486" s="755" t="s">
        <v>584</v>
      </c>
      <c r="C486" s="755" t="s">
        <v>585</v>
      </c>
      <c r="D486" s="755" t="s">
        <v>260</v>
      </c>
      <c r="E486" s="755">
        <v>58</v>
      </c>
      <c r="F486" s="755">
        <v>4</v>
      </c>
      <c r="G486" s="756">
        <v>929.93</v>
      </c>
      <c r="H486" s="529">
        <f t="shared" si="17"/>
        <v>215743.75999999998</v>
      </c>
      <c r="I486" s="755">
        <v>388</v>
      </c>
      <c r="J486" s="340">
        <f t="shared" si="18"/>
        <v>232</v>
      </c>
      <c r="K486" s="685" t="str">
        <f>UPPER((TEXT(Tabla5[[#This Row],[FECHA]],"MMM")))</f>
        <v>SEP</v>
      </c>
      <c r="L486" s="780">
        <f>YEAR(Tabla5[[#This Row],[FECHA]])</f>
        <v>2024</v>
      </c>
      <c r="M486" s="749">
        <v>287</v>
      </c>
      <c r="N486" s="441" t="s">
        <v>680</v>
      </c>
      <c r="O486" s="441" t="s">
        <v>712</v>
      </c>
      <c r="P486" s="441" t="s">
        <v>110</v>
      </c>
    </row>
    <row r="487" spans="1:16" ht="13.8">
      <c r="A487" s="754">
        <v>45552</v>
      </c>
      <c r="B487" s="755" t="s">
        <v>582</v>
      </c>
      <c r="C487" s="755" t="s">
        <v>586</v>
      </c>
      <c r="D487" s="755" t="s">
        <v>260</v>
      </c>
      <c r="E487" s="755">
        <v>58</v>
      </c>
      <c r="F487" s="755">
        <v>4</v>
      </c>
      <c r="G487" s="756">
        <v>929.93</v>
      </c>
      <c r="H487" s="529">
        <f t="shared" si="17"/>
        <v>215743.75999999998</v>
      </c>
      <c r="I487" s="755">
        <v>195</v>
      </c>
      <c r="J487" s="340">
        <f t="shared" si="18"/>
        <v>232</v>
      </c>
      <c r="K487" s="685" t="str">
        <f>UPPER((TEXT(Tabla5[[#This Row],[FECHA]],"MMM")))</f>
        <v>SEP</v>
      </c>
      <c r="L487" s="780">
        <f>YEAR(Tabla5[[#This Row],[FECHA]])</f>
        <v>2024</v>
      </c>
      <c r="M487" s="749">
        <v>287</v>
      </c>
      <c r="N487" s="441" t="s">
        <v>679</v>
      </c>
      <c r="O487" s="441" t="s">
        <v>712</v>
      </c>
      <c r="P487" s="441" t="s">
        <v>110</v>
      </c>
    </row>
    <row r="488" spans="1:16" ht="13.8">
      <c r="A488" s="754">
        <v>45552</v>
      </c>
      <c r="B488" s="755" t="s">
        <v>263</v>
      </c>
      <c r="C488" s="755" t="s">
        <v>264</v>
      </c>
      <c r="D488" s="755" t="s">
        <v>491</v>
      </c>
      <c r="E488" s="755">
        <v>76</v>
      </c>
      <c r="F488" s="755">
        <v>9</v>
      </c>
      <c r="G488" s="756">
        <v>929.93</v>
      </c>
      <c r="H488" s="529">
        <f t="shared" si="17"/>
        <v>636072.12</v>
      </c>
      <c r="I488" s="755">
        <v>1237</v>
      </c>
      <c r="J488" s="340">
        <f t="shared" si="18"/>
        <v>684</v>
      </c>
      <c r="K488" s="685" t="str">
        <f>UPPER((TEXT(Tabla5[[#This Row],[FECHA]],"MMM")))</f>
        <v>SEP</v>
      </c>
      <c r="L488" s="780">
        <f>YEAR(Tabla5[[#This Row],[FECHA]])</f>
        <v>2024</v>
      </c>
      <c r="M488" s="749">
        <v>287</v>
      </c>
      <c r="N488" s="441" t="s">
        <v>676</v>
      </c>
      <c r="O488" s="441" t="s">
        <v>712</v>
      </c>
      <c r="P488" s="441" t="s">
        <v>110</v>
      </c>
    </row>
    <row r="489" spans="1:16" ht="13.8">
      <c r="A489" s="754">
        <v>45552</v>
      </c>
      <c r="B489" s="755" t="s">
        <v>587</v>
      </c>
      <c r="C489" s="755" t="s">
        <v>588</v>
      </c>
      <c r="D489" s="755" t="s">
        <v>260</v>
      </c>
      <c r="E489" s="755">
        <v>58</v>
      </c>
      <c r="F489" s="755">
        <v>5</v>
      </c>
      <c r="G489" s="756">
        <v>929.93</v>
      </c>
      <c r="H489" s="529">
        <f t="shared" si="17"/>
        <v>269679.7</v>
      </c>
      <c r="I489" s="755">
        <v>679</v>
      </c>
      <c r="J489" s="340">
        <f t="shared" si="18"/>
        <v>290</v>
      </c>
      <c r="K489" s="685" t="str">
        <f>UPPER((TEXT(Tabla5[[#This Row],[FECHA]],"MMM")))</f>
        <v>SEP</v>
      </c>
      <c r="L489" s="780">
        <f>YEAR(Tabla5[[#This Row],[FECHA]])</f>
        <v>2024</v>
      </c>
      <c r="M489" s="749">
        <v>287</v>
      </c>
      <c r="N489" s="441" t="s">
        <v>680</v>
      </c>
      <c r="O489" s="441" t="s">
        <v>712</v>
      </c>
      <c r="P489" s="441" t="s">
        <v>110</v>
      </c>
    </row>
    <row r="490" spans="1:16" ht="13.8">
      <c r="A490" s="754">
        <v>45553</v>
      </c>
      <c r="B490" s="755" t="s">
        <v>550</v>
      </c>
      <c r="C490" s="755" t="s">
        <v>589</v>
      </c>
      <c r="D490" s="755" t="s">
        <v>260</v>
      </c>
      <c r="E490" s="755">
        <v>58</v>
      </c>
      <c r="F490" s="755">
        <v>4</v>
      </c>
      <c r="G490" s="756">
        <v>929.93</v>
      </c>
      <c r="H490" s="529">
        <f t="shared" si="17"/>
        <v>215743.75999999998</v>
      </c>
      <c r="I490" s="755">
        <v>194</v>
      </c>
      <c r="J490" s="340">
        <f t="shared" si="18"/>
        <v>232</v>
      </c>
      <c r="K490" s="685" t="str">
        <f>UPPER((TEXT(Tabla5[[#This Row],[FECHA]],"MMM")))</f>
        <v>SEP</v>
      </c>
      <c r="L490" s="780">
        <f>YEAR(Tabla5[[#This Row],[FECHA]])</f>
        <v>2024</v>
      </c>
      <c r="M490" s="749">
        <v>287</v>
      </c>
      <c r="N490" s="441" t="s">
        <v>679</v>
      </c>
      <c r="O490" s="441" t="s">
        <v>712</v>
      </c>
      <c r="P490" s="441" t="s">
        <v>110</v>
      </c>
    </row>
    <row r="491" spans="1:16" ht="13.8">
      <c r="A491" s="754">
        <v>45553</v>
      </c>
      <c r="B491" s="755" t="s">
        <v>263</v>
      </c>
      <c r="C491" s="755" t="s">
        <v>264</v>
      </c>
      <c r="D491" s="755" t="s">
        <v>491</v>
      </c>
      <c r="E491" s="755">
        <v>76</v>
      </c>
      <c r="F491" s="755">
        <v>9</v>
      </c>
      <c r="G491" s="756">
        <v>929.93</v>
      </c>
      <c r="H491" s="529">
        <f t="shared" ref="H491:H520" si="19">E491*F491*G491</f>
        <v>636072.12</v>
      </c>
      <c r="I491" s="755">
        <v>1360</v>
      </c>
      <c r="J491" s="340">
        <f t="shared" si="18"/>
        <v>684</v>
      </c>
      <c r="K491" s="685" t="str">
        <f>UPPER((TEXT(Tabla5[[#This Row],[FECHA]],"MMM")))</f>
        <v>SEP</v>
      </c>
      <c r="L491" s="780">
        <f>YEAR(Tabla5[[#This Row],[FECHA]])</f>
        <v>2024</v>
      </c>
      <c r="M491" s="749">
        <v>287</v>
      </c>
      <c r="N491" s="441" t="s">
        <v>676</v>
      </c>
      <c r="O491" s="441" t="s">
        <v>712</v>
      </c>
      <c r="P491" s="441" t="s">
        <v>110</v>
      </c>
    </row>
    <row r="492" spans="1:16" ht="13.8">
      <c r="A492" s="754">
        <v>45553</v>
      </c>
      <c r="B492" s="755" t="s">
        <v>587</v>
      </c>
      <c r="C492" s="755" t="s">
        <v>588</v>
      </c>
      <c r="D492" s="755" t="s">
        <v>260</v>
      </c>
      <c r="E492" s="755">
        <v>58</v>
      </c>
      <c r="F492" s="755">
        <v>6</v>
      </c>
      <c r="G492" s="756">
        <v>929.93</v>
      </c>
      <c r="H492" s="529">
        <f t="shared" si="19"/>
        <v>323615.63999999996</v>
      </c>
      <c r="I492" s="755">
        <v>610</v>
      </c>
      <c r="J492" s="340">
        <f t="shared" si="18"/>
        <v>348</v>
      </c>
      <c r="K492" s="685" t="str">
        <f>UPPER((TEXT(Tabla5[[#This Row],[FECHA]],"MMM")))</f>
        <v>SEP</v>
      </c>
      <c r="L492" s="780">
        <f>YEAR(Tabla5[[#This Row],[FECHA]])</f>
        <v>2024</v>
      </c>
      <c r="M492" s="749">
        <v>287</v>
      </c>
      <c r="N492" s="441" t="s">
        <v>680</v>
      </c>
      <c r="O492" s="441" t="s">
        <v>712</v>
      </c>
      <c r="P492" s="441" t="s">
        <v>110</v>
      </c>
    </row>
    <row r="493" spans="1:16" ht="13.8">
      <c r="A493" s="754">
        <v>45554</v>
      </c>
      <c r="B493" s="755" t="s">
        <v>550</v>
      </c>
      <c r="C493" s="755" t="s">
        <v>589</v>
      </c>
      <c r="D493" s="755" t="s">
        <v>260</v>
      </c>
      <c r="E493" s="755">
        <v>58</v>
      </c>
      <c r="F493" s="755">
        <v>4</v>
      </c>
      <c r="G493" s="756">
        <v>929.93</v>
      </c>
      <c r="H493" s="529">
        <f t="shared" si="19"/>
        <v>215743.75999999998</v>
      </c>
      <c r="I493" s="755">
        <v>120</v>
      </c>
      <c r="J493" s="340">
        <f t="shared" si="18"/>
        <v>232</v>
      </c>
      <c r="K493" s="685" t="str">
        <f>UPPER((TEXT(Tabla5[[#This Row],[FECHA]],"MMM")))</f>
        <v>SEP</v>
      </c>
      <c r="L493" s="780">
        <f>YEAR(Tabla5[[#This Row],[FECHA]])</f>
        <v>2024</v>
      </c>
      <c r="M493" s="749">
        <v>287</v>
      </c>
      <c r="N493" s="441" t="s">
        <v>679</v>
      </c>
      <c r="O493" s="441" t="s">
        <v>712</v>
      </c>
      <c r="P493" s="441" t="s">
        <v>110</v>
      </c>
    </row>
    <row r="494" spans="1:16" ht="13.8">
      <c r="A494" s="754">
        <v>45554</v>
      </c>
      <c r="B494" s="755" t="s">
        <v>263</v>
      </c>
      <c r="C494" s="755" t="s">
        <v>257</v>
      </c>
      <c r="D494" s="755" t="s">
        <v>491</v>
      </c>
      <c r="E494" s="755">
        <v>76</v>
      </c>
      <c r="F494" s="755">
        <v>9</v>
      </c>
      <c r="G494" s="756">
        <v>929.93</v>
      </c>
      <c r="H494" s="529">
        <f t="shared" si="19"/>
        <v>636072.12</v>
      </c>
      <c r="I494" s="755">
        <v>852</v>
      </c>
      <c r="J494" s="340">
        <f t="shared" si="18"/>
        <v>684</v>
      </c>
      <c r="K494" s="685" t="str">
        <f>UPPER((TEXT(Tabla5[[#This Row],[FECHA]],"MMM")))</f>
        <v>SEP</v>
      </c>
      <c r="L494" s="780">
        <f>YEAR(Tabla5[[#This Row],[FECHA]])</f>
        <v>2024</v>
      </c>
      <c r="M494" s="749">
        <v>287</v>
      </c>
      <c r="N494" s="441" t="s">
        <v>676</v>
      </c>
      <c r="O494" s="441" t="s">
        <v>712</v>
      </c>
      <c r="P494" s="441" t="s">
        <v>110</v>
      </c>
    </row>
    <row r="495" spans="1:16" ht="13.8">
      <c r="A495" s="754">
        <v>45554</v>
      </c>
      <c r="B495" s="755" t="s">
        <v>587</v>
      </c>
      <c r="C495" s="755" t="s">
        <v>588</v>
      </c>
      <c r="D495" s="755" t="s">
        <v>260</v>
      </c>
      <c r="E495" s="755">
        <v>58</v>
      </c>
      <c r="F495" s="755">
        <v>5</v>
      </c>
      <c r="G495" s="756">
        <v>929.93</v>
      </c>
      <c r="H495" s="529">
        <f t="shared" si="19"/>
        <v>269679.7</v>
      </c>
      <c r="I495" s="755">
        <v>514</v>
      </c>
      <c r="J495" s="340">
        <f t="shared" si="18"/>
        <v>290</v>
      </c>
      <c r="K495" s="685" t="str">
        <f>UPPER((TEXT(Tabla5[[#This Row],[FECHA]],"MMM")))</f>
        <v>SEP</v>
      </c>
      <c r="L495" s="780">
        <f>YEAR(Tabla5[[#This Row],[FECHA]])</f>
        <v>2024</v>
      </c>
      <c r="M495" s="749">
        <v>287</v>
      </c>
      <c r="N495" s="441" t="s">
        <v>680</v>
      </c>
      <c r="O495" s="441" t="s">
        <v>712</v>
      </c>
      <c r="P495" s="441" t="s">
        <v>110</v>
      </c>
    </row>
    <row r="496" spans="1:16" ht="13.8">
      <c r="A496" s="754">
        <v>45555</v>
      </c>
      <c r="B496" s="755" t="s">
        <v>550</v>
      </c>
      <c r="C496" s="755" t="s">
        <v>589</v>
      </c>
      <c r="D496" s="755" t="s">
        <v>260</v>
      </c>
      <c r="E496" s="755">
        <v>58</v>
      </c>
      <c r="F496" s="755">
        <v>4</v>
      </c>
      <c r="G496" s="756">
        <v>929.93</v>
      </c>
      <c r="H496" s="529">
        <f t="shared" si="19"/>
        <v>215743.75999999998</v>
      </c>
      <c r="I496" s="755">
        <v>122</v>
      </c>
      <c r="J496" s="340">
        <f t="shared" si="18"/>
        <v>232</v>
      </c>
      <c r="K496" s="685" t="str">
        <f>UPPER((TEXT(Tabla5[[#This Row],[FECHA]],"MMM")))</f>
        <v>SEP</v>
      </c>
      <c r="L496" s="780">
        <f>YEAR(Tabla5[[#This Row],[FECHA]])</f>
        <v>2024</v>
      </c>
      <c r="M496" s="749">
        <v>287</v>
      </c>
      <c r="N496" s="441" t="s">
        <v>679</v>
      </c>
      <c r="O496" s="441" t="s">
        <v>712</v>
      </c>
      <c r="P496" s="441" t="s">
        <v>110</v>
      </c>
    </row>
    <row r="497" spans="1:16" ht="13.8">
      <c r="A497" s="754">
        <v>45555</v>
      </c>
      <c r="B497" s="755" t="s">
        <v>287</v>
      </c>
      <c r="C497" s="755" t="s">
        <v>290</v>
      </c>
      <c r="D497" s="755" t="s">
        <v>491</v>
      </c>
      <c r="E497" s="755">
        <v>76</v>
      </c>
      <c r="F497" s="755">
        <v>10</v>
      </c>
      <c r="G497" s="756">
        <v>929.93</v>
      </c>
      <c r="H497" s="529">
        <f t="shared" si="19"/>
        <v>706746.79999999993</v>
      </c>
      <c r="I497" s="755">
        <v>1238</v>
      </c>
      <c r="J497" s="340">
        <f t="shared" si="18"/>
        <v>760</v>
      </c>
      <c r="K497" s="685" t="str">
        <f>UPPER((TEXT(Tabla5[[#This Row],[FECHA]],"MMM")))</f>
        <v>SEP</v>
      </c>
      <c r="L497" s="780">
        <f>YEAR(Tabla5[[#This Row],[FECHA]])</f>
        <v>2024</v>
      </c>
      <c r="M497" s="749">
        <v>287</v>
      </c>
      <c r="N497" s="441" t="s">
        <v>676</v>
      </c>
      <c r="O497" s="441" t="s">
        <v>712</v>
      </c>
      <c r="P497" s="441" t="s">
        <v>110</v>
      </c>
    </row>
    <row r="498" spans="1:16" ht="13.8">
      <c r="A498" s="754">
        <v>45555</v>
      </c>
      <c r="B498" s="755" t="s">
        <v>590</v>
      </c>
      <c r="C498" s="755" t="s">
        <v>591</v>
      </c>
      <c r="D498" s="755" t="s">
        <v>260</v>
      </c>
      <c r="E498" s="755">
        <v>58</v>
      </c>
      <c r="F498" s="755">
        <v>6</v>
      </c>
      <c r="G498" s="756">
        <v>929.93</v>
      </c>
      <c r="H498" s="529">
        <f t="shared" si="19"/>
        <v>323615.63999999996</v>
      </c>
      <c r="I498" s="755">
        <v>500</v>
      </c>
      <c r="J498" s="340">
        <f t="shared" si="18"/>
        <v>348</v>
      </c>
      <c r="K498" s="685" t="str">
        <f>UPPER((TEXT(Tabla5[[#This Row],[FECHA]],"MMM")))</f>
        <v>SEP</v>
      </c>
      <c r="L498" s="780">
        <f>YEAR(Tabla5[[#This Row],[FECHA]])</f>
        <v>2024</v>
      </c>
      <c r="M498" s="749">
        <v>287</v>
      </c>
      <c r="N498" s="441" t="s">
        <v>680</v>
      </c>
      <c r="O498" s="441" t="s">
        <v>712</v>
      </c>
      <c r="P498" s="441" t="s">
        <v>110</v>
      </c>
    </row>
    <row r="499" spans="1:16" ht="13.8">
      <c r="A499" s="754">
        <v>45556</v>
      </c>
      <c r="B499" s="755" t="s">
        <v>261</v>
      </c>
      <c r="C499" s="755" t="s">
        <v>275</v>
      </c>
      <c r="D499" s="755" t="s">
        <v>491</v>
      </c>
      <c r="E499" s="755">
        <v>76</v>
      </c>
      <c r="F499" s="755">
        <v>4</v>
      </c>
      <c r="G499" s="756">
        <v>929.93</v>
      </c>
      <c r="H499" s="529">
        <f t="shared" si="19"/>
        <v>282698.71999999997</v>
      </c>
      <c r="I499" s="755">
        <v>331</v>
      </c>
      <c r="J499" s="340">
        <f t="shared" si="18"/>
        <v>304</v>
      </c>
      <c r="K499" s="685" t="str">
        <f>UPPER((TEXT(Tabla5[[#This Row],[FECHA]],"MMM")))</f>
        <v>SEP</v>
      </c>
      <c r="L499" s="780">
        <f>YEAR(Tabla5[[#This Row],[FECHA]])</f>
        <v>2024</v>
      </c>
      <c r="M499" s="749">
        <v>287</v>
      </c>
      <c r="N499" s="441" t="s">
        <v>676</v>
      </c>
      <c r="O499" s="441" t="s">
        <v>712</v>
      </c>
      <c r="P499" s="441" t="s">
        <v>110</v>
      </c>
    </row>
    <row r="500" spans="1:16" ht="13.8">
      <c r="A500" s="754">
        <v>45556</v>
      </c>
      <c r="B500" s="755" t="s">
        <v>263</v>
      </c>
      <c r="C500" s="755" t="s">
        <v>283</v>
      </c>
      <c r="D500" s="755" t="s">
        <v>440</v>
      </c>
      <c r="E500" s="755">
        <v>96</v>
      </c>
      <c r="F500" s="755">
        <v>17</v>
      </c>
      <c r="G500" s="756">
        <v>929.93</v>
      </c>
      <c r="H500" s="529">
        <f t="shared" si="19"/>
        <v>1517645.76</v>
      </c>
      <c r="I500" s="755">
        <v>1196</v>
      </c>
      <c r="J500" s="340">
        <f t="shared" si="18"/>
        <v>1632</v>
      </c>
      <c r="K500" s="685" t="str">
        <f>UPPER((TEXT(Tabla5[[#This Row],[FECHA]],"MMM")))</f>
        <v>SEP</v>
      </c>
      <c r="L500" s="780">
        <f>YEAR(Tabla5[[#This Row],[FECHA]])</f>
        <v>2024</v>
      </c>
      <c r="M500" s="749">
        <v>287</v>
      </c>
      <c r="N500" s="441" t="s">
        <v>678</v>
      </c>
      <c r="O500" s="441" t="s">
        <v>713</v>
      </c>
      <c r="P500" s="441" t="s">
        <v>110</v>
      </c>
    </row>
    <row r="501" spans="1:16" ht="13.8">
      <c r="A501" s="754">
        <v>45557</v>
      </c>
      <c r="B501" s="755" t="s">
        <v>277</v>
      </c>
      <c r="C501" s="755" t="s">
        <v>264</v>
      </c>
      <c r="D501" s="755" t="s">
        <v>440</v>
      </c>
      <c r="E501" s="755">
        <v>96</v>
      </c>
      <c r="F501" s="755">
        <v>13</v>
      </c>
      <c r="G501" s="756">
        <v>929.93</v>
      </c>
      <c r="H501" s="529">
        <f t="shared" si="19"/>
        <v>1160552.6399999999</v>
      </c>
      <c r="I501" s="755">
        <v>880</v>
      </c>
      <c r="J501" s="340">
        <f t="shared" si="18"/>
        <v>1248</v>
      </c>
      <c r="K501" s="685" t="str">
        <f>UPPER((TEXT(Tabla5[[#This Row],[FECHA]],"MMM")))</f>
        <v>SEP</v>
      </c>
      <c r="L501" s="780">
        <f>YEAR(Tabla5[[#This Row],[FECHA]])</f>
        <v>2024</v>
      </c>
      <c r="M501" s="749">
        <v>287</v>
      </c>
      <c r="N501" s="441" t="s">
        <v>678</v>
      </c>
      <c r="O501" s="441" t="s">
        <v>713</v>
      </c>
      <c r="P501" s="441" t="s">
        <v>110</v>
      </c>
    </row>
    <row r="502" spans="1:16" ht="13.8">
      <c r="A502" s="754">
        <v>45558</v>
      </c>
      <c r="B502" s="755" t="s">
        <v>582</v>
      </c>
      <c r="C502" s="755" t="s">
        <v>586</v>
      </c>
      <c r="D502" s="755" t="s">
        <v>260</v>
      </c>
      <c r="E502" s="755">
        <v>58</v>
      </c>
      <c r="F502" s="755">
        <v>4</v>
      </c>
      <c r="G502" s="756">
        <v>929.93</v>
      </c>
      <c r="H502" s="529">
        <f t="shared" si="19"/>
        <v>215743.75999999998</v>
      </c>
      <c r="I502" s="755">
        <v>183</v>
      </c>
      <c r="J502" s="340">
        <f t="shared" si="18"/>
        <v>232</v>
      </c>
      <c r="K502" s="685" t="str">
        <f>UPPER((TEXT(Tabla5[[#This Row],[FECHA]],"MMM")))</f>
        <v>SEP</v>
      </c>
      <c r="L502" s="780">
        <f>YEAR(Tabla5[[#This Row],[FECHA]])</f>
        <v>2024</v>
      </c>
      <c r="M502" s="749">
        <v>287</v>
      </c>
      <c r="N502" s="441" t="s">
        <v>679</v>
      </c>
      <c r="O502" s="441" t="s">
        <v>712</v>
      </c>
      <c r="P502" s="441" t="s">
        <v>110</v>
      </c>
    </row>
    <row r="503" spans="1:16" ht="13.8">
      <c r="A503" s="754">
        <v>45558</v>
      </c>
      <c r="B503" s="755" t="s">
        <v>263</v>
      </c>
      <c r="C503" s="755" t="s">
        <v>264</v>
      </c>
      <c r="D503" s="755" t="s">
        <v>491</v>
      </c>
      <c r="E503" s="755">
        <v>76</v>
      </c>
      <c r="F503" s="755">
        <v>10</v>
      </c>
      <c r="G503" s="756">
        <v>929.93</v>
      </c>
      <c r="H503" s="529">
        <f t="shared" si="19"/>
        <v>706746.79999999993</v>
      </c>
      <c r="I503" s="755">
        <v>943</v>
      </c>
      <c r="J503" s="340">
        <f t="shared" si="18"/>
        <v>760</v>
      </c>
      <c r="K503" s="685" t="str">
        <f>UPPER((TEXT(Tabla5[[#This Row],[FECHA]],"MMM")))</f>
        <v>SEP</v>
      </c>
      <c r="L503" s="780">
        <f>YEAR(Tabla5[[#This Row],[FECHA]])</f>
        <v>2024</v>
      </c>
      <c r="M503" s="749">
        <v>287</v>
      </c>
      <c r="N503" s="441" t="s">
        <v>676</v>
      </c>
      <c r="O503" s="441" t="s">
        <v>712</v>
      </c>
      <c r="P503" s="441" t="s">
        <v>110</v>
      </c>
    </row>
    <row r="504" spans="1:16" ht="13.8">
      <c r="A504" s="754">
        <v>45558</v>
      </c>
      <c r="B504" s="755" t="s">
        <v>592</v>
      </c>
      <c r="C504" s="755" t="s">
        <v>593</v>
      </c>
      <c r="D504" s="755" t="s">
        <v>260</v>
      </c>
      <c r="E504" s="755">
        <v>58</v>
      </c>
      <c r="F504" s="755">
        <v>4</v>
      </c>
      <c r="G504" s="756">
        <v>929.93</v>
      </c>
      <c r="H504" s="529">
        <f t="shared" si="19"/>
        <v>215743.75999999998</v>
      </c>
      <c r="I504" s="755">
        <v>396</v>
      </c>
      <c r="J504" s="340">
        <f t="shared" si="18"/>
        <v>232</v>
      </c>
      <c r="K504" s="685" t="str">
        <f>UPPER((TEXT(Tabla5[[#This Row],[FECHA]],"MMM")))</f>
        <v>SEP</v>
      </c>
      <c r="L504" s="780">
        <f>YEAR(Tabla5[[#This Row],[FECHA]])</f>
        <v>2024</v>
      </c>
      <c r="M504" s="749">
        <v>287</v>
      </c>
      <c r="N504" s="441" t="s">
        <v>680</v>
      </c>
      <c r="O504" s="441" t="s">
        <v>712</v>
      </c>
      <c r="P504" s="441" t="s">
        <v>110</v>
      </c>
    </row>
    <row r="505" spans="1:16" ht="13.8">
      <c r="A505" s="754">
        <v>45559</v>
      </c>
      <c r="B505" s="755" t="s">
        <v>582</v>
      </c>
      <c r="C505" s="755" t="s">
        <v>586</v>
      </c>
      <c r="D505" s="755" t="s">
        <v>260</v>
      </c>
      <c r="E505" s="755">
        <v>58</v>
      </c>
      <c r="F505" s="755">
        <v>4</v>
      </c>
      <c r="G505" s="756">
        <v>929.93</v>
      </c>
      <c r="H505" s="529">
        <f t="shared" si="19"/>
        <v>215743.75999999998</v>
      </c>
      <c r="I505" s="755">
        <v>188</v>
      </c>
      <c r="J505" s="340">
        <f t="shared" si="18"/>
        <v>232</v>
      </c>
      <c r="K505" s="685" t="str">
        <f>UPPER((TEXT(Tabla5[[#This Row],[FECHA]],"MMM")))</f>
        <v>SEP</v>
      </c>
      <c r="L505" s="780">
        <f>YEAR(Tabla5[[#This Row],[FECHA]])</f>
        <v>2024</v>
      </c>
      <c r="M505" s="749">
        <v>287</v>
      </c>
      <c r="N505" s="441" t="s">
        <v>679</v>
      </c>
      <c r="O505" s="441" t="s">
        <v>712</v>
      </c>
      <c r="P505" s="441" t="s">
        <v>110</v>
      </c>
    </row>
    <row r="506" spans="1:16" ht="13.8">
      <c r="A506" s="754">
        <v>45559</v>
      </c>
      <c r="B506" s="755" t="s">
        <v>263</v>
      </c>
      <c r="C506" s="755" t="s">
        <v>264</v>
      </c>
      <c r="D506" s="755" t="s">
        <v>491</v>
      </c>
      <c r="E506" s="755">
        <v>76</v>
      </c>
      <c r="F506" s="755">
        <v>10</v>
      </c>
      <c r="G506" s="756">
        <v>929.93</v>
      </c>
      <c r="H506" s="529">
        <f t="shared" si="19"/>
        <v>706746.79999999993</v>
      </c>
      <c r="I506" s="755">
        <v>1210</v>
      </c>
      <c r="J506" s="340">
        <f t="shared" si="18"/>
        <v>760</v>
      </c>
      <c r="K506" s="685" t="str">
        <f>UPPER((TEXT(Tabla5[[#This Row],[FECHA]],"MMM")))</f>
        <v>SEP</v>
      </c>
      <c r="L506" s="780">
        <f>YEAR(Tabla5[[#This Row],[FECHA]])</f>
        <v>2024</v>
      </c>
      <c r="M506" s="749">
        <v>287</v>
      </c>
      <c r="N506" s="441" t="s">
        <v>676</v>
      </c>
      <c r="O506" s="441" t="s">
        <v>712</v>
      </c>
      <c r="P506" s="441" t="s">
        <v>110</v>
      </c>
    </row>
    <row r="507" spans="1:16" ht="13.8">
      <c r="A507" s="754">
        <v>45559</v>
      </c>
      <c r="B507" s="755" t="s">
        <v>403</v>
      </c>
      <c r="C507" s="755" t="s">
        <v>404</v>
      </c>
      <c r="D507" s="755" t="s">
        <v>260</v>
      </c>
      <c r="E507" s="755">
        <v>58</v>
      </c>
      <c r="F507" s="755">
        <v>5</v>
      </c>
      <c r="G507" s="756">
        <v>929.93</v>
      </c>
      <c r="H507" s="529">
        <f t="shared" si="19"/>
        <v>269679.7</v>
      </c>
      <c r="I507" s="755">
        <v>536</v>
      </c>
      <c r="J507" s="340">
        <f t="shared" si="18"/>
        <v>290</v>
      </c>
      <c r="K507" s="685" t="str">
        <f>UPPER((TEXT(Tabla5[[#This Row],[FECHA]],"MMM")))</f>
        <v>SEP</v>
      </c>
      <c r="L507" s="780">
        <f>YEAR(Tabla5[[#This Row],[FECHA]])</f>
        <v>2024</v>
      </c>
      <c r="M507" s="749">
        <v>287</v>
      </c>
      <c r="N507" s="441" t="s">
        <v>680</v>
      </c>
      <c r="O507" s="441" t="s">
        <v>712</v>
      </c>
      <c r="P507" s="441" t="s">
        <v>110</v>
      </c>
    </row>
    <row r="508" spans="1:16" ht="13.8">
      <c r="A508" s="754">
        <v>45560</v>
      </c>
      <c r="B508" s="755" t="s">
        <v>582</v>
      </c>
      <c r="C508" s="755" t="s">
        <v>586</v>
      </c>
      <c r="D508" s="755" t="s">
        <v>260</v>
      </c>
      <c r="E508" s="755">
        <v>58</v>
      </c>
      <c r="F508" s="755">
        <v>4</v>
      </c>
      <c r="G508" s="756">
        <v>929.93</v>
      </c>
      <c r="H508" s="529">
        <f t="shared" si="19"/>
        <v>215743.75999999998</v>
      </c>
      <c r="I508" s="755">
        <v>213</v>
      </c>
      <c r="J508" s="340">
        <f t="shared" si="18"/>
        <v>232</v>
      </c>
      <c r="K508" s="685" t="str">
        <f>UPPER((TEXT(Tabla5[[#This Row],[FECHA]],"MMM")))</f>
        <v>SEP</v>
      </c>
      <c r="L508" s="780">
        <f>YEAR(Tabla5[[#This Row],[FECHA]])</f>
        <v>2024</v>
      </c>
      <c r="M508" s="749">
        <v>287</v>
      </c>
      <c r="N508" s="441" t="s">
        <v>679</v>
      </c>
      <c r="O508" s="441" t="s">
        <v>712</v>
      </c>
      <c r="P508" s="441" t="s">
        <v>110</v>
      </c>
    </row>
    <row r="509" spans="1:16" ht="13.8">
      <c r="A509" s="754">
        <v>45560</v>
      </c>
      <c r="B509" s="755" t="s">
        <v>263</v>
      </c>
      <c r="C509" s="755" t="s">
        <v>264</v>
      </c>
      <c r="D509" s="755" t="s">
        <v>491</v>
      </c>
      <c r="E509" s="755">
        <v>76</v>
      </c>
      <c r="F509" s="755">
        <v>10</v>
      </c>
      <c r="G509" s="756">
        <v>929.93</v>
      </c>
      <c r="H509" s="529">
        <f t="shared" si="19"/>
        <v>706746.79999999993</v>
      </c>
      <c r="I509" s="755">
        <v>1360</v>
      </c>
      <c r="J509" s="340">
        <f t="shared" si="18"/>
        <v>760</v>
      </c>
      <c r="K509" s="685" t="str">
        <f>UPPER((TEXT(Tabla5[[#This Row],[FECHA]],"MMM")))</f>
        <v>SEP</v>
      </c>
      <c r="L509" s="780">
        <f>YEAR(Tabla5[[#This Row],[FECHA]])</f>
        <v>2024</v>
      </c>
      <c r="M509" s="749">
        <v>287</v>
      </c>
      <c r="N509" s="441" t="s">
        <v>676</v>
      </c>
      <c r="O509" s="441" t="s">
        <v>712</v>
      </c>
      <c r="P509" s="441" t="s">
        <v>110</v>
      </c>
    </row>
    <row r="510" spans="1:16" ht="13.8">
      <c r="A510" s="754">
        <v>45560</v>
      </c>
      <c r="B510" s="755" t="s">
        <v>403</v>
      </c>
      <c r="C510" s="755" t="s">
        <v>404</v>
      </c>
      <c r="D510" s="755" t="s">
        <v>260</v>
      </c>
      <c r="E510" s="755">
        <v>58</v>
      </c>
      <c r="F510" s="755">
        <v>6</v>
      </c>
      <c r="G510" s="756">
        <v>929.93</v>
      </c>
      <c r="H510" s="529">
        <f t="shared" si="19"/>
        <v>323615.63999999996</v>
      </c>
      <c r="I510" s="755">
        <v>609</v>
      </c>
      <c r="J510" s="340">
        <f>E510*F510</f>
        <v>348</v>
      </c>
      <c r="K510" s="685" t="str">
        <f>UPPER((TEXT(Tabla5[[#This Row],[FECHA]],"MMM")))</f>
        <v>SEP</v>
      </c>
      <c r="L510" s="780">
        <f>YEAR(Tabla5[[#This Row],[FECHA]])</f>
        <v>2024</v>
      </c>
      <c r="M510" s="749">
        <v>287</v>
      </c>
      <c r="N510" s="441" t="s">
        <v>680</v>
      </c>
      <c r="O510" s="441" t="s">
        <v>712</v>
      </c>
      <c r="P510" s="441" t="s">
        <v>110</v>
      </c>
    </row>
    <row r="511" spans="1:16" ht="13.8">
      <c r="A511" s="754">
        <v>45561</v>
      </c>
      <c r="B511" s="755" t="s">
        <v>582</v>
      </c>
      <c r="C511" s="755" t="s">
        <v>586</v>
      </c>
      <c r="D511" s="755" t="s">
        <v>260</v>
      </c>
      <c r="E511" s="755">
        <v>58</v>
      </c>
      <c r="F511" s="755">
        <v>4</v>
      </c>
      <c r="G511" s="756">
        <v>929.93</v>
      </c>
      <c r="H511" s="529">
        <f t="shared" si="19"/>
        <v>215743.75999999998</v>
      </c>
      <c r="I511" s="755">
        <v>235</v>
      </c>
      <c r="J511" s="340">
        <f t="shared" si="18"/>
        <v>232</v>
      </c>
      <c r="K511" s="685" t="str">
        <f>UPPER((TEXT(Tabla5[[#This Row],[FECHA]],"MMM")))</f>
        <v>SEP</v>
      </c>
      <c r="L511" s="780">
        <f>YEAR(Tabla5[[#This Row],[FECHA]])</f>
        <v>2024</v>
      </c>
      <c r="M511" s="749">
        <v>287</v>
      </c>
      <c r="N511" s="441" t="s">
        <v>679</v>
      </c>
      <c r="O511" s="441" t="s">
        <v>712</v>
      </c>
      <c r="P511" s="441" t="s">
        <v>110</v>
      </c>
    </row>
    <row r="512" spans="1:16" ht="13.8">
      <c r="A512" s="754">
        <v>45561</v>
      </c>
      <c r="B512" s="755" t="s">
        <v>263</v>
      </c>
      <c r="C512" s="755" t="s">
        <v>264</v>
      </c>
      <c r="D512" s="755" t="s">
        <v>491</v>
      </c>
      <c r="E512" s="755">
        <v>76</v>
      </c>
      <c r="F512" s="755">
        <v>10</v>
      </c>
      <c r="G512" s="756">
        <v>929.93</v>
      </c>
      <c r="H512" s="529">
        <f t="shared" si="19"/>
        <v>706746.79999999993</v>
      </c>
      <c r="I512" s="755">
        <v>831</v>
      </c>
      <c r="J512" s="340">
        <f t="shared" si="18"/>
        <v>760</v>
      </c>
      <c r="K512" s="685" t="str">
        <f>UPPER((TEXT(Tabla5[[#This Row],[FECHA]],"MMM")))</f>
        <v>SEP</v>
      </c>
      <c r="L512" s="780">
        <f>YEAR(Tabla5[[#This Row],[FECHA]])</f>
        <v>2024</v>
      </c>
      <c r="M512" s="749">
        <v>287</v>
      </c>
      <c r="N512" s="441" t="s">
        <v>676</v>
      </c>
      <c r="O512" s="441" t="s">
        <v>712</v>
      </c>
      <c r="P512" s="441" t="s">
        <v>110</v>
      </c>
    </row>
    <row r="513" spans="1:16" ht="13.8">
      <c r="A513" s="754">
        <v>45561</v>
      </c>
      <c r="B513" s="755" t="s">
        <v>403</v>
      </c>
      <c r="C513" s="755" t="s">
        <v>404</v>
      </c>
      <c r="D513" s="755" t="s">
        <v>260</v>
      </c>
      <c r="E513" s="755">
        <v>58</v>
      </c>
      <c r="F513" s="755">
        <v>5</v>
      </c>
      <c r="G513" s="756">
        <v>929.93</v>
      </c>
      <c r="H513" s="529">
        <f t="shared" si="19"/>
        <v>269679.7</v>
      </c>
      <c r="I513" s="755">
        <v>462</v>
      </c>
      <c r="J513" s="340">
        <f t="shared" si="18"/>
        <v>290</v>
      </c>
      <c r="K513" s="685" t="str">
        <f>UPPER((TEXT(Tabla5[[#This Row],[FECHA]],"MMM")))</f>
        <v>SEP</v>
      </c>
      <c r="L513" s="780">
        <f>YEAR(Tabla5[[#This Row],[FECHA]])</f>
        <v>2024</v>
      </c>
      <c r="M513" s="749">
        <v>287</v>
      </c>
      <c r="N513" s="441" t="s">
        <v>680</v>
      </c>
      <c r="O513" s="441" t="s">
        <v>712</v>
      </c>
      <c r="P513" s="441" t="s">
        <v>110</v>
      </c>
    </row>
    <row r="514" spans="1:16" ht="13.8">
      <c r="A514" s="754">
        <v>45562</v>
      </c>
      <c r="B514" s="755" t="s">
        <v>550</v>
      </c>
      <c r="C514" s="755" t="s">
        <v>589</v>
      </c>
      <c r="D514" s="755" t="s">
        <v>260</v>
      </c>
      <c r="E514" s="755">
        <v>58</v>
      </c>
      <c r="F514" s="755">
        <v>4</v>
      </c>
      <c r="G514" s="756">
        <v>929.93</v>
      </c>
      <c r="H514" s="529">
        <f t="shared" si="19"/>
        <v>215743.75999999998</v>
      </c>
      <c r="I514" s="755">
        <v>152</v>
      </c>
      <c r="J514" s="340">
        <f t="shared" si="18"/>
        <v>232</v>
      </c>
      <c r="K514" s="685" t="str">
        <f>UPPER((TEXT(Tabla5[[#This Row],[FECHA]],"MMM")))</f>
        <v>SEP</v>
      </c>
      <c r="L514" s="780">
        <f>YEAR(Tabla5[[#This Row],[FECHA]])</f>
        <v>2024</v>
      </c>
      <c r="M514" s="749">
        <v>287</v>
      </c>
      <c r="N514" s="441" t="s">
        <v>679</v>
      </c>
      <c r="O514" s="441" t="s">
        <v>712</v>
      </c>
      <c r="P514" s="441" t="s">
        <v>110</v>
      </c>
    </row>
    <row r="515" spans="1:16" ht="13.8">
      <c r="A515" s="754">
        <v>45562</v>
      </c>
      <c r="B515" s="755" t="s">
        <v>263</v>
      </c>
      <c r="C515" s="755" t="s">
        <v>264</v>
      </c>
      <c r="D515" s="755" t="s">
        <v>491</v>
      </c>
      <c r="E515" s="755">
        <v>76</v>
      </c>
      <c r="F515" s="755">
        <v>10</v>
      </c>
      <c r="G515" s="756">
        <v>929.93</v>
      </c>
      <c r="H515" s="529">
        <f t="shared" si="19"/>
        <v>706746.79999999993</v>
      </c>
      <c r="I515" s="755">
        <v>1304</v>
      </c>
      <c r="J515" s="340">
        <f t="shared" si="18"/>
        <v>760</v>
      </c>
      <c r="K515" s="685" t="str">
        <f>UPPER((TEXT(Tabla5[[#This Row],[FECHA]],"MMM")))</f>
        <v>SEP</v>
      </c>
      <c r="L515" s="780">
        <f>YEAR(Tabla5[[#This Row],[FECHA]])</f>
        <v>2024</v>
      </c>
      <c r="M515" s="749">
        <v>287</v>
      </c>
      <c r="N515" s="441" t="s">
        <v>676</v>
      </c>
      <c r="O515" s="441" t="s">
        <v>712</v>
      </c>
      <c r="P515" s="441" t="s">
        <v>110</v>
      </c>
    </row>
    <row r="516" spans="1:16" ht="13.8">
      <c r="A516" s="754">
        <v>45562</v>
      </c>
      <c r="B516" s="755" t="s">
        <v>267</v>
      </c>
      <c r="C516" s="755" t="s">
        <v>268</v>
      </c>
      <c r="D516" s="755" t="s">
        <v>260</v>
      </c>
      <c r="E516" s="755">
        <v>58</v>
      </c>
      <c r="F516" s="755">
        <v>6</v>
      </c>
      <c r="G516" s="756">
        <v>929.93</v>
      </c>
      <c r="H516" s="529">
        <f t="shared" si="19"/>
        <v>323615.63999999996</v>
      </c>
      <c r="I516" s="755">
        <v>647</v>
      </c>
      <c r="J516" s="340">
        <f>E516*F516</f>
        <v>348</v>
      </c>
      <c r="K516" s="685" t="str">
        <f>UPPER((TEXT(Tabla5[[#This Row],[FECHA]],"MMM")))</f>
        <v>SEP</v>
      </c>
      <c r="L516" s="780">
        <f>YEAR(Tabla5[[#This Row],[FECHA]])</f>
        <v>2024</v>
      </c>
      <c r="M516" s="749">
        <v>287</v>
      </c>
      <c r="N516" s="441" t="s">
        <v>680</v>
      </c>
      <c r="O516" s="441" t="s">
        <v>712</v>
      </c>
      <c r="P516" s="441" t="s">
        <v>110</v>
      </c>
    </row>
    <row r="517" spans="1:16" ht="13.8">
      <c r="A517" s="754">
        <v>45563</v>
      </c>
      <c r="B517" s="755" t="s">
        <v>289</v>
      </c>
      <c r="C517" s="755" t="s">
        <v>290</v>
      </c>
      <c r="D517" s="755" t="s">
        <v>491</v>
      </c>
      <c r="E517" s="755">
        <v>76</v>
      </c>
      <c r="F517" s="755">
        <v>5</v>
      </c>
      <c r="G517" s="756">
        <v>929.93</v>
      </c>
      <c r="H517" s="529">
        <f t="shared" si="19"/>
        <v>353373.39999999997</v>
      </c>
      <c r="I517" s="755">
        <v>437</v>
      </c>
      <c r="J517" s="340">
        <f t="shared" si="18"/>
        <v>380</v>
      </c>
      <c r="K517" s="685" t="str">
        <f>UPPER((TEXT(Tabla5[[#This Row],[FECHA]],"MMM")))</f>
        <v>SEP</v>
      </c>
      <c r="L517" s="780">
        <f>YEAR(Tabla5[[#This Row],[FECHA]])</f>
        <v>2024</v>
      </c>
      <c r="M517" s="749">
        <v>287</v>
      </c>
      <c r="N517" s="441" t="s">
        <v>676</v>
      </c>
      <c r="O517" s="441" t="s">
        <v>712</v>
      </c>
      <c r="P517" s="441" t="s">
        <v>110</v>
      </c>
    </row>
    <row r="518" spans="1:16" ht="13.8">
      <c r="A518" s="754">
        <v>45563</v>
      </c>
      <c r="B518" s="755" t="s">
        <v>263</v>
      </c>
      <c r="C518" s="755" t="s">
        <v>283</v>
      </c>
      <c r="D518" s="755" t="s">
        <v>440</v>
      </c>
      <c r="E518" s="755">
        <v>96</v>
      </c>
      <c r="F518" s="755">
        <v>15</v>
      </c>
      <c r="G518" s="756">
        <v>929.93</v>
      </c>
      <c r="H518" s="529">
        <f t="shared" si="19"/>
        <v>1339099.2</v>
      </c>
      <c r="I518" s="755">
        <v>1064</v>
      </c>
      <c r="J518" s="340">
        <f t="shared" si="18"/>
        <v>1440</v>
      </c>
      <c r="K518" s="685" t="str">
        <f>UPPER((TEXT(Tabla5[[#This Row],[FECHA]],"MMM")))</f>
        <v>SEP</v>
      </c>
      <c r="L518" s="780">
        <f>YEAR(Tabla5[[#This Row],[FECHA]])</f>
        <v>2024</v>
      </c>
      <c r="M518" s="749">
        <v>287</v>
      </c>
      <c r="N518" s="441" t="s">
        <v>678</v>
      </c>
      <c r="O518" s="441" t="s">
        <v>713</v>
      </c>
      <c r="P518" s="441" t="s">
        <v>110</v>
      </c>
    </row>
    <row r="519" spans="1:16" ht="13.8">
      <c r="A519" s="754">
        <v>45564</v>
      </c>
      <c r="B519" s="755" t="s">
        <v>277</v>
      </c>
      <c r="C519" s="755" t="s">
        <v>264</v>
      </c>
      <c r="D519" s="755" t="s">
        <v>440</v>
      </c>
      <c r="E519" s="755">
        <v>96</v>
      </c>
      <c r="F519" s="755">
        <v>11</v>
      </c>
      <c r="G519" s="756">
        <v>929.93</v>
      </c>
      <c r="H519" s="529">
        <f t="shared" si="19"/>
        <v>982006.08</v>
      </c>
      <c r="I519" s="755">
        <v>748</v>
      </c>
      <c r="J519" s="340">
        <f t="shared" si="18"/>
        <v>1056</v>
      </c>
      <c r="K519" s="685" t="str">
        <f>UPPER((TEXT(Tabla5[[#This Row],[FECHA]],"MMM")))</f>
        <v>SEP</v>
      </c>
      <c r="L519" s="780">
        <f>YEAR(Tabla5[[#This Row],[FECHA]])</f>
        <v>2024</v>
      </c>
      <c r="M519" s="749">
        <v>287</v>
      </c>
      <c r="N519" s="441" t="s">
        <v>678</v>
      </c>
      <c r="O519" s="441" t="s">
        <v>713</v>
      </c>
      <c r="P519" s="441" t="s">
        <v>110</v>
      </c>
    </row>
    <row r="520" spans="1:16" ht="13.8">
      <c r="A520" s="754">
        <v>45565</v>
      </c>
      <c r="B520" s="755" t="s">
        <v>582</v>
      </c>
      <c r="C520" s="755" t="s">
        <v>586</v>
      </c>
      <c r="D520" s="755" t="s">
        <v>260</v>
      </c>
      <c r="E520" s="755">
        <v>58</v>
      </c>
      <c r="F520" s="755">
        <v>4</v>
      </c>
      <c r="G520" s="756">
        <v>929.93</v>
      </c>
      <c r="H520" s="529">
        <f t="shared" si="19"/>
        <v>215743.75999999998</v>
      </c>
      <c r="I520" s="755">
        <v>205</v>
      </c>
      <c r="J520" s="340">
        <f t="shared" si="18"/>
        <v>232</v>
      </c>
      <c r="K520" s="685" t="str">
        <f>UPPER((TEXT(Tabla5[[#This Row],[FECHA]],"MMM")))</f>
        <v>SEP</v>
      </c>
      <c r="L520" s="780">
        <f>YEAR(Tabla5[[#This Row],[FECHA]])</f>
        <v>2024</v>
      </c>
      <c r="M520" s="749">
        <v>287</v>
      </c>
      <c r="N520" s="441" t="s">
        <v>679</v>
      </c>
      <c r="O520" s="441" t="s">
        <v>712</v>
      </c>
      <c r="P520" s="441" t="s">
        <v>110</v>
      </c>
    </row>
    <row r="521" spans="1:16" ht="13.8">
      <c r="A521" s="754">
        <v>45565</v>
      </c>
      <c r="B521" s="755" t="s">
        <v>263</v>
      </c>
      <c r="C521" s="755" t="s">
        <v>264</v>
      </c>
      <c r="D521" s="755" t="s">
        <v>491</v>
      </c>
      <c r="E521" s="755">
        <v>76</v>
      </c>
      <c r="F521" s="755">
        <v>9</v>
      </c>
      <c r="G521" s="756">
        <v>929.93</v>
      </c>
      <c r="H521" s="529">
        <f>E521*F521*G521</f>
        <v>636072.12</v>
      </c>
      <c r="I521" s="755">
        <v>878</v>
      </c>
      <c r="J521" s="340">
        <f t="shared" si="18"/>
        <v>684</v>
      </c>
      <c r="K521" s="685" t="str">
        <f>UPPER((TEXT(Tabla5[[#This Row],[FECHA]],"MMM")))</f>
        <v>SEP</v>
      </c>
      <c r="L521" s="780">
        <f>YEAR(Tabla5[[#This Row],[FECHA]])</f>
        <v>2024</v>
      </c>
      <c r="M521" s="749">
        <v>287</v>
      </c>
      <c r="N521" s="441" t="s">
        <v>676</v>
      </c>
      <c r="O521" s="441" t="s">
        <v>712</v>
      </c>
      <c r="P521" s="441" t="s">
        <v>110</v>
      </c>
    </row>
    <row r="522" spans="1:16" ht="13.8">
      <c r="A522" s="754">
        <v>45565</v>
      </c>
      <c r="B522" s="755" t="s">
        <v>441</v>
      </c>
      <c r="C522" s="755" t="s">
        <v>262</v>
      </c>
      <c r="D522" s="755" t="s">
        <v>260</v>
      </c>
      <c r="E522" s="755">
        <v>58</v>
      </c>
      <c r="F522" s="755">
        <v>4</v>
      </c>
      <c r="G522" s="756">
        <v>929.93</v>
      </c>
      <c r="H522" s="529">
        <f>E522*F522*G522</f>
        <v>215743.75999999998</v>
      </c>
      <c r="I522" s="755">
        <v>379</v>
      </c>
      <c r="J522" s="340">
        <f t="shared" si="18"/>
        <v>232</v>
      </c>
      <c r="K522" s="685" t="str">
        <f>UPPER((TEXT(Tabla5[[#This Row],[FECHA]],"MMM")))</f>
        <v>SEP</v>
      </c>
      <c r="L522" s="780">
        <f>YEAR(Tabla5[[#This Row],[FECHA]])</f>
        <v>2024</v>
      </c>
      <c r="M522" s="749">
        <v>287</v>
      </c>
      <c r="N522" s="441" t="s">
        <v>680</v>
      </c>
      <c r="O522" s="441" t="s">
        <v>712</v>
      </c>
      <c r="P522" s="441" t="s">
        <v>110</v>
      </c>
    </row>
    <row r="523" spans="1:16" ht="13.8">
      <c r="A523" s="531">
        <v>45566</v>
      </c>
      <c r="B523" s="340" t="s">
        <v>261</v>
      </c>
      <c r="C523" s="340" t="s">
        <v>266</v>
      </c>
      <c r="D523" s="340" t="s">
        <v>260</v>
      </c>
      <c r="E523" s="340">
        <v>58</v>
      </c>
      <c r="F523" s="340">
        <v>4</v>
      </c>
      <c r="G523" s="529">
        <v>929.93</v>
      </c>
      <c r="H523" s="551">
        <f t="shared" ref="H523:H586" si="20">E523*F523*G523</f>
        <v>215743.75999999998</v>
      </c>
      <c r="I523" s="340">
        <v>214</v>
      </c>
      <c r="J523" s="753">
        <f>E523*F523</f>
        <v>232</v>
      </c>
      <c r="K523" s="685" t="str">
        <f>UPPER((TEXT(Tabla5[[#This Row],[FECHA]],"MMM")))</f>
        <v>OCT</v>
      </c>
      <c r="L523" s="780">
        <f>YEAR(Tabla5[[#This Row],[FECHA]])</f>
        <v>2024</v>
      </c>
      <c r="M523" s="749">
        <v>308</v>
      </c>
      <c r="N523" s="441" t="s">
        <v>679</v>
      </c>
      <c r="O523" s="441" t="s">
        <v>712</v>
      </c>
      <c r="P523" s="441" t="s">
        <v>110</v>
      </c>
    </row>
    <row r="524" spans="1:16" ht="13.8">
      <c r="A524" s="531">
        <v>45566</v>
      </c>
      <c r="B524" s="340" t="s">
        <v>271</v>
      </c>
      <c r="C524" s="340" t="s">
        <v>257</v>
      </c>
      <c r="D524" s="340" t="s">
        <v>491</v>
      </c>
      <c r="E524" s="340">
        <v>76</v>
      </c>
      <c r="F524" s="340">
        <v>9</v>
      </c>
      <c r="G524" s="529">
        <v>929.93</v>
      </c>
      <c r="H524" s="551">
        <f t="shared" si="20"/>
        <v>636072.12</v>
      </c>
      <c r="I524" s="340">
        <v>1070</v>
      </c>
      <c r="J524" s="753">
        <f t="shared" ref="J524:J587" si="21">E524*F524</f>
        <v>684</v>
      </c>
      <c r="K524" s="685" t="str">
        <f>UPPER((TEXT(Tabla5[[#This Row],[FECHA]],"MMM")))</f>
        <v>OCT</v>
      </c>
      <c r="L524" s="780">
        <f>YEAR(Tabla5[[#This Row],[FECHA]])</f>
        <v>2024</v>
      </c>
      <c r="M524" s="749">
        <v>308</v>
      </c>
      <c r="N524" s="441" t="s">
        <v>676</v>
      </c>
      <c r="O524" s="441" t="s">
        <v>712</v>
      </c>
      <c r="P524" s="441" t="s">
        <v>110</v>
      </c>
    </row>
    <row r="525" spans="1:16" ht="13.8">
      <c r="A525" s="531">
        <v>45566</v>
      </c>
      <c r="B525" s="340" t="s">
        <v>403</v>
      </c>
      <c r="C525" s="340" t="s">
        <v>404</v>
      </c>
      <c r="D525" s="340" t="s">
        <v>260</v>
      </c>
      <c r="E525" s="340">
        <v>58</v>
      </c>
      <c r="F525" s="340">
        <v>5</v>
      </c>
      <c r="G525" s="529">
        <v>929.93</v>
      </c>
      <c r="H525" s="551">
        <f t="shared" si="20"/>
        <v>269679.7</v>
      </c>
      <c r="I525" s="340">
        <v>585</v>
      </c>
      <c r="J525" s="753">
        <f t="shared" si="21"/>
        <v>290</v>
      </c>
      <c r="K525" s="685" t="str">
        <f>UPPER((TEXT(Tabla5[[#This Row],[FECHA]],"MMM")))</f>
        <v>OCT</v>
      </c>
      <c r="L525" s="780">
        <f>YEAR(Tabla5[[#This Row],[FECHA]])</f>
        <v>2024</v>
      </c>
      <c r="M525" s="749">
        <v>308</v>
      </c>
      <c r="N525" s="441" t="s">
        <v>680</v>
      </c>
      <c r="O525" s="441" t="s">
        <v>712</v>
      </c>
      <c r="P525" s="441" t="s">
        <v>110</v>
      </c>
    </row>
    <row r="526" spans="1:16" ht="13.8">
      <c r="A526" s="531">
        <v>45567</v>
      </c>
      <c r="B526" s="340" t="s">
        <v>261</v>
      </c>
      <c r="C526" s="340" t="s">
        <v>266</v>
      </c>
      <c r="D526" s="340" t="s">
        <v>260</v>
      </c>
      <c r="E526" s="340">
        <v>58</v>
      </c>
      <c r="F526" s="340">
        <v>4</v>
      </c>
      <c r="G526" s="529">
        <v>929.93</v>
      </c>
      <c r="H526" s="551">
        <f t="shared" si="20"/>
        <v>215743.75999999998</v>
      </c>
      <c r="I526" s="340">
        <v>203</v>
      </c>
      <c r="J526" s="753">
        <f t="shared" si="21"/>
        <v>232</v>
      </c>
      <c r="K526" s="685" t="str">
        <f>UPPER((TEXT(Tabla5[[#This Row],[FECHA]],"MMM")))</f>
        <v>OCT</v>
      </c>
      <c r="L526" s="780">
        <f>YEAR(Tabla5[[#This Row],[FECHA]])</f>
        <v>2024</v>
      </c>
      <c r="M526" s="749">
        <v>308</v>
      </c>
      <c r="N526" s="441" t="s">
        <v>679</v>
      </c>
      <c r="O526" s="441" t="s">
        <v>712</v>
      </c>
      <c r="P526" s="441" t="s">
        <v>110</v>
      </c>
    </row>
    <row r="527" spans="1:16" ht="13.8">
      <c r="A527" s="531">
        <v>45567</v>
      </c>
      <c r="B527" s="340" t="s">
        <v>295</v>
      </c>
      <c r="C527" s="340" t="s">
        <v>258</v>
      </c>
      <c r="D527" s="340" t="s">
        <v>491</v>
      </c>
      <c r="E527" s="340">
        <v>76</v>
      </c>
      <c r="F527" s="340">
        <v>9</v>
      </c>
      <c r="G527" s="529">
        <v>929.93</v>
      </c>
      <c r="H527" s="551">
        <f t="shared" si="20"/>
        <v>636072.12</v>
      </c>
      <c r="I527" s="340">
        <v>1270</v>
      </c>
      <c r="J527" s="753">
        <f t="shared" si="21"/>
        <v>684</v>
      </c>
      <c r="K527" s="685" t="str">
        <f>UPPER((TEXT(Tabla5[[#This Row],[FECHA]],"MMM")))</f>
        <v>OCT</v>
      </c>
      <c r="L527" s="780">
        <f>YEAR(Tabla5[[#This Row],[FECHA]])</f>
        <v>2024</v>
      </c>
      <c r="M527" s="749">
        <v>308</v>
      </c>
      <c r="N527" s="441" t="s">
        <v>676</v>
      </c>
      <c r="O527" s="441" t="s">
        <v>712</v>
      </c>
      <c r="P527" s="441" t="s">
        <v>110</v>
      </c>
    </row>
    <row r="528" spans="1:16" ht="13.8">
      <c r="A528" s="531">
        <v>45567</v>
      </c>
      <c r="B528" s="340" t="s">
        <v>403</v>
      </c>
      <c r="C528" s="340" t="s">
        <v>404</v>
      </c>
      <c r="D528" s="340" t="s">
        <v>260</v>
      </c>
      <c r="E528" s="340">
        <v>58</v>
      </c>
      <c r="F528" s="340">
        <v>6</v>
      </c>
      <c r="G528" s="529">
        <v>929.93</v>
      </c>
      <c r="H528" s="551">
        <f t="shared" si="20"/>
        <v>323615.63999999996</v>
      </c>
      <c r="I528" s="340">
        <v>600</v>
      </c>
      <c r="J528" s="753">
        <f t="shared" si="21"/>
        <v>348</v>
      </c>
      <c r="K528" s="685" t="str">
        <f>UPPER((TEXT(Tabla5[[#This Row],[FECHA]],"MMM")))</f>
        <v>OCT</v>
      </c>
      <c r="L528" s="780">
        <f>YEAR(Tabla5[[#This Row],[FECHA]])</f>
        <v>2024</v>
      </c>
      <c r="M528" s="749">
        <v>308</v>
      </c>
      <c r="N528" s="441" t="s">
        <v>680</v>
      </c>
      <c r="O528" s="441" t="s">
        <v>712</v>
      </c>
      <c r="P528" s="441" t="s">
        <v>110</v>
      </c>
    </row>
    <row r="529" spans="1:16" ht="13.8">
      <c r="A529" s="531">
        <v>45568</v>
      </c>
      <c r="B529" s="340" t="s">
        <v>261</v>
      </c>
      <c r="C529" s="340" t="s">
        <v>266</v>
      </c>
      <c r="D529" s="340" t="s">
        <v>260</v>
      </c>
      <c r="E529" s="340">
        <v>58</v>
      </c>
      <c r="F529" s="340">
        <v>4</v>
      </c>
      <c r="G529" s="529">
        <v>929.93</v>
      </c>
      <c r="H529" s="551">
        <f t="shared" si="20"/>
        <v>215743.75999999998</v>
      </c>
      <c r="I529" s="340">
        <v>221</v>
      </c>
      <c r="J529" s="753">
        <f t="shared" si="21"/>
        <v>232</v>
      </c>
      <c r="K529" s="685" t="str">
        <f>UPPER((TEXT(Tabla5[[#This Row],[FECHA]],"MMM")))</f>
        <v>OCT</v>
      </c>
      <c r="L529" s="780">
        <f>YEAR(Tabla5[[#This Row],[FECHA]])</f>
        <v>2024</v>
      </c>
      <c r="M529" s="749">
        <v>308</v>
      </c>
      <c r="N529" s="441" t="s">
        <v>679</v>
      </c>
      <c r="O529" s="441" t="s">
        <v>712</v>
      </c>
      <c r="P529" s="441" t="s">
        <v>110</v>
      </c>
    </row>
    <row r="530" spans="1:16" ht="13.8">
      <c r="A530" s="531">
        <v>45568</v>
      </c>
      <c r="B530" s="340" t="s">
        <v>295</v>
      </c>
      <c r="C530" s="340" t="s">
        <v>258</v>
      </c>
      <c r="D530" s="340" t="s">
        <v>491</v>
      </c>
      <c r="E530" s="340">
        <v>76</v>
      </c>
      <c r="F530" s="340">
        <v>9</v>
      </c>
      <c r="G530" s="529">
        <v>929.93</v>
      </c>
      <c r="H530" s="551">
        <f t="shared" si="20"/>
        <v>636072.12</v>
      </c>
      <c r="I530" s="340">
        <v>1018</v>
      </c>
      <c r="J530" s="753">
        <f t="shared" si="21"/>
        <v>684</v>
      </c>
      <c r="K530" s="685" t="str">
        <f>UPPER((TEXT(Tabla5[[#This Row],[FECHA]],"MMM")))</f>
        <v>OCT</v>
      </c>
      <c r="L530" s="780">
        <f>YEAR(Tabla5[[#This Row],[FECHA]])</f>
        <v>2024</v>
      </c>
      <c r="M530" s="749">
        <v>308</v>
      </c>
      <c r="N530" s="441" t="s">
        <v>676</v>
      </c>
      <c r="O530" s="441" t="s">
        <v>712</v>
      </c>
      <c r="P530" s="441" t="s">
        <v>110</v>
      </c>
    </row>
    <row r="531" spans="1:16" ht="13.8">
      <c r="A531" s="531">
        <v>45568</v>
      </c>
      <c r="B531" s="340" t="s">
        <v>403</v>
      </c>
      <c r="C531" s="340" t="s">
        <v>404</v>
      </c>
      <c r="D531" s="340" t="s">
        <v>260</v>
      </c>
      <c r="E531" s="340">
        <v>58</v>
      </c>
      <c r="F531" s="340">
        <v>5</v>
      </c>
      <c r="G531" s="529">
        <v>929.93</v>
      </c>
      <c r="H531" s="551">
        <f t="shared" si="20"/>
        <v>269679.7</v>
      </c>
      <c r="I531" s="340">
        <v>450</v>
      </c>
      <c r="J531" s="753">
        <f t="shared" si="21"/>
        <v>290</v>
      </c>
      <c r="K531" s="685" t="str">
        <f>UPPER((TEXT(Tabla5[[#This Row],[FECHA]],"MMM")))</f>
        <v>OCT</v>
      </c>
      <c r="L531" s="780">
        <f>YEAR(Tabla5[[#This Row],[FECHA]])</f>
        <v>2024</v>
      </c>
      <c r="M531" s="749">
        <v>308</v>
      </c>
      <c r="N531" s="441" t="s">
        <v>680</v>
      </c>
      <c r="O531" s="441" t="s">
        <v>712</v>
      </c>
      <c r="P531" s="441" t="s">
        <v>110</v>
      </c>
    </row>
    <row r="532" spans="1:16" ht="13.8">
      <c r="A532" s="531">
        <v>45569</v>
      </c>
      <c r="B532" s="340" t="s">
        <v>261</v>
      </c>
      <c r="C532" s="340" t="s">
        <v>266</v>
      </c>
      <c r="D532" s="340" t="s">
        <v>260</v>
      </c>
      <c r="E532" s="340">
        <v>58</v>
      </c>
      <c r="F532" s="340">
        <v>4</v>
      </c>
      <c r="G532" s="529">
        <v>929.93</v>
      </c>
      <c r="H532" s="551">
        <f t="shared" si="20"/>
        <v>215743.75999999998</v>
      </c>
      <c r="I532" s="340">
        <v>155</v>
      </c>
      <c r="J532" s="753">
        <f t="shared" si="21"/>
        <v>232</v>
      </c>
      <c r="K532" s="685" t="str">
        <f>UPPER((TEXT(Tabla5[[#This Row],[FECHA]],"MMM")))</f>
        <v>OCT</v>
      </c>
      <c r="L532" s="780">
        <f>YEAR(Tabla5[[#This Row],[FECHA]])</f>
        <v>2024</v>
      </c>
      <c r="M532" s="749">
        <v>308</v>
      </c>
      <c r="N532" s="441" t="s">
        <v>679</v>
      </c>
      <c r="O532" s="441" t="s">
        <v>712</v>
      </c>
      <c r="P532" s="441" t="s">
        <v>110</v>
      </c>
    </row>
    <row r="533" spans="1:16" ht="13.8">
      <c r="A533" s="531">
        <v>45569</v>
      </c>
      <c r="B533" s="340" t="s">
        <v>263</v>
      </c>
      <c r="C533" s="340" t="s">
        <v>264</v>
      </c>
      <c r="D533" s="340" t="s">
        <v>491</v>
      </c>
      <c r="E533" s="340">
        <v>76</v>
      </c>
      <c r="F533" s="340">
        <v>10</v>
      </c>
      <c r="G533" s="529">
        <v>929.93</v>
      </c>
      <c r="H533" s="551">
        <f t="shared" si="20"/>
        <v>706746.79999999993</v>
      </c>
      <c r="I533" s="340">
        <v>1188</v>
      </c>
      <c r="J533" s="753">
        <f t="shared" si="21"/>
        <v>760</v>
      </c>
      <c r="K533" s="685" t="str">
        <f>UPPER((TEXT(Tabla5[[#This Row],[FECHA]],"MMM")))</f>
        <v>OCT</v>
      </c>
      <c r="L533" s="780">
        <f>YEAR(Tabla5[[#This Row],[FECHA]])</f>
        <v>2024</v>
      </c>
      <c r="M533" s="749">
        <v>308</v>
      </c>
      <c r="N533" s="441" t="s">
        <v>676</v>
      </c>
      <c r="O533" s="441" t="s">
        <v>712</v>
      </c>
      <c r="P533" s="441" t="s">
        <v>110</v>
      </c>
    </row>
    <row r="534" spans="1:16" ht="13.8">
      <c r="A534" s="531">
        <v>45569</v>
      </c>
      <c r="B534" s="340" t="s">
        <v>403</v>
      </c>
      <c r="C534" s="340" t="s">
        <v>404</v>
      </c>
      <c r="D534" s="340" t="s">
        <v>260</v>
      </c>
      <c r="E534" s="340">
        <v>58</v>
      </c>
      <c r="F534" s="340">
        <v>6</v>
      </c>
      <c r="G534" s="529">
        <v>929.93</v>
      </c>
      <c r="H534" s="551">
        <f t="shared" si="20"/>
        <v>323615.63999999996</v>
      </c>
      <c r="I534" s="340">
        <v>678</v>
      </c>
      <c r="J534" s="753">
        <f t="shared" si="21"/>
        <v>348</v>
      </c>
      <c r="K534" s="685" t="str">
        <f>UPPER((TEXT(Tabla5[[#This Row],[FECHA]],"MMM")))</f>
        <v>OCT</v>
      </c>
      <c r="L534" s="780">
        <f>YEAR(Tabla5[[#This Row],[FECHA]])</f>
        <v>2024</v>
      </c>
      <c r="M534" s="749">
        <v>308</v>
      </c>
      <c r="N534" s="441" t="s">
        <v>680</v>
      </c>
      <c r="O534" s="441" t="s">
        <v>712</v>
      </c>
      <c r="P534" s="441" t="s">
        <v>110</v>
      </c>
    </row>
    <row r="535" spans="1:16" ht="13.8">
      <c r="A535" s="531">
        <v>45570</v>
      </c>
      <c r="B535" s="340" t="s">
        <v>272</v>
      </c>
      <c r="C535" s="340" t="s">
        <v>282</v>
      </c>
      <c r="D535" s="340" t="s">
        <v>491</v>
      </c>
      <c r="E535" s="340">
        <v>76</v>
      </c>
      <c r="F535" s="340">
        <v>3</v>
      </c>
      <c r="G535" s="529">
        <v>929.93</v>
      </c>
      <c r="H535" s="551">
        <f t="shared" si="20"/>
        <v>212024.03999999998</v>
      </c>
      <c r="I535" s="340">
        <v>294</v>
      </c>
      <c r="J535" s="753">
        <f t="shared" si="21"/>
        <v>228</v>
      </c>
      <c r="K535" s="685" t="str">
        <f>UPPER((TEXT(Tabla5[[#This Row],[FECHA]],"MMM")))</f>
        <v>OCT</v>
      </c>
      <c r="L535" s="780">
        <f>YEAR(Tabla5[[#This Row],[FECHA]])</f>
        <v>2024</v>
      </c>
      <c r="M535" s="749">
        <v>308</v>
      </c>
      <c r="N535" s="441" t="s">
        <v>676</v>
      </c>
      <c r="O535" s="441" t="s">
        <v>712</v>
      </c>
      <c r="P535" s="441" t="s">
        <v>110</v>
      </c>
    </row>
    <row r="536" spans="1:16" ht="13.8">
      <c r="A536" s="531">
        <v>45570</v>
      </c>
      <c r="B536" s="340" t="s">
        <v>263</v>
      </c>
      <c r="C536" s="340" t="s">
        <v>283</v>
      </c>
      <c r="D536" s="340" t="s">
        <v>440</v>
      </c>
      <c r="E536" s="340">
        <v>96</v>
      </c>
      <c r="F536" s="340">
        <v>12</v>
      </c>
      <c r="G536" s="529">
        <v>929.93</v>
      </c>
      <c r="H536" s="551">
        <f t="shared" si="20"/>
        <v>1071279.3599999999</v>
      </c>
      <c r="I536" s="340">
        <v>728</v>
      </c>
      <c r="J536" s="753">
        <f t="shared" si="21"/>
        <v>1152</v>
      </c>
      <c r="K536" s="685" t="str">
        <f>UPPER((TEXT(Tabla5[[#This Row],[FECHA]],"MMM")))</f>
        <v>OCT</v>
      </c>
      <c r="L536" s="780">
        <f>YEAR(Tabla5[[#This Row],[FECHA]])</f>
        <v>2024</v>
      </c>
      <c r="M536" s="749">
        <v>308</v>
      </c>
      <c r="N536" s="441" t="s">
        <v>678</v>
      </c>
      <c r="O536" s="441" t="s">
        <v>713</v>
      </c>
      <c r="P536" s="441" t="s">
        <v>110</v>
      </c>
    </row>
    <row r="537" spans="1:16" ht="13.8">
      <c r="A537" s="531">
        <v>45571</v>
      </c>
      <c r="B537" s="340" t="s">
        <v>253</v>
      </c>
      <c r="C537" s="340" t="s">
        <v>258</v>
      </c>
      <c r="D537" s="340" t="s">
        <v>440</v>
      </c>
      <c r="E537" s="340">
        <v>96</v>
      </c>
      <c r="F537" s="340">
        <v>15</v>
      </c>
      <c r="G537" s="529">
        <v>929.93</v>
      </c>
      <c r="H537" s="551">
        <f t="shared" si="20"/>
        <v>1339099.2</v>
      </c>
      <c r="I537" s="340">
        <v>1078</v>
      </c>
      <c r="J537" s="753">
        <f t="shared" si="21"/>
        <v>1440</v>
      </c>
      <c r="K537" s="685" t="str">
        <f>UPPER((TEXT(Tabla5[[#This Row],[FECHA]],"MMM")))</f>
        <v>OCT</v>
      </c>
      <c r="L537" s="780">
        <f>YEAR(Tabla5[[#This Row],[FECHA]])</f>
        <v>2024</v>
      </c>
      <c r="M537" s="749">
        <v>308</v>
      </c>
      <c r="N537" s="441" t="s">
        <v>678</v>
      </c>
      <c r="O537" s="441" t="s">
        <v>713</v>
      </c>
      <c r="P537" s="441" t="s">
        <v>110</v>
      </c>
    </row>
    <row r="538" spans="1:16" ht="13.8">
      <c r="A538" s="531">
        <v>45572</v>
      </c>
      <c r="B538" s="340" t="s">
        <v>277</v>
      </c>
      <c r="C538" s="340" t="s">
        <v>285</v>
      </c>
      <c r="D538" s="340" t="s">
        <v>260</v>
      </c>
      <c r="E538" s="340">
        <v>58</v>
      </c>
      <c r="F538" s="340">
        <v>4</v>
      </c>
      <c r="G538" s="529">
        <v>929.93</v>
      </c>
      <c r="H538" s="551">
        <f t="shared" si="20"/>
        <v>215743.75999999998</v>
      </c>
      <c r="I538" s="340">
        <v>205</v>
      </c>
      <c r="J538" s="753">
        <f t="shared" si="21"/>
        <v>232</v>
      </c>
      <c r="K538" s="685" t="str">
        <f>UPPER((TEXT(Tabla5[[#This Row],[FECHA]],"MMM")))</f>
        <v>OCT</v>
      </c>
      <c r="L538" s="780">
        <f>YEAR(Tabla5[[#This Row],[FECHA]])</f>
        <v>2024</v>
      </c>
      <c r="M538" s="749">
        <v>308</v>
      </c>
      <c r="N538" s="441" t="s">
        <v>679</v>
      </c>
      <c r="O538" s="441" t="s">
        <v>712</v>
      </c>
      <c r="P538" s="441" t="s">
        <v>110</v>
      </c>
    </row>
    <row r="539" spans="1:16" ht="13.8">
      <c r="A539" s="531">
        <v>45572</v>
      </c>
      <c r="B539" s="340" t="s">
        <v>623</v>
      </c>
      <c r="C539" s="340" t="s">
        <v>551</v>
      </c>
      <c r="D539" s="340" t="s">
        <v>491</v>
      </c>
      <c r="E539" s="340">
        <v>76</v>
      </c>
      <c r="F539" s="340">
        <v>3</v>
      </c>
      <c r="G539" s="529">
        <v>929.93</v>
      </c>
      <c r="H539" s="551">
        <f t="shared" si="20"/>
        <v>212024.03999999998</v>
      </c>
      <c r="I539" s="340">
        <v>49</v>
      </c>
      <c r="J539" s="753">
        <f t="shared" si="21"/>
        <v>228</v>
      </c>
      <c r="K539" s="685" t="str">
        <f>UPPER((TEXT(Tabla5[[#This Row],[FECHA]],"MMM")))</f>
        <v>OCT</v>
      </c>
      <c r="L539" s="780">
        <f>YEAR(Tabla5[[#This Row],[FECHA]])</f>
        <v>2024</v>
      </c>
      <c r="M539" s="749">
        <v>308</v>
      </c>
      <c r="N539" s="441" t="s">
        <v>676</v>
      </c>
      <c r="O539" s="441" t="s">
        <v>712</v>
      </c>
      <c r="P539" s="441" t="s">
        <v>110</v>
      </c>
    </row>
    <row r="540" spans="1:16" ht="13.8">
      <c r="A540" s="531">
        <v>45573</v>
      </c>
      <c r="B540" s="340" t="s">
        <v>277</v>
      </c>
      <c r="C540" s="340" t="s">
        <v>285</v>
      </c>
      <c r="D540" s="340" t="s">
        <v>260</v>
      </c>
      <c r="E540" s="340">
        <v>58</v>
      </c>
      <c r="F540" s="340">
        <v>4</v>
      </c>
      <c r="G540" s="529">
        <v>929.93</v>
      </c>
      <c r="H540" s="551">
        <f t="shared" si="20"/>
        <v>215743.75999999998</v>
      </c>
      <c r="I540" s="340">
        <v>208</v>
      </c>
      <c r="J540" s="753">
        <f t="shared" si="21"/>
        <v>232</v>
      </c>
      <c r="K540" s="685" t="str">
        <f>UPPER((TEXT(Tabla5[[#This Row],[FECHA]],"MMM")))</f>
        <v>OCT</v>
      </c>
      <c r="L540" s="780">
        <f>YEAR(Tabla5[[#This Row],[FECHA]])</f>
        <v>2024</v>
      </c>
      <c r="M540" s="749">
        <v>308</v>
      </c>
      <c r="N540" s="441" t="s">
        <v>679</v>
      </c>
      <c r="O540" s="441" t="s">
        <v>712</v>
      </c>
      <c r="P540" s="441" t="s">
        <v>110</v>
      </c>
    </row>
    <row r="541" spans="1:16" ht="13.8">
      <c r="A541" s="531">
        <v>45573</v>
      </c>
      <c r="B541" s="340" t="s">
        <v>623</v>
      </c>
      <c r="C541" s="340" t="s">
        <v>624</v>
      </c>
      <c r="D541" s="340" t="s">
        <v>491</v>
      </c>
      <c r="E541" s="340">
        <v>76</v>
      </c>
      <c r="F541" s="340">
        <v>3</v>
      </c>
      <c r="G541" s="529">
        <v>929.93</v>
      </c>
      <c r="H541" s="551">
        <f t="shared" si="20"/>
        <v>212024.03999999998</v>
      </c>
      <c r="I541" s="340">
        <v>81</v>
      </c>
      <c r="J541" s="753">
        <f t="shared" si="21"/>
        <v>228</v>
      </c>
      <c r="K541" s="685" t="str">
        <f>UPPER((TEXT(Tabla5[[#This Row],[FECHA]],"MMM")))</f>
        <v>OCT</v>
      </c>
      <c r="L541" s="780">
        <f>YEAR(Tabla5[[#This Row],[FECHA]])</f>
        <v>2024</v>
      </c>
      <c r="M541" s="749">
        <v>308</v>
      </c>
      <c r="N541" s="441" t="s">
        <v>676</v>
      </c>
      <c r="O541" s="441" t="s">
        <v>712</v>
      </c>
      <c r="P541" s="441" t="s">
        <v>110</v>
      </c>
    </row>
    <row r="542" spans="1:16" ht="13.8">
      <c r="A542" s="531">
        <v>45573</v>
      </c>
      <c r="B542" s="340" t="s">
        <v>267</v>
      </c>
      <c r="C542" s="340" t="s">
        <v>258</v>
      </c>
      <c r="D542" s="340" t="s">
        <v>440</v>
      </c>
      <c r="E542" s="340">
        <v>96</v>
      </c>
      <c r="F542" s="340">
        <v>11</v>
      </c>
      <c r="G542" s="529">
        <v>929.93</v>
      </c>
      <c r="H542" s="551">
        <f t="shared" si="20"/>
        <v>982006.08</v>
      </c>
      <c r="I542" s="340">
        <v>998</v>
      </c>
      <c r="J542" s="753">
        <f t="shared" si="21"/>
        <v>1056</v>
      </c>
      <c r="K542" s="685" t="str">
        <f>UPPER((TEXT(Tabla5[[#This Row],[FECHA]],"MMM")))</f>
        <v>OCT</v>
      </c>
      <c r="L542" s="780">
        <f>YEAR(Tabla5[[#This Row],[FECHA]])</f>
        <v>2024</v>
      </c>
      <c r="M542" s="749">
        <v>308</v>
      </c>
      <c r="N542" s="441" t="s">
        <v>678</v>
      </c>
      <c r="O542" s="441" t="s">
        <v>713</v>
      </c>
      <c r="P542" s="441" t="s">
        <v>110</v>
      </c>
    </row>
    <row r="543" spans="1:16" ht="13.8">
      <c r="A543" s="531">
        <v>45574</v>
      </c>
      <c r="B543" s="340" t="s">
        <v>277</v>
      </c>
      <c r="C543" s="340" t="s">
        <v>285</v>
      </c>
      <c r="D543" s="340" t="s">
        <v>260</v>
      </c>
      <c r="E543" s="340">
        <v>58</v>
      </c>
      <c r="F543" s="340">
        <v>4</v>
      </c>
      <c r="G543" s="529">
        <v>929.93</v>
      </c>
      <c r="H543" s="551">
        <f t="shared" si="20"/>
        <v>215743.75999999998</v>
      </c>
      <c r="I543" s="340">
        <v>181</v>
      </c>
      <c r="J543" s="753">
        <f t="shared" si="21"/>
        <v>232</v>
      </c>
      <c r="K543" s="685" t="str">
        <f>UPPER((TEXT(Tabla5[[#This Row],[FECHA]],"MMM")))</f>
        <v>OCT</v>
      </c>
      <c r="L543" s="780">
        <f>YEAR(Tabla5[[#This Row],[FECHA]])</f>
        <v>2024</v>
      </c>
      <c r="M543" s="749">
        <v>308</v>
      </c>
      <c r="N543" s="441" t="s">
        <v>679</v>
      </c>
      <c r="O543" s="441" t="s">
        <v>712</v>
      </c>
      <c r="P543" s="441" t="s">
        <v>110</v>
      </c>
    </row>
    <row r="544" spans="1:16" ht="13.8">
      <c r="A544" s="531">
        <v>45574</v>
      </c>
      <c r="B544" s="340" t="s">
        <v>625</v>
      </c>
      <c r="C544" s="340" t="s">
        <v>626</v>
      </c>
      <c r="D544" s="340" t="s">
        <v>491</v>
      </c>
      <c r="E544" s="340">
        <v>76</v>
      </c>
      <c r="F544" s="340">
        <v>3</v>
      </c>
      <c r="G544" s="529">
        <v>929.93</v>
      </c>
      <c r="H544" s="551">
        <f t="shared" si="20"/>
        <v>212024.03999999998</v>
      </c>
      <c r="I544" s="340">
        <v>134</v>
      </c>
      <c r="J544" s="753">
        <f t="shared" si="21"/>
        <v>228</v>
      </c>
      <c r="K544" s="685" t="str">
        <f>UPPER((TEXT(Tabla5[[#This Row],[FECHA]],"MMM")))</f>
        <v>OCT</v>
      </c>
      <c r="L544" s="780">
        <f>YEAR(Tabla5[[#This Row],[FECHA]])</f>
        <v>2024</v>
      </c>
      <c r="M544" s="749">
        <v>308</v>
      </c>
      <c r="N544" s="441" t="s">
        <v>676</v>
      </c>
      <c r="O544" s="441" t="s">
        <v>712</v>
      </c>
      <c r="P544" s="441" t="s">
        <v>110</v>
      </c>
    </row>
    <row r="545" spans="1:16" ht="13.8">
      <c r="A545" s="531">
        <v>45575</v>
      </c>
      <c r="B545" s="340" t="s">
        <v>277</v>
      </c>
      <c r="C545" s="340" t="s">
        <v>285</v>
      </c>
      <c r="D545" s="340" t="s">
        <v>260</v>
      </c>
      <c r="E545" s="340">
        <v>58</v>
      </c>
      <c r="F545" s="340">
        <v>4</v>
      </c>
      <c r="G545" s="529">
        <v>929.93</v>
      </c>
      <c r="H545" s="551">
        <f t="shared" si="20"/>
        <v>215743.75999999998</v>
      </c>
      <c r="I545" s="340">
        <v>179</v>
      </c>
      <c r="J545" s="753">
        <f t="shared" si="21"/>
        <v>232</v>
      </c>
      <c r="K545" s="685" t="str">
        <f>UPPER((TEXT(Tabla5[[#This Row],[FECHA]],"MMM")))</f>
        <v>OCT</v>
      </c>
      <c r="L545" s="780">
        <f>YEAR(Tabla5[[#This Row],[FECHA]])</f>
        <v>2024</v>
      </c>
      <c r="M545" s="749">
        <v>308</v>
      </c>
      <c r="N545" s="441" t="s">
        <v>679</v>
      </c>
      <c r="O545" s="441" t="s">
        <v>712</v>
      </c>
      <c r="P545" s="441" t="s">
        <v>110</v>
      </c>
    </row>
    <row r="546" spans="1:16" ht="13.8">
      <c r="A546" s="531">
        <v>45575</v>
      </c>
      <c r="B546" s="340" t="s">
        <v>625</v>
      </c>
      <c r="C546" s="340" t="s">
        <v>626</v>
      </c>
      <c r="D546" s="340" t="s">
        <v>491</v>
      </c>
      <c r="E546" s="340">
        <v>76</v>
      </c>
      <c r="F546" s="340">
        <v>3</v>
      </c>
      <c r="G546" s="529">
        <v>929.93</v>
      </c>
      <c r="H546" s="551">
        <f t="shared" si="20"/>
        <v>212024.03999999998</v>
      </c>
      <c r="I546" s="340">
        <v>202</v>
      </c>
      <c r="J546" s="753">
        <f t="shared" si="21"/>
        <v>228</v>
      </c>
      <c r="K546" s="685" t="str">
        <f>UPPER((TEXT(Tabla5[[#This Row],[FECHA]],"MMM")))</f>
        <v>OCT</v>
      </c>
      <c r="L546" s="780">
        <f>YEAR(Tabla5[[#This Row],[FECHA]])</f>
        <v>2024</v>
      </c>
      <c r="M546" s="749">
        <v>308</v>
      </c>
      <c r="N546" s="441" t="s">
        <v>676</v>
      </c>
      <c r="O546" s="441" t="s">
        <v>712</v>
      </c>
      <c r="P546" s="441" t="s">
        <v>110</v>
      </c>
    </row>
    <row r="547" spans="1:16" ht="13.8">
      <c r="A547" s="531">
        <v>45576</v>
      </c>
      <c r="B547" s="340" t="s">
        <v>277</v>
      </c>
      <c r="C547" s="340" t="s">
        <v>285</v>
      </c>
      <c r="D547" s="340" t="s">
        <v>260</v>
      </c>
      <c r="E547" s="340">
        <v>58</v>
      </c>
      <c r="F547" s="340">
        <v>4</v>
      </c>
      <c r="G547" s="529">
        <v>929.93</v>
      </c>
      <c r="H547" s="551">
        <f t="shared" si="20"/>
        <v>215743.75999999998</v>
      </c>
      <c r="I547" s="340">
        <v>125</v>
      </c>
      <c r="J547" s="753">
        <f t="shared" si="21"/>
        <v>232</v>
      </c>
      <c r="K547" s="685" t="str">
        <f>UPPER((TEXT(Tabla5[[#This Row],[FECHA]],"MMM")))</f>
        <v>OCT</v>
      </c>
      <c r="L547" s="780">
        <f>YEAR(Tabla5[[#This Row],[FECHA]])</f>
        <v>2024</v>
      </c>
      <c r="M547" s="749">
        <v>308</v>
      </c>
      <c r="N547" s="441" t="s">
        <v>679</v>
      </c>
      <c r="O547" s="441" t="s">
        <v>712</v>
      </c>
      <c r="P547" s="441" t="s">
        <v>110</v>
      </c>
    </row>
    <row r="548" spans="1:16" ht="13.8">
      <c r="A548" s="531">
        <v>45576</v>
      </c>
      <c r="B548" s="340" t="s">
        <v>625</v>
      </c>
      <c r="C548" s="340" t="s">
        <v>626</v>
      </c>
      <c r="D548" s="340" t="s">
        <v>491</v>
      </c>
      <c r="E548" s="340">
        <v>76</v>
      </c>
      <c r="F548" s="340">
        <v>3</v>
      </c>
      <c r="G548" s="529">
        <v>929.93</v>
      </c>
      <c r="H548" s="551">
        <f t="shared" si="20"/>
        <v>212024.03999999998</v>
      </c>
      <c r="I548" s="340">
        <v>156</v>
      </c>
      <c r="J548" s="753">
        <f t="shared" si="21"/>
        <v>228</v>
      </c>
      <c r="K548" s="685" t="str">
        <f>UPPER((TEXT(Tabla5[[#This Row],[FECHA]],"MMM")))</f>
        <v>OCT</v>
      </c>
      <c r="L548" s="780">
        <f>YEAR(Tabla5[[#This Row],[FECHA]])</f>
        <v>2024</v>
      </c>
      <c r="M548" s="749">
        <v>308</v>
      </c>
      <c r="N548" s="441" t="s">
        <v>676</v>
      </c>
      <c r="O548" s="441" t="s">
        <v>712</v>
      </c>
      <c r="P548" s="441" t="s">
        <v>110</v>
      </c>
    </row>
    <row r="549" spans="1:16" ht="13.8">
      <c r="A549" s="531">
        <v>45577</v>
      </c>
      <c r="B549" s="340" t="s">
        <v>253</v>
      </c>
      <c r="C549" s="340" t="s">
        <v>258</v>
      </c>
      <c r="D549" s="340" t="s">
        <v>440</v>
      </c>
      <c r="E549" s="340">
        <v>96</v>
      </c>
      <c r="F549" s="340">
        <v>18</v>
      </c>
      <c r="G549" s="529">
        <v>929.93</v>
      </c>
      <c r="H549" s="551">
        <f t="shared" si="20"/>
        <v>1606919.0399999998</v>
      </c>
      <c r="I549" s="340">
        <v>1560</v>
      </c>
      <c r="J549" s="753">
        <f t="shared" si="21"/>
        <v>1728</v>
      </c>
      <c r="K549" s="685" t="str">
        <f>UPPER((TEXT(Tabla5[[#This Row],[FECHA]],"MMM")))</f>
        <v>OCT</v>
      </c>
      <c r="L549" s="780">
        <f>YEAR(Tabla5[[#This Row],[FECHA]])</f>
        <v>2024</v>
      </c>
      <c r="M549" s="749">
        <v>308</v>
      </c>
      <c r="N549" s="441" t="s">
        <v>678</v>
      </c>
      <c r="O549" s="441" t="s">
        <v>713</v>
      </c>
      <c r="P549" s="441" t="s">
        <v>110</v>
      </c>
    </row>
    <row r="550" spans="1:16" ht="13.8">
      <c r="A550" s="531">
        <v>45578</v>
      </c>
      <c r="B550" s="340" t="s">
        <v>253</v>
      </c>
      <c r="C550" s="340" t="s">
        <v>258</v>
      </c>
      <c r="D550" s="340" t="s">
        <v>440</v>
      </c>
      <c r="E550" s="340">
        <v>96</v>
      </c>
      <c r="F550" s="340">
        <v>18</v>
      </c>
      <c r="G550" s="529">
        <v>929.93</v>
      </c>
      <c r="H550" s="551">
        <f t="shared" si="20"/>
        <v>1606919.0399999998</v>
      </c>
      <c r="I550" s="340">
        <v>1558</v>
      </c>
      <c r="J550" s="753">
        <f t="shared" si="21"/>
        <v>1728</v>
      </c>
      <c r="K550" s="685" t="str">
        <f>UPPER((TEXT(Tabla5[[#This Row],[FECHA]],"MMM")))</f>
        <v>OCT</v>
      </c>
      <c r="L550" s="780">
        <f>YEAR(Tabla5[[#This Row],[FECHA]])</f>
        <v>2024</v>
      </c>
      <c r="M550" s="749">
        <v>308</v>
      </c>
      <c r="N550" s="441" t="s">
        <v>678</v>
      </c>
      <c r="O550" s="441" t="s">
        <v>713</v>
      </c>
      <c r="P550" s="441" t="s">
        <v>110</v>
      </c>
    </row>
    <row r="551" spans="1:16" ht="13.8">
      <c r="A551" s="531">
        <v>45579</v>
      </c>
      <c r="B551" s="340" t="s">
        <v>277</v>
      </c>
      <c r="C551" s="340" t="s">
        <v>264</v>
      </c>
      <c r="D551" s="340" t="s">
        <v>440</v>
      </c>
      <c r="E551" s="340">
        <v>96</v>
      </c>
      <c r="F551" s="340">
        <v>14</v>
      </c>
      <c r="G551" s="529">
        <v>929.93</v>
      </c>
      <c r="H551" s="551">
        <f t="shared" si="20"/>
        <v>1249825.92</v>
      </c>
      <c r="I551" s="340">
        <v>1016</v>
      </c>
      <c r="J551" s="753">
        <f t="shared" si="21"/>
        <v>1344</v>
      </c>
      <c r="K551" s="685" t="str">
        <f>UPPER((TEXT(Tabla5[[#This Row],[FECHA]],"MMM")))</f>
        <v>OCT</v>
      </c>
      <c r="L551" s="780">
        <f>YEAR(Tabla5[[#This Row],[FECHA]])</f>
        <v>2024</v>
      </c>
      <c r="M551" s="749">
        <v>308</v>
      </c>
      <c r="N551" s="441" t="s">
        <v>678</v>
      </c>
      <c r="O551" s="441" t="s">
        <v>713</v>
      </c>
      <c r="P551" s="441" t="s">
        <v>110</v>
      </c>
    </row>
    <row r="552" spans="1:16" ht="13.8">
      <c r="A552" s="531">
        <v>45580</v>
      </c>
      <c r="B552" s="340" t="s">
        <v>253</v>
      </c>
      <c r="C552" s="340" t="s">
        <v>258</v>
      </c>
      <c r="D552" s="340" t="s">
        <v>491</v>
      </c>
      <c r="E552" s="340">
        <v>76</v>
      </c>
      <c r="F552" s="340">
        <v>9</v>
      </c>
      <c r="G552" s="529">
        <v>929.93</v>
      </c>
      <c r="H552" s="551">
        <f t="shared" si="20"/>
        <v>636072.12</v>
      </c>
      <c r="I552" s="340">
        <v>1096</v>
      </c>
      <c r="J552" s="753">
        <f t="shared" si="21"/>
        <v>684</v>
      </c>
      <c r="K552" s="685" t="str">
        <f>UPPER((TEXT(Tabla5[[#This Row],[FECHA]],"MMM")))</f>
        <v>OCT</v>
      </c>
      <c r="L552" s="780">
        <f>YEAR(Tabla5[[#This Row],[FECHA]])</f>
        <v>2024</v>
      </c>
      <c r="M552" s="749">
        <v>308</v>
      </c>
      <c r="N552" s="441" t="s">
        <v>676</v>
      </c>
      <c r="O552" s="441" t="s">
        <v>712</v>
      </c>
      <c r="P552" s="441" t="s">
        <v>110</v>
      </c>
    </row>
    <row r="553" spans="1:16" ht="13.8">
      <c r="A553" s="531">
        <v>45580</v>
      </c>
      <c r="B553" s="340" t="s">
        <v>263</v>
      </c>
      <c r="C553" s="340" t="s">
        <v>285</v>
      </c>
      <c r="D553" s="340" t="s">
        <v>260</v>
      </c>
      <c r="E553" s="340">
        <v>58</v>
      </c>
      <c r="F553" s="340">
        <v>5</v>
      </c>
      <c r="G553" s="529">
        <v>929.93</v>
      </c>
      <c r="H553" s="551">
        <f t="shared" si="20"/>
        <v>269679.7</v>
      </c>
      <c r="I553" s="340">
        <v>578</v>
      </c>
      <c r="J553" s="753">
        <f t="shared" si="21"/>
        <v>290</v>
      </c>
      <c r="K553" s="685" t="str">
        <f>UPPER((TEXT(Tabla5[[#This Row],[FECHA]],"MMM")))</f>
        <v>OCT</v>
      </c>
      <c r="L553" s="780">
        <f>YEAR(Tabla5[[#This Row],[FECHA]])</f>
        <v>2024</v>
      </c>
      <c r="M553" s="749">
        <v>308</v>
      </c>
      <c r="N553" s="441" t="s">
        <v>680</v>
      </c>
      <c r="O553" s="441" t="s">
        <v>712</v>
      </c>
      <c r="P553" s="441" t="s">
        <v>110</v>
      </c>
    </row>
    <row r="554" spans="1:16" ht="13.8">
      <c r="A554" s="531">
        <v>45581</v>
      </c>
      <c r="B554" s="340" t="s">
        <v>253</v>
      </c>
      <c r="C554" s="340" t="s">
        <v>258</v>
      </c>
      <c r="D554" s="340" t="s">
        <v>491</v>
      </c>
      <c r="E554" s="340">
        <v>76</v>
      </c>
      <c r="F554" s="340">
        <v>9</v>
      </c>
      <c r="G554" s="529">
        <v>929.93</v>
      </c>
      <c r="H554" s="551">
        <f t="shared" si="20"/>
        <v>636072.12</v>
      </c>
      <c r="I554" s="340">
        <v>1204</v>
      </c>
      <c r="J554" s="753">
        <f t="shared" si="21"/>
        <v>684</v>
      </c>
      <c r="K554" s="685" t="str">
        <f>UPPER((TEXT(Tabla5[[#This Row],[FECHA]],"MMM")))</f>
        <v>OCT</v>
      </c>
      <c r="L554" s="780">
        <f>YEAR(Tabla5[[#This Row],[FECHA]])</f>
        <v>2024</v>
      </c>
      <c r="M554" s="749">
        <v>308</v>
      </c>
      <c r="N554" s="441" t="s">
        <v>676</v>
      </c>
      <c r="O554" s="441" t="s">
        <v>712</v>
      </c>
      <c r="P554" s="441" t="s">
        <v>110</v>
      </c>
    </row>
    <row r="555" spans="1:16" ht="13.8">
      <c r="A555" s="531">
        <v>45581</v>
      </c>
      <c r="B555" s="340" t="s">
        <v>263</v>
      </c>
      <c r="C555" s="340" t="s">
        <v>285</v>
      </c>
      <c r="D555" s="340" t="s">
        <v>260</v>
      </c>
      <c r="E555" s="340">
        <v>58</v>
      </c>
      <c r="F555" s="340">
        <v>6</v>
      </c>
      <c r="G555" s="529">
        <v>929.93</v>
      </c>
      <c r="H555" s="551">
        <f t="shared" si="20"/>
        <v>323615.63999999996</v>
      </c>
      <c r="I555" s="340">
        <v>528</v>
      </c>
      <c r="J555" s="753">
        <f t="shared" si="21"/>
        <v>348</v>
      </c>
      <c r="K555" s="685" t="str">
        <f>UPPER((TEXT(Tabla5[[#This Row],[FECHA]],"MMM")))</f>
        <v>OCT</v>
      </c>
      <c r="L555" s="780">
        <f>YEAR(Tabla5[[#This Row],[FECHA]])</f>
        <v>2024</v>
      </c>
      <c r="M555" s="749">
        <v>308</v>
      </c>
      <c r="N555" s="441" t="s">
        <v>680</v>
      </c>
      <c r="O555" s="441" t="s">
        <v>712</v>
      </c>
      <c r="P555" s="441" t="s">
        <v>110</v>
      </c>
    </row>
    <row r="556" spans="1:16" ht="13.8">
      <c r="A556" s="531">
        <v>45582</v>
      </c>
      <c r="B556" s="340" t="s">
        <v>253</v>
      </c>
      <c r="C556" s="340" t="s">
        <v>258</v>
      </c>
      <c r="D556" s="340" t="s">
        <v>491</v>
      </c>
      <c r="E556" s="340">
        <v>76</v>
      </c>
      <c r="F556" s="340">
        <v>9</v>
      </c>
      <c r="G556" s="529">
        <v>929.93</v>
      </c>
      <c r="H556" s="551">
        <f t="shared" si="20"/>
        <v>636072.12</v>
      </c>
      <c r="I556" s="340">
        <v>832</v>
      </c>
      <c r="J556" s="753">
        <f t="shared" si="21"/>
        <v>684</v>
      </c>
      <c r="K556" s="685" t="str">
        <f>UPPER((TEXT(Tabla5[[#This Row],[FECHA]],"MMM")))</f>
        <v>OCT</v>
      </c>
      <c r="L556" s="780">
        <f>YEAR(Tabla5[[#This Row],[FECHA]])</f>
        <v>2024</v>
      </c>
      <c r="M556" s="749">
        <v>308</v>
      </c>
      <c r="N556" s="441" t="s">
        <v>676</v>
      </c>
      <c r="O556" s="441" t="s">
        <v>712</v>
      </c>
      <c r="P556" s="441" t="s">
        <v>110</v>
      </c>
    </row>
    <row r="557" spans="1:16" ht="15.6" customHeight="1">
      <c r="A557" s="531">
        <v>45582</v>
      </c>
      <c r="B557" s="340" t="s">
        <v>263</v>
      </c>
      <c r="C557" s="340" t="s">
        <v>285</v>
      </c>
      <c r="D557" s="340" t="s">
        <v>260</v>
      </c>
      <c r="E557" s="340">
        <v>58</v>
      </c>
      <c r="F557" s="340">
        <v>5</v>
      </c>
      <c r="G557" s="529">
        <v>929.93</v>
      </c>
      <c r="H557" s="551">
        <f t="shared" si="20"/>
        <v>269679.7</v>
      </c>
      <c r="I557" s="340">
        <v>449</v>
      </c>
      <c r="J557" s="753">
        <f t="shared" si="21"/>
        <v>290</v>
      </c>
      <c r="K557" s="685" t="str">
        <f>UPPER((TEXT(Tabla5[[#This Row],[FECHA]],"MMM")))</f>
        <v>OCT</v>
      </c>
      <c r="L557" s="780">
        <f>YEAR(Tabla5[[#This Row],[FECHA]])</f>
        <v>2024</v>
      </c>
      <c r="M557" s="749">
        <v>308</v>
      </c>
      <c r="N557" s="441" t="s">
        <v>680</v>
      </c>
      <c r="O557" s="441" t="s">
        <v>712</v>
      </c>
      <c r="P557" s="441" t="s">
        <v>110</v>
      </c>
    </row>
    <row r="558" spans="1:16" ht="13.8">
      <c r="A558" s="531">
        <v>45583</v>
      </c>
      <c r="B558" s="340" t="s">
        <v>253</v>
      </c>
      <c r="C558" s="340" t="s">
        <v>258</v>
      </c>
      <c r="D558" s="340" t="s">
        <v>491</v>
      </c>
      <c r="E558" s="340">
        <v>76</v>
      </c>
      <c r="F558" s="340">
        <v>9</v>
      </c>
      <c r="G558" s="529">
        <v>929.93</v>
      </c>
      <c r="H558" s="551">
        <f t="shared" si="20"/>
        <v>636072.12</v>
      </c>
      <c r="I558" s="340">
        <v>1268</v>
      </c>
      <c r="J558" s="753">
        <f t="shared" si="21"/>
        <v>684</v>
      </c>
      <c r="K558" s="685" t="str">
        <f>UPPER((TEXT(Tabla5[[#This Row],[FECHA]],"MMM")))</f>
        <v>OCT</v>
      </c>
      <c r="L558" s="780">
        <f>YEAR(Tabla5[[#This Row],[FECHA]])</f>
        <v>2024</v>
      </c>
      <c r="M558" s="749">
        <v>308</v>
      </c>
      <c r="N558" s="441" t="s">
        <v>676</v>
      </c>
      <c r="O558" s="441" t="s">
        <v>712</v>
      </c>
      <c r="P558" s="441" t="s">
        <v>110</v>
      </c>
    </row>
    <row r="559" spans="1:16" ht="13.8">
      <c r="A559" s="531">
        <v>45583</v>
      </c>
      <c r="B559" s="340" t="s">
        <v>287</v>
      </c>
      <c r="C559" s="340" t="s">
        <v>404</v>
      </c>
      <c r="D559" s="340" t="s">
        <v>260</v>
      </c>
      <c r="E559" s="340">
        <v>58</v>
      </c>
      <c r="F559" s="340">
        <v>6</v>
      </c>
      <c r="G559" s="529">
        <v>929.93</v>
      </c>
      <c r="H559" s="551">
        <f t="shared" si="20"/>
        <v>323615.63999999996</v>
      </c>
      <c r="I559" s="340">
        <v>692</v>
      </c>
      <c r="J559" s="753">
        <f t="shared" si="21"/>
        <v>348</v>
      </c>
      <c r="K559" s="685" t="str">
        <f>UPPER((TEXT(Tabla5[[#This Row],[FECHA]],"MMM")))</f>
        <v>OCT</v>
      </c>
      <c r="L559" s="780">
        <f>YEAR(Tabla5[[#This Row],[FECHA]])</f>
        <v>2024</v>
      </c>
      <c r="M559" s="749">
        <v>308</v>
      </c>
      <c r="N559" s="441" t="s">
        <v>680</v>
      </c>
      <c r="O559" s="441" t="s">
        <v>712</v>
      </c>
      <c r="P559" s="441" t="s">
        <v>110</v>
      </c>
    </row>
    <row r="560" spans="1:16" ht="13.8">
      <c r="A560" s="531">
        <v>45584</v>
      </c>
      <c r="B560" s="340" t="s">
        <v>261</v>
      </c>
      <c r="C560" s="340" t="s">
        <v>275</v>
      </c>
      <c r="D560" s="340" t="s">
        <v>491</v>
      </c>
      <c r="E560" s="340">
        <v>76</v>
      </c>
      <c r="F560" s="340">
        <v>3</v>
      </c>
      <c r="G560" s="529">
        <v>929.93</v>
      </c>
      <c r="H560" s="551">
        <f t="shared" si="20"/>
        <v>212024.03999999998</v>
      </c>
      <c r="I560" s="340">
        <v>318</v>
      </c>
      <c r="J560" s="753">
        <f t="shared" si="21"/>
        <v>228</v>
      </c>
      <c r="K560" s="685" t="str">
        <f>UPPER((TEXT(Tabla5[[#This Row],[FECHA]],"MMM")))</f>
        <v>OCT</v>
      </c>
      <c r="L560" s="780">
        <f>YEAR(Tabla5[[#This Row],[FECHA]])</f>
        <v>2024</v>
      </c>
      <c r="M560" s="749">
        <v>308</v>
      </c>
      <c r="N560" s="441" t="s">
        <v>676</v>
      </c>
      <c r="O560" s="441" t="s">
        <v>712</v>
      </c>
      <c r="P560" s="441" t="s">
        <v>110</v>
      </c>
    </row>
    <row r="561" spans="1:16" ht="13.8">
      <c r="A561" s="531">
        <v>45584</v>
      </c>
      <c r="B561" s="340" t="s">
        <v>263</v>
      </c>
      <c r="C561" s="340" t="s">
        <v>283</v>
      </c>
      <c r="D561" s="340" t="s">
        <v>491</v>
      </c>
      <c r="E561" s="340">
        <v>76</v>
      </c>
      <c r="F561" s="340">
        <v>6</v>
      </c>
      <c r="G561" s="529">
        <v>929.93</v>
      </c>
      <c r="H561" s="551">
        <f t="shared" si="20"/>
        <v>424048.07999999996</v>
      </c>
      <c r="I561" s="340">
        <v>224</v>
      </c>
      <c r="J561" s="753">
        <f t="shared" si="21"/>
        <v>456</v>
      </c>
      <c r="K561" s="685" t="str">
        <f>UPPER((TEXT(Tabla5[[#This Row],[FECHA]],"MMM")))</f>
        <v>OCT</v>
      </c>
      <c r="L561" s="780">
        <f>YEAR(Tabla5[[#This Row],[FECHA]])</f>
        <v>2024</v>
      </c>
      <c r="M561" s="749">
        <v>308</v>
      </c>
      <c r="N561" s="441" t="s">
        <v>676</v>
      </c>
      <c r="O561" s="441" t="s">
        <v>712</v>
      </c>
      <c r="P561" s="441" t="s">
        <v>110</v>
      </c>
    </row>
    <row r="562" spans="1:16" ht="13.8">
      <c r="A562" s="531">
        <v>45584</v>
      </c>
      <c r="B562" s="340" t="s">
        <v>267</v>
      </c>
      <c r="C562" s="340" t="s">
        <v>627</v>
      </c>
      <c r="D562" s="340" t="s">
        <v>440</v>
      </c>
      <c r="E562" s="340">
        <v>96</v>
      </c>
      <c r="F562" s="340">
        <v>13</v>
      </c>
      <c r="G562" s="529">
        <v>929.93</v>
      </c>
      <c r="H562" s="551">
        <f t="shared" si="20"/>
        <v>1160552.6399999999</v>
      </c>
      <c r="I562" s="340">
        <v>810</v>
      </c>
      <c r="J562" s="753">
        <f t="shared" si="21"/>
        <v>1248</v>
      </c>
      <c r="K562" s="685" t="str">
        <f>UPPER((TEXT(Tabla5[[#This Row],[FECHA]],"MMM")))</f>
        <v>OCT</v>
      </c>
      <c r="L562" s="780">
        <f>YEAR(Tabla5[[#This Row],[FECHA]])</f>
        <v>2024</v>
      </c>
      <c r="M562" s="749">
        <v>308</v>
      </c>
      <c r="N562" s="441" t="s">
        <v>678</v>
      </c>
      <c r="O562" s="441" t="s">
        <v>713</v>
      </c>
      <c r="P562" s="441" t="s">
        <v>110</v>
      </c>
    </row>
    <row r="563" spans="1:16" ht="13.8">
      <c r="A563" s="531">
        <v>45585</v>
      </c>
      <c r="B563" s="340" t="s">
        <v>256</v>
      </c>
      <c r="C563" s="340" t="s">
        <v>257</v>
      </c>
      <c r="D563" s="340" t="s">
        <v>440</v>
      </c>
      <c r="E563" s="340">
        <v>96</v>
      </c>
      <c r="F563" s="340">
        <v>12</v>
      </c>
      <c r="G563" s="529">
        <v>929.93</v>
      </c>
      <c r="H563" s="551">
        <f t="shared" si="20"/>
        <v>1071279.3599999999</v>
      </c>
      <c r="I563" s="340">
        <v>836</v>
      </c>
      <c r="J563" s="753">
        <f t="shared" si="21"/>
        <v>1152</v>
      </c>
      <c r="K563" s="685" t="str">
        <f>UPPER((TEXT(Tabla5[[#This Row],[FECHA]],"MMM")))</f>
        <v>OCT</v>
      </c>
      <c r="L563" s="780">
        <f>YEAR(Tabla5[[#This Row],[FECHA]])</f>
        <v>2024</v>
      </c>
      <c r="M563" s="749">
        <v>308</v>
      </c>
      <c r="N563" s="441" t="s">
        <v>678</v>
      </c>
      <c r="O563" s="441" t="s">
        <v>713</v>
      </c>
      <c r="P563" s="441" t="s">
        <v>110</v>
      </c>
    </row>
    <row r="564" spans="1:16" ht="13.8">
      <c r="A564" s="531">
        <v>45586</v>
      </c>
      <c r="B564" s="340" t="s">
        <v>261</v>
      </c>
      <c r="C564" s="340" t="s">
        <v>266</v>
      </c>
      <c r="D564" s="340" t="s">
        <v>260</v>
      </c>
      <c r="E564" s="340">
        <v>58</v>
      </c>
      <c r="F564" s="340">
        <v>4</v>
      </c>
      <c r="G564" s="529">
        <v>929.93</v>
      </c>
      <c r="H564" s="551">
        <f t="shared" si="20"/>
        <v>215743.75999999998</v>
      </c>
      <c r="I564" s="340">
        <v>165</v>
      </c>
      <c r="J564" s="753">
        <f t="shared" si="21"/>
        <v>232</v>
      </c>
      <c r="K564" s="685" t="str">
        <f>UPPER((TEXT(Tabla5[[#This Row],[FECHA]],"MMM")))</f>
        <v>OCT</v>
      </c>
      <c r="L564" s="780">
        <f>YEAR(Tabla5[[#This Row],[FECHA]])</f>
        <v>2024</v>
      </c>
      <c r="M564" s="749">
        <v>308</v>
      </c>
      <c r="N564" s="441" t="s">
        <v>679</v>
      </c>
      <c r="O564" s="441" t="s">
        <v>712</v>
      </c>
      <c r="P564" s="441" t="s">
        <v>110</v>
      </c>
    </row>
    <row r="565" spans="1:16" ht="13.8">
      <c r="A565" s="531">
        <v>45586</v>
      </c>
      <c r="B565" s="340" t="s">
        <v>295</v>
      </c>
      <c r="C565" s="340" t="s">
        <v>258</v>
      </c>
      <c r="D565" s="340" t="s">
        <v>491</v>
      </c>
      <c r="E565" s="340">
        <v>76</v>
      </c>
      <c r="F565" s="340">
        <v>9</v>
      </c>
      <c r="G565" s="529">
        <v>929.93</v>
      </c>
      <c r="H565" s="551">
        <f t="shared" si="20"/>
        <v>636072.12</v>
      </c>
      <c r="I565" s="340">
        <v>973</v>
      </c>
      <c r="J565" s="753">
        <f t="shared" si="21"/>
        <v>684</v>
      </c>
      <c r="K565" s="685" t="str">
        <f>UPPER((TEXT(Tabla5[[#This Row],[FECHA]],"MMM")))</f>
        <v>OCT</v>
      </c>
      <c r="L565" s="780">
        <f>YEAR(Tabla5[[#This Row],[FECHA]])</f>
        <v>2024</v>
      </c>
      <c r="M565" s="749">
        <v>308</v>
      </c>
      <c r="N565" s="441" t="s">
        <v>676</v>
      </c>
      <c r="O565" s="441" t="s">
        <v>712</v>
      </c>
      <c r="P565" s="441" t="s">
        <v>110</v>
      </c>
    </row>
    <row r="566" spans="1:16" ht="13.8">
      <c r="A566" s="531">
        <v>45586</v>
      </c>
      <c r="B566" s="340" t="s">
        <v>293</v>
      </c>
      <c r="C566" s="340" t="s">
        <v>273</v>
      </c>
      <c r="D566" s="340" t="s">
        <v>260</v>
      </c>
      <c r="E566" s="340">
        <v>58</v>
      </c>
      <c r="F566" s="340">
        <v>4</v>
      </c>
      <c r="G566" s="529">
        <v>929.93</v>
      </c>
      <c r="H566" s="551">
        <f t="shared" si="20"/>
        <v>215743.75999999998</v>
      </c>
      <c r="I566" s="340">
        <v>376</v>
      </c>
      <c r="J566" s="753">
        <f t="shared" si="21"/>
        <v>232</v>
      </c>
      <c r="K566" s="685" t="str">
        <f>UPPER((TEXT(Tabla5[[#This Row],[FECHA]],"MMM")))</f>
        <v>OCT</v>
      </c>
      <c r="L566" s="780">
        <f>YEAR(Tabla5[[#This Row],[FECHA]])</f>
        <v>2024</v>
      </c>
      <c r="M566" s="749">
        <v>308</v>
      </c>
      <c r="N566" s="441" t="s">
        <v>680</v>
      </c>
      <c r="O566" s="441" t="s">
        <v>712</v>
      </c>
      <c r="P566" s="441" t="s">
        <v>110</v>
      </c>
    </row>
    <row r="567" spans="1:16" ht="13.8">
      <c r="A567" s="531">
        <v>45587</v>
      </c>
      <c r="B567" s="340" t="s">
        <v>261</v>
      </c>
      <c r="C567" s="340" t="s">
        <v>266</v>
      </c>
      <c r="D567" s="340" t="s">
        <v>260</v>
      </c>
      <c r="E567" s="340">
        <v>58</v>
      </c>
      <c r="F567" s="340">
        <v>4</v>
      </c>
      <c r="G567" s="529">
        <v>929.93</v>
      </c>
      <c r="H567" s="551">
        <f t="shared" si="20"/>
        <v>215743.75999999998</v>
      </c>
      <c r="I567" s="340">
        <v>187</v>
      </c>
      <c r="J567" s="753">
        <f t="shared" si="21"/>
        <v>232</v>
      </c>
      <c r="K567" s="685" t="str">
        <f>UPPER((TEXT(Tabla5[[#This Row],[FECHA]],"MMM")))</f>
        <v>OCT</v>
      </c>
      <c r="L567" s="780">
        <f>YEAR(Tabla5[[#This Row],[FECHA]])</f>
        <v>2024</v>
      </c>
      <c r="M567" s="749">
        <v>308</v>
      </c>
      <c r="N567" s="441" t="s">
        <v>679</v>
      </c>
      <c r="O567" s="441" t="s">
        <v>712</v>
      </c>
      <c r="P567" s="441" t="s">
        <v>110</v>
      </c>
    </row>
    <row r="568" spans="1:16" ht="13.8">
      <c r="A568" s="531">
        <v>45587</v>
      </c>
      <c r="B568" s="340" t="s">
        <v>295</v>
      </c>
      <c r="C568" s="340" t="s">
        <v>258</v>
      </c>
      <c r="D568" s="340" t="s">
        <v>491</v>
      </c>
      <c r="E568" s="340">
        <v>76</v>
      </c>
      <c r="F568" s="340">
        <v>9</v>
      </c>
      <c r="G568" s="529">
        <v>929.93</v>
      </c>
      <c r="H568" s="551">
        <f t="shared" si="20"/>
        <v>636072.12</v>
      </c>
      <c r="I568" s="340">
        <v>1372</v>
      </c>
      <c r="J568" s="753">
        <f t="shared" si="21"/>
        <v>684</v>
      </c>
      <c r="K568" s="685" t="str">
        <f>UPPER((TEXT(Tabla5[[#This Row],[FECHA]],"MMM")))</f>
        <v>OCT</v>
      </c>
      <c r="L568" s="780">
        <f>YEAR(Tabla5[[#This Row],[FECHA]])</f>
        <v>2024</v>
      </c>
      <c r="M568" s="749">
        <v>308</v>
      </c>
      <c r="N568" s="441" t="s">
        <v>676</v>
      </c>
      <c r="O568" s="441" t="s">
        <v>712</v>
      </c>
      <c r="P568" s="441" t="s">
        <v>110</v>
      </c>
    </row>
    <row r="569" spans="1:16" ht="13.8">
      <c r="A569" s="531">
        <v>45587</v>
      </c>
      <c r="B569" s="340" t="s">
        <v>403</v>
      </c>
      <c r="C569" s="340" t="s">
        <v>404</v>
      </c>
      <c r="D569" s="340" t="s">
        <v>260</v>
      </c>
      <c r="E569" s="340">
        <v>58</v>
      </c>
      <c r="F569" s="340">
        <v>5</v>
      </c>
      <c r="G569" s="529">
        <v>929.93</v>
      </c>
      <c r="H569" s="551">
        <f t="shared" si="20"/>
        <v>269679.7</v>
      </c>
      <c r="I569" s="340">
        <v>572</v>
      </c>
      <c r="J569" s="753">
        <f t="shared" si="21"/>
        <v>290</v>
      </c>
      <c r="K569" s="685" t="str">
        <f>UPPER((TEXT(Tabla5[[#This Row],[FECHA]],"MMM")))</f>
        <v>OCT</v>
      </c>
      <c r="L569" s="780">
        <f>YEAR(Tabla5[[#This Row],[FECHA]])</f>
        <v>2024</v>
      </c>
      <c r="M569" s="749">
        <v>308</v>
      </c>
      <c r="N569" s="441" t="s">
        <v>680</v>
      </c>
      <c r="O569" s="441" t="s">
        <v>712</v>
      </c>
      <c r="P569" s="441" t="s">
        <v>110</v>
      </c>
    </row>
    <row r="570" spans="1:16" ht="13.8">
      <c r="A570" s="531">
        <v>45588</v>
      </c>
      <c r="B570" s="340" t="s">
        <v>261</v>
      </c>
      <c r="C570" s="340" t="s">
        <v>266</v>
      </c>
      <c r="D570" s="340" t="s">
        <v>260</v>
      </c>
      <c r="E570" s="340">
        <v>58</v>
      </c>
      <c r="F570" s="340">
        <v>4</v>
      </c>
      <c r="G570" s="529">
        <v>929.93</v>
      </c>
      <c r="H570" s="551">
        <f t="shared" si="20"/>
        <v>215743.75999999998</v>
      </c>
      <c r="I570" s="340">
        <v>185</v>
      </c>
      <c r="J570" s="753">
        <f t="shared" si="21"/>
        <v>232</v>
      </c>
      <c r="K570" s="685" t="str">
        <f>UPPER((TEXT(Tabla5[[#This Row],[FECHA]],"MMM")))</f>
        <v>OCT</v>
      </c>
      <c r="L570" s="780">
        <f>YEAR(Tabla5[[#This Row],[FECHA]])</f>
        <v>2024</v>
      </c>
      <c r="M570" s="749">
        <v>308</v>
      </c>
      <c r="N570" s="441" t="s">
        <v>679</v>
      </c>
      <c r="O570" s="441" t="s">
        <v>712</v>
      </c>
      <c r="P570" s="441" t="s">
        <v>110</v>
      </c>
    </row>
    <row r="571" spans="1:16" ht="13.8">
      <c r="A571" s="531">
        <v>45588</v>
      </c>
      <c r="B571" s="340" t="s">
        <v>295</v>
      </c>
      <c r="C571" s="340" t="s">
        <v>258</v>
      </c>
      <c r="D571" s="340" t="s">
        <v>491</v>
      </c>
      <c r="E571" s="340">
        <v>76</v>
      </c>
      <c r="F571" s="340">
        <v>9</v>
      </c>
      <c r="G571" s="529">
        <v>929.93</v>
      </c>
      <c r="H571" s="551">
        <f t="shared" si="20"/>
        <v>636072.12</v>
      </c>
      <c r="I571" s="340">
        <v>1143</v>
      </c>
      <c r="J571" s="753">
        <f t="shared" si="21"/>
        <v>684</v>
      </c>
      <c r="K571" s="685" t="str">
        <f>UPPER((TEXT(Tabla5[[#This Row],[FECHA]],"MMM")))</f>
        <v>OCT</v>
      </c>
      <c r="L571" s="780">
        <f>YEAR(Tabla5[[#This Row],[FECHA]])</f>
        <v>2024</v>
      </c>
      <c r="M571" s="749">
        <v>308</v>
      </c>
      <c r="N571" s="441" t="s">
        <v>676</v>
      </c>
      <c r="O571" s="441" t="s">
        <v>712</v>
      </c>
      <c r="P571" s="441" t="s">
        <v>110</v>
      </c>
    </row>
    <row r="572" spans="1:16" ht="13.8">
      <c r="A572" s="531">
        <v>45588</v>
      </c>
      <c r="B572" s="340" t="s">
        <v>403</v>
      </c>
      <c r="C572" s="340" t="s">
        <v>404</v>
      </c>
      <c r="D572" s="340" t="s">
        <v>260</v>
      </c>
      <c r="E572" s="340">
        <v>58</v>
      </c>
      <c r="F572" s="340">
        <v>6</v>
      </c>
      <c r="G572" s="529">
        <v>929.93</v>
      </c>
      <c r="H572" s="551">
        <f t="shared" si="20"/>
        <v>323615.63999999996</v>
      </c>
      <c r="I572" s="340">
        <v>482</v>
      </c>
      <c r="J572" s="753">
        <f t="shared" si="21"/>
        <v>348</v>
      </c>
      <c r="K572" s="685" t="str">
        <f>UPPER((TEXT(Tabla5[[#This Row],[FECHA]],"MMM")))</f>
        <v>OCT</v>
      </c>
      <c r="L572" s="780">
        <f>YEAR(Tabla5[[#This Row],[FECHA]])</f>
        <v>2024</v>
      </c>
      <c r="M572" s="749">
        <v>308</v>
      </c>
      <c r="N572" s="441" t="s">
        <v>680</v>
      </c>
      <c r="O572" s="441" t="s">
        <v>712</v>
      </c>
      <c r="P572" s="441" t="s">
        <v>110</v>
      </c>
    </row>
    <row r="573" spans="1:16" ht="13.8">
      <c r="A573" s="531">
        <v>45589</v>
      </c>
      <c r="B573" s="340" t="s">
        <v>261</v>
      </c>
      <c r="C573" s="340" t="s">
        <v>266</v>
      </c>
      <c r="D573" s="340" t="s">
        <v>260</v>
      </c>
      <c r="E573" s="340">
        <v>58</v>
      </c>
      <c r="F573" s="340">
        <v>4</v>
      </c>
      <c r="G573" s="529">
        <v>929.93</v>
      </c>
      <c r="H573" s="551">
        <f t="shared" si="20"/>
        <v>215743.75999999998</v>
      </c>
      <c r="I573" s="340">
        <v>174</v>
      </c>
      <c r="J573" s="753">
        <f t="shared" si="21"/>
        <v>232</v>
      </c>
      <c r="K573" s="685" t="str">
        <f>UPPER((TEXT(Tabla5[[#This Row],[FECHA]],"MMM")))</f>
        <v>OCT</v>
      </c>
      <c r="L573" s="780">
        <f>YEAR(Tabla5[[#This Row],[FECHA]])</f>
        <v>2024</v>
      </c>
      <c r="M573" s="749">
        <v>308</v>
      </c>
      <c r="N573" s="441" t="s">
        <v>679</v>
      </c>
      <c r="O573" s="441" t="s">
        <v>712</v>
      </c>
      <c r="P573" s="441" t="s">
        <v>110</v>
      </c>
    </row>
    <row r="574" spans="1:16" ht="13.8">
      <c r="A574" s="531">
        <v>45589</v>
      </c>
      <c r="B574" s="340" t="s">
        <v>295</v>
      </c>
      <c r="C574" s="340" t="s">
        <v>258</v>
      </c>
      <c r="D574" s="340" t="s">
        <v>491</v>
      </c>
      <c r="E574" s="340">
        <v>76</v>
      </c>
      <c r="F574" s="340">
        <v>9</v>
      </c>
      <c r="G574" s="529">
        <v>929.93</v>
      </c>
      <c r="H574" s="551">
        <f t="shared" si="20"/>
        <v>636072.12</v>
      </c>
      <c r="I574" s="340">
        <v>855</v>
      </c>
      <c r="J574" s="753">
        <f t="shared" si="21"/>
        <v>684</v>
      </c>
      <c r="K574" s="685" t="str">
        <f>UPPER((TEXT(Tabla5[[#This Row],[FECHA]],"MMM")))</f>
        <v>OCT</v>
      </c>
      <c r="L574" s="780">
        <f>YEAR(Tabla5[[#This Row],[FECHA]])</f>
        <v>2024</v>
      </c>
      <c r="M574" s="749">
        <v>308</v>
      </c>
      <c r="N574" s="441" t="s">
        <v>676</v>
      </c>
      <c r="O574" s="441" t="s">
        <v>712</v>
      </c>
      <c r="P574" s="441" t="s">
        <v>110</v>
      </c>
    </row>
    <row r="575" spans="1:16" ht="13.8">
      <c r="A575" s="531">
        <v>45589</v>
      </c>
      <c r="B575" s="340" t="s">
        <v>403</v>
      </c>
      <c r="C575" s="340" t="s">
        <v>404</v>
      </c>
      <c r="D575" s="340" t="s">
        <v>260</v>
      </c>
      <c r="E575" s="340">
        <v>58</v>
      </c>
      <c r="F575" s="340">
        <v>5</v>
      </c>
      <c r="G575" s="529">
        <v>929.93</v>
      </c>
      <c r="H575" s="551">
        <f t="shared" si="20"/>
        <v>269679.7</v>
      </c>
      <c r="I575" s="340">
        <v>475</v>
      </c>
      <c r="J575" s="753">
        <f t="shared" si="21"/>
        <v>290</v>
      </c>
      <c r="K575" s="685" t="str">
        <f>UPPER((TEXT(Tabla5[[#This Row],[FECHA]],"MMM")))</f>
        <v>OCT</v>
      </c>
      <c r="L575" s="780">
        <f>YEAR(Tabla5[[#This Row],[FECHA]])</f>
        <v>2024</v>
      </c>
      <c r="M575" s="749">
        <v>308</v>
      </c>
      <c r="N575" s="441" t="s">
        <v>680</v>
      </c>
      <c r="O575" s="441" t="s">
        <v>712</v>
      </c>
      <c r="P575" s="441" t="s">
        <v>110</v>
      </c>
    </row>
    <row r="576" spans="1:16" ht="13.8">
      <c r="A576" s="531">
        <v>45590</v>
      </c>
      <c r="B576" s="340" t="s">
        <v>272</v>
      </c>
      <c r="C576" s="340" t="s">
        <v>278</v>
      </c>
      <c r="D576" s="340" t="s">
        <v>260</v>
      </c>
      <c r="E576" s="340">
        <v>58</v>
      </c>
      <c r="F576" s="340">
        <v>4</v>
      </c>
      <c r="G576" s="529">
        <v>929.93</v>
      </c>
      <c r="H576" s="551">
        <f t="shared" si="20"/>
        <v>215743.75999999998</v>
      </c>
      <c r="I576" s="340">
        <v>133</v>
      </c>
      <c r="J576" s="753">
        <f t="shared" si="21"/>
        <v>232</v>
      </c>
      <c r="K576" s="685" t="str">
        <f>UPPER((TEXT(Tabla5[[#This Row],[FECHA]],"MMM")))</f>
        <v>OCT</v>
      </c>
      <c r="L576" s="780">
        <f>YEAR(Tabla5[[#This Row],[FECHA]])</f>
        <v>2024</v>
      </c>
      <c r="M576" s="749">
        <v>308</v>
      </c>
      <c r="N576" s="441" t="s">
        <v>679</v>
      </c>
      <c r="O576" s="441" t="s">
        <v>712</v>
      </c>
      <c r="P576" s="441" t="s">
        <v>110</v>
      </c>
    </row>
    <row r="577" spans="1:16" ht="13.8">
      <c r="A577" s="531">
        <v>45590</v>
      </c>
      <c r="B577" s="340" t="s">
        <v>271</v>
      </c>
      <c r="C577" s="340" t="s">
        <v>257</v>
      </c>
      <c r="D577" s="340" t="s">
        <v>491</v>
      </c>
      <c r="E577" s="340">
        <v>76</v>
      </c>
      <c r="F577" s="340">
        <v>9</v>
      </c>
      <c r="G577" s="529">
        <v>929.93</v>
      </c>
      <c r="H577" s="551">
        <f t="shared" si="20"/>
        <v>636072.12</v>
      </c>
      <c r="I577" s="340">
        <v>1198</v>
      </c>
      <c r="J577" s="753">
        <f t="shared" si="21"/>
        <v>684</v>
      </c>
      <c r="K577" s="685" t="str">
        <f>UPPER((TEXT(Tabla5[[#This Row],[FECHA]],"MMM")))</f>
        <v>OCT</v>
      </c>
      <c r="L577" s="780">
        <f>YEAR(Tabla5[[#This Row],[FECHA]])</f>
        <v>2024</v>
      </c>
      <c r="M577" s="749">
        <v>308</v>
      </c>
      <c r="N577" s="441" t="s">
        <v>676</v>
      </c>
      <c r="O577" s="441" t="s">
        <v>712</v>
      </c>
      <c r="P577" s="441" t="s">
        <v>110</v>
      </c>
    </row>
    <row r="578" spans="1:16" ht="13.8">
      <c r="A578" s="531">
        <v>45590</v>
      </c>
      <c r="B578" s="340" t="s">
        <v>403</v>
      </c>
      <c r="C578" s="340" t="s">
        <v>404</v>
      </c>
      <c r="D578" s="340" t="s">
        <v>260</v>
      </c>
      <c r="E578" s="340">
        <v>58</v>
      </c>
      <c r="F578" s="340">
        <v>6</v>
      </c>
      <c r="G578" s="529">
        <v>929.93</v>
      </c>
      <c r="H578" s="551">
        <f t="shared" si="20"/>
        <v>323615.63999999996</v>
      </c>
      <c r="I578" s="340">
        <v>698</v>
      </c>
      <c r="J578" s="753">
        <f t="shared" si="21"/>
        <v>348</v>
      </c>
      <c r="K578" s="685" t="str">
        <f>UPPER((TEXT(Tabla5[[#This Row],[FECHA]],"MMM")))</f>
        <v>OCT</v>
      </c>
      <c r="L578" s="780">
        <f>YEAR(Tabla5[[#This Row],[FECHA]])</f>
        <v>2024</v>
      </c>
      <c r="M578" s="749">
        <v>308</v>
      </c>
      <c r="N578" s="441" t="s">
        <v>680</v>
      </c>
      <c r="O578" s="441" t="s">
        <v>712</v>
      </c>
      <c r="P578" s="441" t="s">
        <v>110</v>
      </c>
    </row>
    <row r="579" spans="1:16" ht="13.8">
      <c r="A579" s="531">
        <v>45591</v>
      </c>
      <c r="B579" s="340" t="s">
        <v>272</v>
      </c>
      <c r="C579" s="340" t="s">
        <v>282</v>
      </c>
      <c r="D579" s="340" t="s">
        <v>491</v>
      </c>
      <c r="E579" s="340">
        <v>76</v>
      </c>
      <c r="F579" s="340">
        <v>3</v>
      </c>
      <c r="G579" s="529">
        <v>929.93</v>
      </c>
      <c r="H579" s="551">
        <f t="shared" si="20"/>
        <v>212024.03999999998</v>
      </c>
      <c r="I579" s="340">
        <v>399</v>
      </c>
      <c r="J579" s="753">
        <f t="shared" si="21"/>
        <v>228</v>
      </c>
      <c r="K579" s="685" t="str">
        <f>UPPER((TEXT(Tabla5[[#This Row],[FECHA]],"MMM")))</f>
        <v>OCT</v>
      </c>
      <c r="L579" s="780">
        <f>YEAR(Tabla5[[#This Row],[FECHA]])</f>
        <v>2024</v>
      </c>
      <c r="M579" s="749">
        <v>308</v>
      </c>
      <c r="N579" s="441" t="s">
        <v>676</v>
      </c>
      <c r="O579" s="441" t="s">
        <v>712</v>
      </c>
      <c r="P579" s="441" t="s">
        <v>110</v>
      </c>
    </row>
    <row r="580" spans="1:16" ht="13.8">
      <c r="A580" s="531">
        <v>45591</v>
      </c>
      <c r="B580" s="340" t="s">
        <v>271</v>
      </c>
      <c r="C580" s="340" t="s">
        <v>292</v>
      </c>
      <c r="D580" s="340" t="s">
        <v>440</v>
      </c>
      <c r="E580" s="340">
        <v>96</v>
      </c>
      <c r="F580" s="340">
        <v>12</v>
      </c>
      <c r="G580" s="529">
        <v>929.93</v>
      </c>
      <c r="H580" s="551">
        <f t="shared" si="20"/>
        <v>1071279.3599999999</v>
      </c>
      <c r="I580" s="340">
        <v>1158</v>
      </c>
      <c r="J580" s="753">
        <f t="shared" si="21"/>
        <v>1152</v>
      </c>
      <c r="K580" s="685" t="str">
        <f>UPPER((TEXT(Tabla5[[#This Row],[FECHA]],"MMM")))</f>
        <v>OCT</v>
      </c>
      <c r="L580" s="780">
        <f>YEAR(Tabla5[[#This Row],[FECHA]])</f>
        <v>2024</v>
      </c>
      <c r="M580" s="749">
        <v>308</v>
      </c>
      <c r="N580" s="441" t="s">
        <v>678</v>
      </c>
      <c r="O580" s="441" t="s">
        <v>713</v>
      </c>
      <c r="P580" s="441" t="s">
        <v>110</v>
      </c>
    </row>
    <row r="581" spans="1:16" ht="13.8">
      <c r="A581" s="531">
        <v>45592</v>
      </c>
      <c r="B581" s="340" t="s">
        <v>256</v>
      </c>
      <c r="C581" s="340" t="s">
        <v>257</v>
      </c>
      <c r="D581" s="340" t="s">
        <v>440</v>
      </c>
      <c r="E581" s="340">
        <v>96</v>
      </c>
      <c r="F581" s="340">
        <v>15</v>
      </c>
      <c r="G581" s="529">
        <v>929.93</v>
      </c>
      <c r="H581" s="551">
        <f t="shared" si="20"/>
        <v>1339099.2</v>
      </c>
      <c r="I581" s="340">
        <v>1214</v>
      </c>
      <c r="J581" s="753">
        <f t="shared" si="21"/>
        <v>1440</v>
      </c>
      <c r="K581" s="685" t="str">
        <f>UPPER((TEXT(Tabla5[[#This Row],[FECHA]],"MMM")))</f>
        <v>OCT</v>
      </c>
      <c r="L581" s="780">
        <f>YEAR(Tabla5[[#This Row],[FECHA]])</f>
        <v>2024</v>
      </c>
      <c r="M581" s="749">
        <v>308</v>
      </c>
      <c r="N581" s="441" t="s">
        <v>678</v>
      </c>
      <c r="O581" s="441" t="s">
        <v>713</v>
      </c>
      <c r="P581" s="441" t="s">
        <v>110</v>
      </c>
    </row>
    <row r="582" spans="1:16" ht="13.8">
      <c r="A582" s="531">
        <v>45593</v>
      </c>
      <c r="B582" s="340" t="s">
        <v>261</v>
      </c>
      <c r="C582" s="340" t="s">
        <v>266</v>
      </c>
      <c r="D582" s="340" t="s">
        <v>260</v>
      </c>
      <c r="E582" s="340">
        <v>58</v>
      </c>
      <c r="F582" s="340">
        <v>4</v>
      </c>
      <c r="G582" s="529">
        <v>929.93</v>
      </c>
      <c r="H582" s="551">
        <f t="shared" si="20"/>
        <v>215743.75999999998</v>
      </c>
      <c r="I582" s="340">
        <v>177</v>
      </c>
      <c r="J582" s="753">
        <f t="shared" si="21"/>
        <v>232</v>
      </c>
      <c r="K582" s="685" t="str">
        <f>UPPER((TEXT(Tabla5[[#This Row],[FECHA]],"MMM")))</f>
        <v>OCT</v>
      </c>
      <c r="L582" s="780">
        <f>YEAR(Tabla5[[#This Row],[FECHA]])</f>
        <v>2024</v>
      </c>
      <c r="M582" s="749">
        <v>308</v>
      </c>
      <c r="N582" s="441" t="s">
        <v>679</v>
      </c>
      <c r="O582" s="441" t="s">
        <v>712</v>
      </c>
      <c r="P582" s="441" t="s">
        <v>110</v>
      </c>
    </row>
    <row r="583" spans="1:16" ht="13.8">
      <c r="A583" s="531">
        <v>45593</v>
      </c>
      <c r="B583" s="340" t="s">
        <v>271</v>
      </c>
      <c r="C583" s="340" t="s">
        <v>257</v>
      </c>
      <c r="D583" s="340" t="s">
        <v>491</v>
      </c>
      <c r="E583" s="340">
        <v>76</v>
      </c>
      <c r="F583" s="340">
        <v>9</v>
      </c>
      <c r="G583" s="529">
        <v>929.93</v>
      </c>
      <c r="H583" s="551">
        <f t="shared" si="20"/>
        <v>636072.12</v>
      </c>
      <c r="I583" s="340">
        <v>966</v>
      </c>
      <c r="J583" s="753">
        <f t="shared" si="21"/>
        <v>684</v>
      </c>
      <c r="K583" s="685" t="str">
        <f>UPPER((TEXT(Tabla5[[#This Row],[FECHA]],"MMM")))</f>
        <v>OCT</v>
      </c>
      <c r="L583" s="780">
        <f>YEAR(Tabla5[[#This Row],[FECHA]])</f>
        <v>2024</v>
      </c>
      <c r="M583" s="749">
        <v>308</v>
      </c>
      <c r="N583" s="441" t="s">
        <v>676</v>
      </c>
      <c r="O583" s="441" t="s">
        <v>712</v>
      </c>
      <c r="P583" s="441" t="s">
        <v>110</v>
      </c>
    </row>
    <row r="584" spans="1:16" ht="13.8">
      <c r="A584" s="531">
        <v>45593</v>
      </c>
      <c r="B584" s="340" t="s">
        <v>293</v>
      </c>
      <c r="C584" s="340" t="s">
        <v>273</v>
      </c>
      <c r="D584" s="340" t="s">
        <v>260</v>
      </c>
      <c r="E584" s="340">
        <v>58</v>
      </c>
      <c r="F584" s="340">
        <v>4</v>
      </c>
      <c r="G584" s="529">
        <v>929.93</v>
      </c>
      <c r="H584" s="551">
        <f t="shared" si="20"/>
        <v>215743.75999999998</v>
      </c>
      <c r="I584" s="340">
        <v>389</v>
      </c>
      <c r="J584" s="753">
        <f t="shared" si="21"/>
        <v>232</v>
      </c>
      <c r="K584" s="685" t="str">
        <f>UPPER((TEXT(Tabla5[[#This Row],[FECHA]],"MMM")))</f>
        <v>OCT</v>
      </c>
      <c r="L584" s="780">
        <f>YEAR(Tabla5[[#This Row],[FECHA]])</f>
        <v>2024</v>
      </c>
      <c r="M584" s="749">
        <v>308</v>
      </c>
      <c r="N584" s="441" t="s">
        <v>680</v>
      </c>
      <c r="O584" s="441" t="s">
        <v>712</v>
      </c>
      <c r="P584" s="441" t="s">
        <v>110</v>
      </c>
    </row>
    <row r="585" spans="1:16" ht="13.8">
      <c r="A585" s="531">
        <v>45594</v>
      </c>
      <c r="B585" s="340" t="s">
        <v>261</v>
      </c>
      <c r="C585" s="340" t="s">
        <v>266</v>
      </c>
      <c r="D585" s="340" t="s">
        <v>260</v>
      </c>
      <c r="E585" s="340">
        <v>58</v>
      </c>
      <c r="F585" s="340">
        <v>4</v>
      </c>
      <c r="G585" s="529">
        <v>929.93</v>
      </c>
      <c r="H585" s="551">
        <f t="shared" si="20"/>
        <v>215743.75999999998</v>
      </c>
      <c r="I585" s="340">
        <v>194</v>
      </c>
      <c r="J585" s="753">
        <f t="shared" si="21"/>
        <v>232</v>
      </c>
      <c r="K585" s="685" t="str">
        <f>UPPER((TEXT(Tabla5[[#This Row],[FECHA]],"MMM")))</f>
        <v>OCT</v>
      </c>
      <c r="L585" s="780">
        <f>YEAR(Tabla5[[#This Row],[FECHA]])</f>
        <v>2024</v>
      </c>
      <c r="M585" s="749">
        <v>308</v>
      </c>
      <c r="N585" s="441" t="s">
        <v>679</v>
      </c>
      <c r="O585" s="441" t="s">
        <v>712</v>
      </c>
      <c r="P585" s="441" t="s">
        <v>110</v>
      </c>
    </row>
    <row r="586" spans="1:16" ht="13.8">
      <c r="A586" s="531">
        <v>45594</v>
      </c>
      <c r="B586" s="340" t="s">
        <v>271</v>
      </c>
      <c r="C586" s="340" t="s">
        <v>257</v>
      </c>
      <c r="D586" s="340" t="s">
        <v>491</v>
      </c>
      <c r="E586" s="340">
        <v>76</v>
      </c>
      <c r="F586" s="340">
        <v>9</v>
      </c>
      <c r="G586" s="529">
        <v>929.93</v>
      </c>
      <c r="H586" s="551">
        <f t="shared" si="20"/>
        <v>636072.12</v>
      </c>
      <c r="I586" s="340">
        <v>1057</v>
      </c>
      <c r="J586" s="753">
        <f t="shared" si="21"/>
        <v>684</v>
      </c>
      <c r="K586" s="685" t="str">
        <f>UPPER((TEXT(Tabla5[[#This Row],[FECHA]],"MMM")))</f>
        <v>OCT</v>
      </c>
      <c r="L586" s="780">
        <f>YEAR(Tabla5[[#This Row],[FECHA]])</f>
        <v>2024</v>
      </c>
      <c r="M586" s="749">
        <v>308</v>
      </c>
      <c r="N586" s="441" t="s">
        <v>676</v>
      </c>
      <c r="O586" s="441" t="s">
        <v>712</v>
      </c>
      <c r="P586" s="441" t="s">
        <v>110</v>
      </c>
    </row>
    <row r="587" spans="1:16" ht="13.8">
      <c r="A587" s="531">
        <v>45594</v>
      </c>
      <c r="B587" s="340" t="s">
        <v>403</v>
      </c>
      <c r="C587" s="340" t="s">
        <v>404</v>
      </c>
      <c r="D587" s="340" t="s">
        <v>260</v>
      </c>
      <c r="E587" s="340">
        <v>58</v>
      </c>
      <c r="F587" s="340">
        <v>5</v>
      </c>
      <c r="G587" s="529">
        <v>929.93</v>
      </c>
      <c r="H587" s="551">
        <f t="shared" ref="H587:H650" si="22">E587*F587*G587</f>
        <v>269679.7</v>
      </c>
      <c r="I587" s="340">
        <v>502</v>
      </c>
      <c r="J587" s="753">
        <f t="shared" si="21"/>
        <v>290</v>
      </c>
      <c r="K587" s="685" t="str">
        <f>UPPER((TEXT(Tabla5[[#This Row],[FECHA]],"MMM")))</f>
        <v>OCT</v>
      </c>
      <c r="L587" s="780">
        <f>YEAR(Tabla5[[#This Row],[FECHA]])</f>
        <v>2024</v>
      </c>
      <c r="M587" s="749">
        <v>308</v>
      </c>
      <c r="N587" s="441" t="s">
        <v>680</v>
      </c>
      <c r="O587" s="441" t="s">
        <v>712</v>
      </c>
      <c r="P587" s="441" t="s">
        <v>110</v>
      </c>
    </row>
    <row r="588" spans="1:16" ht="13.8">
      <c r="A588" s="531">
        <v>45595</v>
      </c>
      <c r="B588" s="340" t="s">
        <v>261</v>
      </c>
      <c r="C588" s="340" t="s">
        <v>266</v>
      </c>
      <c r="D588" s="340" t="s">
        <v>260</v>
      </c>
      <c r="E588" s="340">
        <v>58</v>
      </c>
      <c r="F588" s="340">
        <v>4</v>
      </c>
      <c r="G588" s="529">
        <v>929.93</v>
      </c>
      <c r="H588" s="551">
        <f t="shared" si="22"/>
        <v>215743.75999999998</v>
      </c>
      <c r="I588" s="340">
        <v>158</v>
      </c>
      <c r="J588" s="753">
        <f t="shared" ref="J588:J593" si="23">E588*F588</f>
        <v>232</v>
      </c>
      <c r="K588" s="685" t="str">
        <f>UPPER((TEXT(Tabla5[[#This Row],[FECHA]],"MMM")))</f>
        <v>OCT</v>
      </c>
      <c r="L588" s="780">
        <f>YEAR(Tabla5[[#This Row],[FECHA]])</f>
        <v>2024</v>
      </c>
      <c r="M588" s="749">
        <v>308</v>
      </c>
      <c r="N588" s="441" t="s">
        <v>679</v>
      </c>
      <c r="O588" s="441" t="s">
        <v>712</v>
      </c>
      <c r="P588" s="441" t="s">
        <v>110</v>
      </c>
    </row>
    <row r="589" spans="1:16" ht="13.8">
      <c r="A589" s="531">
        <v>45595</v>
      </c>
      <c r="B589" s="340" t="s">
        <v>271</v>
      </c>
      <c r="C589" s="340" t="s">
        <v>257</v>
      </c>
      <c r="D589" s="340" t="s">
        <v>491</v>
      </c>
      <c r="E589" s="340">
        <v>76</v>
      </c>
      <c r="F589" s="340">
        <v>9</v>
      </c>
      <c r="G589" s="529">
        <v>929.93</v>
      </c>
      <c r="H589" s="551">
        <f t="shared" si="22"/>
        <v>636072.12</v>
      </c>
      <c r="I589" s="340">
        <v>1278</v>
      </c>
      <c r="J589" s="753">
        <f t="shared" si="23"/>
        <v>684</v>
      </c>
      <c r="K589" s="685" t="str">
        <f>UPPER((TEXT(Tabla5[[#This Row],[FECHA]],"MMM")))</f>
        <v>OCT</v>
      </c>
      <c r="L589" s="780">
        <f>YEAR(Tabla5[[#This Row],[FECHA]])</f>
        <v>2024</v>
      </c>
      <c r="M589" s="749">
        <v>308</v>
      </c>
      <c r="N589" s="441" t="s">
        <v>676</v>
      </c>
      <c r="O589" s="441" t="s">
        <v>712</v>
      </c>
      <c r="P589" s="441" t="s">
        <v>110</v>
      </c>
    </row>
    <row r="590" spans="1:16" ht="13.8">
      <c r="A590" s="531">
        <v>45595</v>
      </c>
      <c r="B590" s="340" t="s">
        <v>267</v>
      </c>
      <c r="C590" s="340" t="s">
        <v>268</v>
      </c>
      <c r="D590" s="340" t="s">
        <v>260</v>
      </c>
      <c r="E590" s="340">
        <v>58</v>
      </c>
      <c r="F590" s="340">
        <v>6</v>
      </c>
      <c r="G590" s="529">
        <v>929.93</v>
      </c>
      <c r="H590" s="551">
        <f t="shared" si="22"/>
        <v>323615.63999999996</v>
      </c>
      <c r="I590" s="340">
        <v>486</v>
      </c>
      <c r="J590" s="753">
        <f t="shared" si="23"/>
        <v>348</v>
      </c>
      <c r="K590" s="685" t="str">
        <f>UPPER((TEXT(Tabla5[[#This Row],[FECHA]],"MMM")))</f>
        <v>OCT</v>
      </c>
      <c r="L590" s="780">
        <f>YEAR(Tabla5[[#This Row],[FECHA]])</f>
        <v>2024</v>
      </c>
      <c r="M590" s="749">
        <v>308</v>
      </c>
      <c r="N590" s="441" t="s">
        <v>680</v>
      </c>
      <c r="O590" s="441" t="s">
        <v>712</v>
      </c>
      <c r="P590" s="441" t="s">
        <v>110</v>
      </c>
    </row>
    <row r="591" spans="1:16" ht="13.8">
      <c r="A591" s="531">
        <v>45596</v>
      </c>
      <c r="B591" s="340" t="s">
        <v>261</v>
      </c>
      <c r="C591" s="340" t="s">
        <v>266</v>
      </c>
      <c r="D591" s="340" t="s">
        <v>260</v>
      </c>
      <c r="E591" s="340">
        <v>58</v>
      </c>
      <c r="F591" s="340">
        <v>4</v>
      </c>
      <c r="G591" s="529">
        <v>929.93</v>
      </c>
      <c r="H591" s="551">
        <f t="shared" si="22"/>
        <v>215743.75999999998</v>
      </c>
      <c r="I591" s="340">
        <v>172</v>
      </c>
      <c r="J591" s="753">
        <f t="shared" si="23"/>
        <v>232</v>
      </c>
      <c r="K591" s="685" t="str">
        <f>UPPER((TEXT(Tabla5[[#This Row],[FECHA]],"MMM")))</f>
        <v>OCT</v>
      </c>
      <c r="L591" s="780">
        <f>YEAR(Tabla5[[#This Row],[FECHA]])</f>
        <v>2024</v>
      </c>
      <c r="M591" s="749">
        <v>308</v>
      </c>
      <c r="N591" s="441" t="s">
        <v>679</v>
      </c>
      <c r="O591" s="441" t="s">
        <v>712</v>
      </c>
      <c r="P591" s="441" t="s">
        <v>110</v>
      </c>
    </row>
    <row r="592" spans="1:16" ht="13.8">
      <c r="A592" s="531">
        <v>45596</v>
      </c>
      <c r="B592" s="340" t="s">
        <v>271</v>
      </c>
      <c r="C592" s="340" t="s">
        <v>257</v>
      </c>
      <c r="D592" s="340" t="s">
        <v>491</v>
      </c>
      <c r="E592" s="340">
        <v>76</v>
      </c>
      <c r="F592" s="340">
        <v>9</v>
      </c>
      <c r="G592" s="529">
        <v>929.93</v>
      </c>
      <c r="H592" s="551">
        <f t="shared" si="22"/>
        <v>636072.12</v>
      </c>
      <c r="I592" s="340">
        <v>789</v>
      </c>
      <c r="J592" s="753">
        <f t="shared" si="23"/>
        <v>684</v>
      </c>
      <c r="K592" s="685" t="str">
        <f>UPPER((TEXT(Tabla5[[#This Row],[FECHA]],"MMM")))</f>
        <v>OCT</v>
      </c>
      <c r="L592" s="780">
        <f>YEAR(Tabla5[[#This Row],[FECHA]])</f>
        <v>2024</v>
      </c>
      <c r="M592" s="749">
        <v>308</v>
      </c>
      <c r="N592" s="441" t="s">
        <v>676</v>
      </c>
      <c r="O592" s="441" t="s">
        <v>712</v>
      </c>
      <c r="P592" s="441" t="s">
        <v>110</v>
      </c>
    </row>
    <row r="593" spans="1:16" ht="13.8">
      <c r="A593" s="531">
        <v>45596</v>
      </c>
      <c r="B593" s="340" t="s">
        <v>267</v>
      </c>
      <c r="C593" s="340" t="s">
        <v>268</v>
      </c>
      <c r="D593" s="340" t="s">
        <v>260</v>
      </c>
      <c r="E593" s="340">
        <v>58</v>
      </c>
      <c r="F593" s="340">
        <v>5</v>
      </c>
      <c r="G593" s="529">
        <v>929.93</v>
      </c>
      <c r="H593" s="551">
        <f t="shared" si="22"/>
        <v>269679.7</v>
      </c>
      <c r="I593" s="340">
        <v>443</v>
      </c>
      <c r="J593" s="753">
        <f t="shared" si="23"/>
        <v>290</v>
      </c>
      <c r="K593" s="685" t="str">
        <f>UPPER((TEXT(Tabla5[[#This Row],[FECHA]],"MMM")))</f>
        <v>OCT</v>
      </c>
      <c r="L593" s="780">
        <f>YEAR(Tabla5[[#This Row],[FECHA]])</f>
        <v>2024</v>
      </c>
      <c r="M593" s="749">
        <v>308</v>
      </c>
      <c r="N593" s="441" t="s">
        <v>680</v>
      </c>
      <c r="O593" s="441" t="s">
        <v>712</v>
      </c>
      <c r="P593" s="441" t="s">
        <v>110</v>
      </c>
    </row>
    <row r="594" spans="1:16" ht="13.8">
      <c r="A594" s="531">
        <v>45597</v>
      </c>
      <c r="B594" s="340" t="s">
        <v>272</v>
      </c>
      <c r="C594" s="340" t="s">
        <v>278</v>
      </c>
      <c r="D594" s="340" t="s">
        <v>260</v>
      </c>
      <c r="E594" s="340">
        <v>58</v>
      </c>
      <c r="F594" s="340">
        <v>4</v>
      </c>
      <c r="G594" s="529">
        <v>929.93</v>
      </c>
      <c r="H594" s="551">
        <f t="shared" si="22"/>
        <v>215743.75999999998</v>
      </c>
      <c r="I594" s="340">
        <v>147</v>
      </c>
      <c r="J594" s="753">
        <f>E594*F594</f>
        <v>232</v>
      </c>
      <c r="K594" s="685" t="str">
        <f>UPPER((TEXT(Tabla5[[#This Row],[FECHA]],"MMM")))</f>
        <v>NOV</v>
      </c>
      <c r="L594" s="780">
        <f>YEAR(Tabla5[[#This Row],[FECHA]])</f>
        <v>2024</v>
      </c>
      <c r="M594" s="749">
        <v>324</v>
      </c>
      <c r="N594" s="441" t="s">
        <v>679</v>
      </c>
      <c r="O594" s="441" t="s">
        <v>712</v>
      </c>
      <c r="P594" s="441" t="s">
        <v>110</v>
      </c>
    </row>
    <row r="595" spans="1:16" ht="13.8">
      <c r="A595" s="531">
        <v>45597</v>
      </c>
      <c r="B595" s="340" t="s">
        <v>271</v>
      </c>
      <c r="C595" s="340" t="s">
        <v>257</v>
      </c>
      <c r="D595" s="340" t="s">
        <v>491</v>
      </c>
      <c r="E595" s="340">
        <v>76</v>
      </c>
      <c r="F595" s="340">
        <v>9</v>
      </c>
      <c r="G595" s="529">
        <v>929.93</v>
      </c>
      <c r="H595" s="551">
        <f t="shared" si="22"/>
        <v>636072.12</v>
      </c>
      <c r="I595" s="340">
        <v>1060</v>
      </c>
      <c r="J595" s="753">
        <f t="shared" ref="J595:J656" si="24">E595*F595</f>
        <v>684</v>
      </c>
      <c r="K595" s="685" t="str">
        <f>UPPER((TEXT(Tabla5[[#This Row],[FECHA]],"MMM")))</f>
        <v>NOV</v>
      </c>
      <c r="L595" s="780">
        <f>YEAR(Tabla5[[#This Row],[FECHA]])</f>
        <v>2024</v>
      </c>
      <c r="M595" s="749">
        <v>324</v>
      </c>
      <c r="N595" s="441" t="s">
        <v>676</v>
      </c>
      <c r="O595" s="441" t="s">
        <v>712</v>
      </c>
      <c r="P595" s="441" t="s">
        <v>110</v>
      </c>
    </row>
    <row r="596" spans="1:16" ht="13.8">
      <c r="A596" s="531">
        <v>45597</v>
      </c>
      <c r="B596" s="340" t="s">
        <v>267</v>
      </c>
      <c r="C596" s="340" t="s">
        <v>268</v>
      </c>
      <c r="D596" s="340" t="s">
        <v>260</v>
      </c>
      <c r="E596" s="340">
        <v>58</v>
      </c>
      <c r="F596" s="340">
        <v>6</v>
      </c>
      <c r="G596" s="529">
        <v>929.93</v>
      </c>
      <c r="H596" s="551">
        <f t="shared" si="22"/>
        <v>323615.63999999996</v>
      </c>
      <c r="I596" s="340">
        <v>552</v>
      </c>
      <c r="J596" s="753">
        <f t="shared" si="24"/>
        <v>348</v>
      </c>
      <c r="K596" s="685" t="str">
        <f>UPPER((TEXT(Tabla5[[#This Row],[FECHA]],"MMM")))</f>
        <v>NOV</v>
      </c>
      <c r="L596" s="780">
        <f>YEAR(Tabla5[[#This Row],[FECHA]])</f>
        <v>2024</v>
      </c>
      <c r="M596" s="749">
        <v>324</v>
      </c>
      <c r="N596" s="441" t="s">
        <v>680</v>
      </c>
      <c r="O596" s="441" t="s">
        <v>712</v>
      </c>
      <c r="P596" s="441" t="s">
        <v>110</v>
      </c>
    </row>
    <row r="597" spans="1:16" ht="13.8">
      <c r="A597" s="531">
        <v>45598</v>
      </c>
      <c r="B597" s="340" t="s">
        <v>272</v>
      </c>
      <c r="C597" s="340" t="s">
        <v>640</v>
      </c>
      <c r="D597" s="340" t="s">
        <v>491</v>
      </c>
      <c r="E597" s="340">
        <v>76</v>
      </c>
      <c r="F597" s="340">
        <v>3</v>
      </c>
      <c r="G597" s="529">
        <v>929.93</v>
      </c>
      <c r="H597" s="551">
        <f t="shared" si="22"/>
        <v>212024.03999999998</v>
      </c>
      <c r="I597" s="340">
        <v>280</v>
      </c>
      <c r="J597" s="753">
        <f t="shared" si="24"/>
        <v>228</v>
      </c>
      <c r="K597" s="685" t="str">
        <f>UPPER((TEXT(Tabla5[[#This Row],[FECHA]],"MMM")))</f>
        <v>NOV</v>
      </c>
      <c r="L597" s="780">
        <f>YEAR(Tabla5[[#This Row],[FECHA]])</f>
        <v>2024</v>
      </c>
      <c r="M597" s="749">
        <v>324</v>
      </c>
      <c r="N597" s="441" t="s">
        <v>676</v>
      </c>
      <c r="O597" s="441" t="s">
        <v>712</v>
      </c>
      <c r="P597" s="441" t="s">
        <v>110</v>
      </c>
    </row>
    <row r="598" spans="1:16" ht="13.8">
      <c r="A598" s="531">
        <v>45598</v>
      </c>
      <c r="B598" s="340" t="s">
        <v>271</v>
      </c>
      <c r="C598" s="340" t="s">
        <v>292</v>
      </c>
      <c r="D598" s="340" t="s">
        <v>440</v>
      </c>
      <c r="E598" s="340">
        <v>96</v>
      </c>
      <c r="F598" s="340">
        <v>15</v>
      </c>
      <c r="G598" s="529">
        <v>929.93</v>
      </c>
      <c r="H598" s="551">
        <f t="shared" si="22"/>
        <v>1339099.2</v>
      </c>
      <c r="I598" s="340">
        <v>1062</v>
      </c>
      <c r="J598" s="753">
        <f t="shared" si="24"/>
        <v>1440</v>
      </c>
      <c r="K598" s="685" t="str">
        <f>UPPER((TEXT(Tabla5[[#This Row],[FECHA]],"MMM")))</f>
        <v>NOV</v>
      </c>
      <c r="L598" s="780">
        <f>YEAR(Tabla5[[#This Row],[FECHA]])</f>
        <v>2024</v>
      </c>
      <c r="M598" s="749">
        <v>324</v>
      </c>
      <c r="N598" s="441" t="s">
        <v>678</v>
      </c>
      <c r="O598" s="441" t="s">
        <v>713</v>
      </c>
      <c r="P598" s="441" t="s">
        <v>110</v>
      </c>
    </row>
    <row r="599" spans="1:16" ht="13.8">
      <c r="A599" s="531">
        <v>45599</v>
      </c>
      <c r="B599" s="340" t="s">
        <v>256</v>
      </c>
      <c r="C599" s="340" t="s">
        <v>257</v>
      </c>
      <c r="D599" s="340" t="s">
        <v>440</v>
      </c>
      <c r="E599" s="340">
        <v>96</v>
      </c>
      <c r="F599" s="340">
        <v>18</v>
      </c>
      <c r="G599" s="529">
        <v>929.93</v>
      </c>
      <c r="H599" s="551">
        <f t="shared" si="22"/>
        <v>1606919.0399999998</v>
      </c>
      <c r="I599" s="340">
        <v>1590</v>
      </c>
      <c r="J599" s="753">
        <f t="shared" si="24"/>
        <v>1728</v>
      </c>
      <c r="K599" s="685" t="str">
        <f>UPPER((TEXT(Tabla5[[#This Row],[FECHA]],"MMM")))</f>
        <v>NOV</v>
      </c>
      <c r="L599" s="780">
        <f>YEAR(Tabla5[[#This Row],[FECHA]])</f>
        <v>2024</v>
      </c>
      <c r="M599" s="749">
        <v>324</v>
      </c>
      <c r="N599" s="441" t="s">
        <v>678</v>
      </c>
      <c r="O599" s="441" t="s">
        <v>713</v>
      </c>
      <c r="P599" s="441" t="s">
        <v>110</v>
      </c>
    </row>
    <row r="600" spans="1:16" ht="13.8">
      <c r="A600" s="531">
        <v>45600</v>
      </c>
      <c r="B600" s="340" t="s">
        <v>256</v>
      </c>
      <c r="C600" s="340" t="s">
        <v>257</v>
      </c>
      <c r="D600" s="340" t="s">
        <v>440</v>
      </c>
      <c r="E600" s="340">
        <v>96</v>
      </c>
      <c r="F600" s="340">
        <v>14</v>
      </c>
      <c r="G600" s="529">
        <v>929.93</v>
      </c>
      <c r="H600" s="551">
        <f t="shared" si="22"/>
        <v>1249825.92</v>
      </c>
      <c r="I600" s="340">
        <v>1050</v>
      </c>
      <c r="J600" s="753">
        <f t="shared" si="24"/>
        <v>1344</v>
      </c>
      <c r="K600" s="685" t="str">
        <f>UPPER((TEXT(Tabla5[[#This Row],[FECHA]],"MMM")))</f>
        <v>NOV</v>
      </c>
      <c r="L600" s="780">
        <f>YEAR(Tabla5[[#This Row],[FECHA]])</f>
        <v>2024</v>
      </c>
      <c r="M600" s="749">
        <v>324</v>
      </c>
      <c r="N600" s="441" t="s">
        <v>678</v>
      </c>
      <c r="O600" s="441" t="s">
        <v>713</v>
      </c>
      <c r="P600" s="441" t="s">
        <v>110</v>
      </c>
    </row>
    <row r="601" spans="1:16" ht="13.8">
      <c r="A601" s="531">
        <v>45601</v>
      </c>
      <c r="B601" s="340" t="s">
        <v>641</v>
      </c>
      <c r="C601" s="340" t="s">
        <v>266</v>
      </c>
      <c r="D601" s="340" t="s">
        <v>260</v>
      </c>
      <c r="E601" s="340">
        <v>58</v>
      </c>
      <c r="F601" s="340">
        <v>4</v>
      </c>
      <c r="G601" s="529">
        <v>929.93</v>
      </c>
      <c r="H601" s="551">
        <f t="shared" si="22"/>
        <v>215743.75999999998</v>
      </c>
      <c r="I601" s="340">
        <v>233</v>
      </c>
      <c r="J601" s="753">
        <f t="shared" si="24"/>
        <v>232</v>
      </c>
      <c r="K601" s="685" t="str">
        <f>UPPER((TEXT(Tabla5[[#This Row],[FECHA]],"MMM")))</f>
        <v>NOV</v>
      </c>
      <c r="L601" s="780">
        <f>YEAR(Tabla5[[#This Row],[FECHA]])</f>
        <v>2024</v>
      </c>
      <c r="M601" s="749">
        <v>324</v>
      </c>
      <c r="N601" s="441" t="s">
        <v>679</v>
      </c>
      <c r="O601" s="441" t="s">
        <v>712</v>
      </c>
      <c r="P601" s="441" t="s">
        <v>110</v>
      </c>
    </row>
    <row r="602" spans="1:16" ht="13.8">
      <c r="A602" s="531">
        <v>45601</v>
      </c>
      <c r="B602" s="340" t="s">
        <v>295</v>
      </c>
      <c r="C602" s="340" t="s">
        <v>258</v>
      </c>
      <c r="D602" s="340" t="s">
        <v>491</v>
      </c>
      <c r="E602" s="340">
        <v>76</v>
      </c>
      <c r="F602" s="340">
        <v>9</v>
      </c>
      <c r="G602" s="529">
        <v>929.93</v>
      </c>
      <c r="H602" s="551">
        <f t="shared" si="22"/>
        <v>636072.12</v>
      </c>
      <c r="I602" s="340">
        <v>1097</v>
      </c>
      <c r="J602" s="753">
        <f t="shared" si="24"/>
        <v>684</v>
      </c>
      <c r="K602" s="685" t="str">
        <f>UPPER((TEXT(Tabla5[[#This Row],[FECHA]],"MMM")))</f>
        <v>NOV</v>
      </c>
      <c r="L602" s="780">
        <f>YEAR(Tabla5[[#This Row],[FECHA]])</f>
        <v>2024</v>
      </c>
      <c r="M602" s="749">
        <v>324</v>
      </c>
      <c r="N602" s="441" t="s">
        <v>676</v>
      </c>
      <c r="O602" s="441" t="s">
        <v>712</v>
      </c>
      <c r="P602" s="441" t="s">
        <v>110</v>
      </c>
    </row>
    <row r="603" spans="1:16" ht="13.8">
      <c r="A603" s="531">
        <v>45601</v>
      </c>
      <c r="B603" s="340" t="s">
        <v>403</v>
      </c>
      <c r="C603" s="340" t="s">
        <v>404</v>
      </c>
      <c r="D603" s="340" t="s">
        <v>260</v>
      </c>
      <c r="E603" s="340">
        <v>58</v>
      </c>
      <c r="F603" s="340">
        <v>5</v>
      </c>
      <c r="G603" s="529">
        <v>929.93</v>
      </c>
      <c r="H603" s="551">
        <f t="shared" si="22"/>
        <v>269679.7</v>
      </c>
      <c r="I603" s="340">
        <v>413</v>
      </c>
      <c r="J603" s="753">
        <f t="shared" si="24"/>
        <v>290</v>
      </c>
      <c r="K603" s="685" t="str">
        <f>UPPER((TEXT(Tabla5[[#This Row],[FECHA]],"MMM")))</f>
        <v>NOV</v>
      </c>
      <c r="L603" s="780">
        <f>YEAR(Tabla5[[#This Row],[FECHA]])</f>
        <v>2024</v>
      </c>
      <c r="M603" s="749">
        <v>324</v>
      </c>
      <c r="N603" s="441" t="s">
        <v>680</v>
      </c>
      <c r="O603" s="441" t="s">
        <v>712</v>
      </c>
      <c r="P603" s="441" t="s">
        <v>110</v>
      </c>
    </row>
    <row r="604" spans="1:16" ht="13.8">
      <c r="A604" s="531">
        <v>45602</v>
      </c>
      <c r="B604" s="340" t="s">
        <v>641</v>
      </c>
      <c r="C604" s="340" t="s">
        <v>266</v>
      </c>
      <c r="D604" s="340" t="s">
        <v>260</v>
      </c>
      <c r="E604" s="340">
        <v>58</v>
      </c>
      <c r="F604" s="340">
        <v>4</v>
      </c>
      <c r="G604" s="529">
        <v>929.93</v>
      </c>
      <c r="H604" s="551">
        <f t="shared" si="22"/>
        <v>215743.75999999998</v>
      </c>
      <c r="I604" s="340">
        <v>610</v>
      </c>
      <c r="J604" s="753">
        <f t="shared" si="24"/>
        <v>232</v>
      </c>
      <c r="K604" s="685" t="str">
        <f>UPPER((TEXT(Tabla5[[#This Row],[FECHA]],"MMM")))</f>
        <v>NOV</v>
      </c>
      <c r="L604" s="780">
        <f>YEAR(Tabla5[[#This Row],[FECHA]])</f>
        <v>2024</v>
      </c>
      <c r="M604" s="749">
        <v>324</v>
      </c>
      <c r="N604" s="441" t="s">
        <v>679</v>
      </c>
      <c r="O604" s="441" t="s">
        <v>712</v>
      </c>
      <c r="P604" s="441" t="s">
        <v>110</v>
      </c>
    </row>
    <row r="605" spans="1:16" ht="13.8">
      <c r="A605" s="531">
        <v>45602</v>
      </c>
      <c r="B605" s="340" t="s">
        <v>295</v>
      </c>
      <c r="C605" s="340" t="s">
        <v>258</v>
      </c>
      <c r="D605" s="340" t="s">
        <v>491</v>
      </c>
      <c r="E605" s="340">
        <v>76</v>
      </c>
      <c r="F605" s="340">
        <v>9</v>
      </c>
      <c r="G605" s="529">
        <v>929.93</v>
      </c>
      <c r="H605" s="551">
        <f t="shared" si="22"/>
        <v>636072.12</v>
      </c>
      <c r="I605" s="340">
        <v>1114</v>
      </c>
      <c r="J605" s="753">
        <f t="shared" si="24"/>
        <v>684</v>
      </c>
      <c r="K605" s="685" t="str">
        <f>UPPER((TEXT(Tabla5[[#This Row],[FECHA]],"MMM")))</f>
        <v>NOV</v>
      </c>
      <c r="L605" s="780">
        <f>YEAR(Tabla5[[#This Row],[FECHA]])</f>
        <v>2024</v>
      </c>
      <c r="M605" s="749">
        <v>324</v>
      </c>
      <c r="N605" s="441" t="s">
        <v>676</v>
      </c>
      <c r="O605" s="441" t="s">
        <v>712</v>
      </c>
      <c r="P605" s="441" t="s">
        <v>110</v>
      </c>
    </row>
    <row r="606" spans="1:16" ht="13.8">
      <c r="A606" s="531">
        <v>45602</v>
      </c>
      <c r="B606" s="340" t="s">
        <v>403</v>
      </c>
      <c r="C606" s="340" t="s">
        <v>404</v>
      </c>
      <c r="D606" s="340" t="s">
        <v>260</v>
      </c>
      <c r="E606" s="340">
        <v>58</v>
      </c>
      <c r="F606" s="340">
        <v>6</v>
      </c>
      <c r="G606" s="529">
        <v>929.93</v>
      </c>
      <c r="H606" s="551">
        <f t="shared" si="22"/>
        <v>323615.63999999996</v>
      </c>
      <c r="I606" s="340">
        <v>547</v>
      </c>
      <c r="J606" s="753">
        <f t="shared" si="24"/>
        <v>348</v>
      </c>
      <c r="K606" s="685" t="str">
        <f>UPPER((TEXT(Tabla5[[#This Row],[FECHA]],"MMM")))</f>
        <v>NOV</v>
      </c>
      <c r="L606" s="780">
        <f>YEAR(Tabla5[[#This Row],[FECHA]])</f>
        <v>2024</v>
      </c>
      <c r="M606" s="749">
        <v>324</v>
      </c>
      <c r="N606" s="441" t="s">
        <v>680</v>
      </c>
      <c r="O606" s="441" t="s">
        <v>712</v>
      </c>
      <c r="P606" s="441" t="s">
        <v>110</v>
      </c>
    </row>
    <row r="607" spans="1:16" ht="13.8">
      <c r="A607" s="531">
        <v>45602</v>
      </c>
      <c r="B607" s="340" t="s">
        <v>642</v>
      </c>
      <c r="C607" s="340" t="s">
        <v>643</v>
      </c>
      <c r="D607" s="340" t="s">
        <v>260</v>
      </c>
      <c r="E607" s="340">
        <v>58</v>
      </c>
      <c r="F607" s="340">
        <v>3</v>
      </c>
      <c r="G607" s="529">
        <v>929.93</v>
      </c>
      <c r="H607" s="551">
        <f t="shared" si="22"/>
        <v>161807.81999999998</v>
      </c>
      <c r="I607" s="340">
        <v>480</v>
      </c>
      <c r="J607" s="753">
        <f t="shared" si="24"/>
        <v>174</v>
      </c>
      <c r="K607" s="685" t="str">
        <f>UPPER((TEXT(Tabla5[[#This Row],[FECHA]],"MMM")))</f>
        <v>NOV</v>
      </c>
      <c r="L607" s="780">
        <f>YEAR(Tabla5[[#This Row],[FECHA]])</f>
        <v>2024</v>
      </c>
      <c r="M607" s="749">
        <v>324</v>
      </c>
      <c r="N607" s="441" t="s">
        <v>679</v>
      </c>
      <c r="O607" s="441" t="s">
        <v>712</v>
      </c>
      <c r="P607" s="441" t="s">
        <v>110</v>
      </c>
    </row>
    <row r="608" spans="1:16" ht="13.8">
      <c r="A608" s="531">
        <v>45603</v>
      </c>
      <c r="B608" s="340" t="s">
        <v>253</v>
      </c>
      <c r="C608" s="340" t="s">
        <v>258</v>
      </c>
      <c r="D608" s="340" t="s">
        <v>491</v>
      </c>
      <c r="E608" s="340">
        <v>76</v>
      </c>
      <c r="F608" s="340">
        <v>9</v>
      </c>
      <c r="G608" s="529">
        <v>929.93</v>
      </c>
      <c r="H608" s="551">
        <f t="shared" si="22"/>
        <v>636072.12</v>
      </c>
      <c r="I608" s="340">
        <v>555</v>
      </c>
      <c r="J608" s="753">
        <f t="shared" si="24"/>
        <v>684</v>
      </c>
      <c r="K608" s="685" t="str">
        <f>UPPER((TEXT(Tabla5[[#This Row],[FECHA]],"MMM")))</f>
        <v>NOV</v>
      </c>
      <c r="L608" s="780">
        <f>YEAR(Tabla5[[#This Row],[FECHA]])</f>
        <v>2024</v>
      </c>
      <c r="M608" s="749">
        <v>324</v>
      </c>
      <c r="N608" s="441" t="s">
        <v>676</v>
      </c>
      <c r="O608" s="441" t="s">
        <v>712</v>
      </c>
      <c r="P608" s="441" t="s">
        <v>110</v>
      </c>
    </row>
    <row r="609" spans="1:16" ht="13.8">
      <c r="A609" s="531">
        <v>45603</v>
      </c>
      <c r="B609" s="340" t="s">
        <v>271</v>
      </c>
      <c r="C609" s="340" t="s">
        <v>259</v>
      </c>
      <c r="D609" s="340" t="s">
        <v>260</v>
      </c>
      <c r="E609" s="340">
        <v>58</v>
      </c>
      <c r="F609" s="340">
        <v>5</v>
      </c>
      <c r="G609" s="529">
        <v>929.93</v>
      </c>
      <c r="H609" s="551">
        <f t="shared" si="22"/>
        <v>269679.7</v>
      </c>
      <c r="I609" s="340">
        <v>159</v>
      </c>
      <c r="J609" s="753">
        <f t="shared" si="24"/>
        <v>290</v>
      </c>
      <c r="K609" s="685" t="str">
        <f>UPPER((TEXT(Tabla5[[#This Row],[FECHA]],"MMM")))</f>
        <v>NOV</v>
      </c>
      <c r="L609" s="780">
        <f>YEAR(Tabla5[[#This Row],[FECHA]])</f>
        <v>2024</v>
      </c>
      <c r="M609" s="749">
        <v>324</v>
      </c>
      <c r="N609" s="441" t="s">
        <v>680</v>
      </c>
      <c r="O609" s="441" t="s">
        <v>712</v>
      </c>
      <c r="P609" s="441" t="s">
        <v>110</v>
      </c>
    </row>
    <row r="610" spans="1:16" ht="13.8">
      <c r="A610" s="531">
        <v>45603</v>
      </c>
      <c r="B610" s="340" t="s">
        <v>403</v>
      </c>
      <c r="C610" s="340" t="s">
        <v>554</v>
      </c>
      <c r="D610" s="340" t="s">
        <v>260</v>
      </c>
      <c r="E610" s="340">
        <v>58</v>
      </c>
      <c r="F610" s="340">
        <v>4</v>
      </c>
      <c r="G610" s="529">
        <v>929.93</v>
      </c>
      <c r="H610" s="551">
        <f t="shared" si="22"/>
        <v>215743.75999999998</v>
      </c>
      <c r="I610" s="340">
        <v>30</v>
      </c>
      <c r="J610" s="753">
        <f t="shared" si="24"/>
        <v>232</v>
      </c>
      <c r="K610" s="685" t="str">
        <f>UPPER((TEXT(Tabla5[[#This Row],[FECHA]],"MMM")))</f>
        <v>NOV</v>
      </c>
      <c r="L610" s="780">
        <f>YEAR(Tabla5[[#This Row],[FECHA]])</f>
        <v>2024</v>
      </c>
      <c r="M610" s="749">
        <v>324</v>
      </c>
      <c r="N610" s="441" t="s">
        <v>679</v>
      </c>
      <c r="O610" s="441" t="s">
        <v>712</v>
      </c>
      <c r="P610" s="441" t="s">
        <v>110</v>
      </c>
    </row>
    <row r="611" spans="1:16" ht="13.8">
      <c r="A611" s="531">
        <v>45604</v>
      </c>
      <c r="B611" s="340" t="s">
        <v>253</v>
      </c>
      <c r="C611" s="340" t="s">
        <v>258</v>
      </c>
      <c r="D611" s="340" t="s">
        <v>491</v>
      </c>
      <c r="E611" s="340">
        <v>76</v>
      </c>
      <c r="F611" s="340">
        <v>9</v>
      </c>
      <c r="G611" s="529">
        <v>929.93</v>
      </c>
      <c r="H611" s="551">
        <f t="shared" si="22"/>
        <v>636072.12</v>
      </c>
      <c r="I611" s="340">
        <v>1372</v>
      </c>
      <c r="J611" s="753">
        <f t="shared" si="24"/>
        <v>684</v>
      </c>
      <c r="K611" s="685" t="str">
        <f>UPPER((TEXT(Tabla5[[#This Row],[FECHA]],"MMM")))</f>
        <v>NOV</v>
      </c>
      <c r="L611" s="780">
        <f>YEAR(Tabla5[[#This Row],[FECHA]])</f>
        <v>2024</v>
      </c>
      <c r="M611" s="749">
        <v>324</v>
      </c>
      <c r="N611" s="441" t="s">
        <v>676</v>
      </c>
      <c r="O611" s="441" t="s">
        <v>712</v>
      </c>
      <c r="P611" s="441" t="s">
        <v>110</v>
      </c>
    </row>
    <row r="612" spans="1:16" ht="13.8">
      <c r="A612" s="531">
        <v>45605</v>
      </c>
      <c r="B612" s="340" t="s">
        <v>272</v>
      </c>
      <c r="C612" s="340" t="s">
        <v>282</v>
      </c>
      <c r="D612" s="340" t="s">
        <v>491</v>
      </c>
      <c r="E612" s="340">
        <v>76</v>
      </c>
      <c r="F612" s="340">
        <v>3</v>
      </c>
      <c r="G612" s="529">
        <v>929.93</v>
      </c>
      <c r="H612" s="551">
        <f t="shared" si="22"/>
        <v>212024.03999999998</v>
      </c>
      <c r="I612" s="340">
        <v>227</v>
      </c>
      <c r="J612" s="753">
        <f t="shared" si="24"/>
        <v>228</v>
      </c>
      <c r="K612" s="685" t="str">
        <f>UPPER((TEXT(Tabla5[[#This Row],[FECHA]],"MMM")))</f>
        <v>NOV</v>
      </c>
      <c r="L612" s="780">
        <f>YEAR(Tabla5[[#This Row],[FECHA]])</f>
        <v>2024</v>
      </c>
      <c r="M612" s="749">
        <v>324</v>
      </c>
      <c r="N612" s="441" t="s">
        <v>676</v>
      </c>
      <c r="O612" s="441" t="s">
        <v>712</v>
      </c>
      <c r="P612" s="441" t="s">
        <v>110</v>
      </c>
    </row>
    <row r="613" spans="1:16" ht="13.8">
      <c r="A613" s="531">
        <v>45605</v>
      </c>
      <c r="B613" s="340" t="s">
        <v>287</v>
      </c>
      <c r="C613" s="340" t="s">
        <v>554</v>
      </c>
      <c r="D613" s="340" t="s">
        <v>260</v>
      </c>
      <c r="E613" s="340">
        <v>58</v>
      </c>
      <c r="F613" s="340">
        <v>4</v>
      </c>
      <c r="G613" s="529">
        <v>929.93</v>
      </c>
      <c r="H613" s="551">
        <f t="shared" si="22"/>
        <v>215743.75999999998</v>
      </c>
      <c r="I613" s="340">
        <v>141</v>
      </c>
      <c r="J613" s="753">
        <f t="shared" si="24"/>
        <v>232</v>
      </c>
      <c r="K613" s="685" t="str">
        <f>UPPER((TEXT(Tabla5[[#This Row],[FECHA]],"MMM")))</f>
        <v>NOV</v>
      </c>
      <c r="L613" s="780">
        <f>YEAR(Tabla5[[#This Row],[FECHA]])</f>
        <v>2024</v>
      </c>
      <c r="M613" s="749">
        <v>324</v>
      </c>
      <c r="N613" s="441" t="s">
        <v>679</v>
      </c>
      <c r="O613" s="441" t="s">
        <v>712</v>
      </c>
      <c r="P613" s="441" t="s">
        <v>110</v>
      </c>
    </row>
    <row r="614" spans="1:16" ht="13.8">
      <c r="A614" s="531">
        <v>45605</v>
      </c>
      <c r="B614" s="340" t="s">
        <v>441</v>
      </c>
      <c r="C614" s="340" t="s">
        <v>262</v>
      </c>
      <c r="D614" s="340" t="s">
        <v>260</v>
      </c>
      <c r="E614" s="340">
        <v>58</v>
      </c>
      <c r="F614" s="340">
        <v>4</v>
      </c>
      <c r="G614" s="529">
        <v>929.93</v>
      </c>
      <c r="H614" s="551">
        <f t="shared" si="22"/>
        <v>215743.75999999998</v>
      </c>
      <c r="I614" s="340">
        <v>135</v>
      </c>
      <c r="J614" s="753">
        <f t="shared" si="24"/>
        <v>232</v>
      </c>
      <c r="K614" s="685" t="str">
        <f>UPPER((TEXT(Tabla5[[#This Row],[FECHA]],"MMM")))</f>
        <v>NOV</v>
      </c>
      <c r="L614" s="780">
        <f>YEAR(Tabla5[[#This Row],[FECHA]])</f>
        <v>2024</v>
      </c>
      <c r="M614" s="749">
        <v>324</v>
      </c>
      <c r="N614" s="441" t="s">
        <v>679</v>
      </c>
      <c r="O614" s="441" t="s">
        <v>712</v>
      </c>
      <c r="P614" s="441" t="s">
        <v>110</v>
      </c>
    </row>
    <row r="615" spans="1:16" ht="13.8">
      <c r="A615" s="531">
        <v>45605</v>
      </c>
      <c r="B615" s="340" t="s">
        <v>642</v>
      </c>
      <c r="C615" s="340" t="s">
        <v>292</v>
      </c>
      <c r="D615" s="340" t="s">
        <v>440</v>
      </c>
      <c r="E615" s="340">
        <v>96</v>
      </c>
      <c r="F615" s="340">
        <v>11</v>
      </c>
      <c r="G615" s="529">
        <v>929.93</v>
      </c>
      <c r="H615" s="551">
        <f t="shared" si="22"/>
        <v>982006.08</v>
      </c>
      <c r="I615" s="340">
        <v>912</v>
      </c>
      <c r="J615" s="753">
        <f t="shared" si="24"/>
        <v>1056</v>
      </c>
      <c r="K615" s="685" t="str">
        <f>UPPER((TEXT(Tabla5[[#This Row],[FECHA]],"MMM")))</f>
        <v>NOV</v>
      </c>
      <c r="L615" s="780">
        <f>YEAR(Tabla5[[#This Row],[FECHA]])</f>
        <v>2024</v>
      </c>
      <c r="M615" s="749">
        <v>324</v>
      </c>
      <c r="N615" s="441" t="s">
        <v>678</v>
      </c>
      <c r="O615" s="441" t="s">
        <v>713</v>
      </c>
      <c r="P615" s="441" t="s">
        <v>110</v>
      </c>
    </row>
    <row r="616" spans="1:16" ht="13.8">
      <c r="A616" s="531">
        <v>45606</v>
      </c>
      <c r="B616" s="340" t="s">
        <v>289</v>
      </c>
      <c r="C616" s="340" t="s">
        <v>290</v>
      </c>
      <c r="D616" s="340" t="s">
        <v>440</v>
      </c>
      <c r="E616" s="340">
        <v>96</v>
      </c>
      <c r="F616" s="340">
        <v>18</v>
      </c>
      <c r="G616" s="529">
        <v>929.93</v>
      </c>
      <c r="H616" s="551">
        <f t="shared" si="22"/>
        <v>1606919.0399999998</v>
      </c>
      <c r="I616" s="340">
        <v>1526</v>
      </c>
      <c r="J616" s="753">
        <f t="shared" si="24"/>
        <v>1728</v>
      </c>
      <c r="K616" s="685" t="str">
        <f>UPPER((TEXT(Tabla5[[#This Row],[FECHA]],"MMM")))</f>
        <v>NOV</v>
      </c>
      <c r="L616" s="780">
        <f>YEAR(Tabla5[[#This Row],[FECHA]])</f>
        <v>2024</v>
      </c>
      <c r="M616" s="749">
        <v>324</v>
      </c>
      <c r="N616" s="441" t="s">
        <v>678</v>
      </c>
      <c r="O616" s="441" t="s">
        <v>713</v>
      </c>
      <c r="P616" s="441" t="s">
        <v>110</v>
      </c>
    </row>
    <row r="617" spans="1:16" ht="13.8">
      <c r="A617" s="531">
        <v>45607</v>
      </c>
      <c r="B617" s="340" t="s">
        <v>289</v>
      </c>
      <c r="C617" s="340" t="s">
        <v>290</v>
      </c>
      <c r="D617" s="340" t="s">
        <v>440</v>
      </c>
      <c r="E617" s="340">
        <v>96</v>
      </c>
      <c r="F617" s="340">
        <v>13</v>
      </c>
      <c r="G617" s="529">
        <v>929.93</v>
      </c>
      <c r="H617" s="551">
        <f t="shared" si="22"/>
        <v>1160552.6399999999</v>
      </c>
      <c r="I617" s="340">
        <v>1096</v>
      </c>
      <c r="J617" s="753">
        <f t="shared" si="24"/>
        <v>1248</v>
      </c>
      <c r="K617" s="685" t="str">
        <f>UPPER((TEXT(Tabla5[[#This Row],[FECHA]],"MMM")))</f>
        <v>NOV</v>
      </c>
      <c r="L617" s="780">
        <f>YEAR(Tabla5[[#This Row],[FECHA]])</f>
        <v>2024</v>
      </c>
      <c r="M617" s="749">
        <v>324</v>
      </c>
      <c r="N617" s="441" t="s">
        <v>678</v>
      </c>
      <c r="O617" s="441" t="s">
        <v>713</v>
      </c>
      <c r="P617" s="441" t="s">
        <v>110</v>
      </c>
    </row>
    <row r="618" spans="1:16" ht="13.8">
      <c r="A618" s="531">
        <v>45608</v>
      </c>
      <c r="B618" s="340" t="s">
        <v>641</v>
      </c>
      <c r="C618" s="340" t="s">
        <v>266</v>
      </c>
      <c r="D618" s="340" t="s">
        <v>260</v>
      </c>
      <c r="E618" s="340">
        <v>58</v>
      </c>
      <c r="F618" s="340">
        <v>4</v>
      </c>
      <c r="G618" s="529">
        <v>929.93</v>
      </c>
      <c r="H618" s="551">
        <f t="shared" si="22"/>
        <v>215743.75999999998</v>
      </c>
      <c r="I618" s="340">
        <v>352</v>
      </c>
      <c r="J618" s="753">
        <f t="shared" si="24"/>
        <v>232</v>
      </c>
      <c r="K618" s="685" t="str">
        <f>UPPER((TEXT(Tabla5[[#This Row],[FECHA]],"MMM")))</f>
        <v>NOV</v>
      </c>
      <c r="L618" s="780">
        <f>YEAR(Tabla5[[#This Row],[FECHA]])</f>
        <v>2024</v>
      </c>
      <c r="M618" s="749">
        <v>324</v>
      </c>
      <c r="N618" s="441" t="s">
        <v>679</v>
      </c>
      <c r="O618" s="441" t="s">
        <v>712</v>
      </c>
      <c r="P618" s="441" t="s">
        <v>110</v>
      </c>
    </row>
    <row r="619" spans="1:16" ht="13.8">
      <c r="A619" s="531">
        <v>45608</v>
      </c>
      <c r="B619" s="340" t="s">
        <v>271</v>
      </c>
      <c r="C619" s="340" t="s">
        <v>257</v>
      </c>
      <c r="D619" s="340" t="s">
        <v>491</v>
      </c>
      <c r="E619" s="340">
        <v>76</v>
      </c>
      <c r="F619" s="340">
        <v>9</v>
      </c>
      <c r="G619" s="529">
        <v>929.93</v>
      </c>
      <c r="H619" s="551">
        <f t="shared" si="22"/>
        <v>636072.12</v>
      </c>
      <c r="I619" s="340">
        <v>1132</v>
      </c>
      <c r="J619" s="753">
        <f t="shared" si="24"/>
        <v>684</v>
      </c>
      <c r="K619" s="685" t="str">
        <f>UPPER((TEXT(Tabla5[[#This Row],[FECHA]],"MMM")))</f>
        <v>NOV</v>
      </c>
      <c r="L619" s="780">
        <f>YEAR(Tabla5[[#This Row],[FECHA]])</f>
        <v>2024</v>
      </c>
      <c r="M619" s="749">
        <v>324</v>
      </c>
      <c r="N619" s="441" t="s">
        <v>676</v>
      </c>
      <c r="O619" s="441" t="s">
        <v>712</v>
      </c>
      <c r="P619" s="441" t="s">
        <v>110</v>
      </c>
    </row>
    <row r="620" spans="1:16" ht="13.8">
      <c r="A620" s="531">
        <v>45608</v>
      </c>
      <c r="B620" s="340" t="s">
        <v>267</v>
      </c>
      <c r="C620" s="340" t="s">
        <v>268</v>
      </c>
      <c r="D620" s="340" t="s">
        <v>260</v>
      </c>
      <c r="E620" s="340">
        <v>58</v>
      </c>
      <c r="F620" s="340">
        <v>4</v>
      </c>
      <c r="G620" s="529">
        <v>929.93</v>
      </c>
      <c r="H620" s="551">
        <f t="shared" si="22"/>
        <v>215743.75999999998</v>
      </c>
      <c r="I620" s="340">
        <v>182</v>
      </c>
      <c r="J620" s="753">
        <f t="shared" si="24"/>
        <v>232</v>
      </c>
      <c r="K620" s="685" t="str">
        <f>UPPER((TEXT(Tabla5[[#This Row],[FECHA]],"MMM")))</f>
        <v>NOV</v>
      </c>
      <c r="L620" s="780">
        <f>YEAR(Tabla5[[#This Row],[FECHA]])</f>
        <v>2024</v>
      </c>
      <c r="M620" s="749">
        <v>324</v>
      </c>
      <c r="N620" s="441" t="s">
        <v>680</v>
      </c>
      <c r="O620" s="441" t="s">
        <v>712</v>
      </c>
      <c r="P620" s="441" t="s">
        <v>110</v>
      </c>
    </row>
    <row r="621" spans="1:16" ht="13.8">
      <c r="A621" s="531">
        <v>45609</v>
      </c>
      <c r="B621" s="340" t="s">
        <v>272</v>
      </c>
      <c r="C621" s="340" t="s">
        <v>278</v>
      </c>
      <c r="D621" s="340" t="s">
        <v>260</v>
      </c>
      <c r="E621" s="340">
        <v>58</v>
      </c>
      <c r="F621" s="340">
        <v>4</v>
      </c>
      <c r="G621" s="529">
        <v>929.93</v>
      </c>
      <c r="H621" s="551">
        <f t="shared" si="22"/>
        <v>215743.75999999998</v>
      </c>
      <c r="I621" s="340">
        <v>233</v>
      </c>
      <c r="J621" s="753">
        <f t="shared" si="24"/>
        <v>232</v>
      </c>
      <c r="K621" s="685" t="str">
        <f>UPPER((TEXT(Tabla5[[#This Row],[FECHA]],"MMM")))</f>
        <v>NOV</v>
      </c>
      <c r="L621" s="780">
        <f>YEAR(Tabla5[[#This Row],[FECHA]])</f>
        <v>2024</v>
      </c>
      <c r="M621" s="749">
        <v>324</v>
      </c>
      <c r="N621" s="441" t="s">
        <v>679</v>
      </c>
      <c r="O621" s="441" t="s">
        <v>712</v>
      </c>
      <c r="P621" s="441" t="s">
        <v>110</v>
      </c>
    </row>
    <row r="622" spans="1:16" ht="13.8">
      <c r="A622" s="531">
        <v>45609</v>
      </c>
      <c r="B622" s="340" t="s">
        <v>271</v>
      </c>
      <c r="C622" s="340" t="s">
        <v>257</v>
      </c>
      <c r="D622" s="340" t="s">
        <v>491</v>
      </c>
      <c r="E622" s="340">
        <v>76</v>
      </c>
      <c r="F622" s="340">
        <v>9</v>
      </c>
      <c r="G622" s="529">
        <v>929.93</v>
      </c>
      <c r="H622" s="551">
        <f t="shared" si="22"/>
        <v>636072.12</v>
      </c>
      <c r="I622" s="340">
        <v>1197</v>
      </c>
      <c r="J622" s="753">
        <f t="shared" si="24"/>
        <v>684</v>
      </c>
      <c r="K622" s="685" t="str">
        <f>UPPER((TEXT(Tabla5[[#This Row],[FECHA]],"MMM")))</f>
        <v>NOV</v>
      </c>
      <c r="L622" s="780">
        <f>YEAR(Tabla5[[#This Row],[FECHA]])</f>
        <v>2024</v>
      </c>
      <c r="M622" s="749">
        <v>324</v>
      </c>
      <c r="N622" s="441" t="s">
        <v>676</v>
      </c>
      <c r="O622" s="441" t="s">
        <v>712</v>
      </c>
      <c r="P622" s="441" t="s">
        <v>110</v>
      </c>
    </row>
    <row r="623" spans="1:16" ht="13.8">
      <c r="A623" s="531">
        <v>45609</v>
      </c>
      <c r="B623" s="340" t="s">
        <v>441</v>
      </c>
      <c r="C623" s="340" t="s">
        <v>262</v>
      </c>
      <c r="D623" s="340" t="s">
        <v>260</v>
      </c>
      <c r="E623" s="340">
        <v>58</v>
      </c>
      <c r="F623" s="340">
        <v>4</v>
      </c>
      <c r="G623" s="529">
        <v>929.93</v>
      </c>
      <c r="H623" s="551">
        <f t="shared" si="22"/>
        <v>215743.75999999998</v>
      </c>
      <c r="I623" s="340">
        <v>384</v>
      </c>
      <c r="J623" s="753">
        <f t="shared" si="24"/>
        <v>232</v>
      </c>
      <c r="K623" s="685" t="str">
        <f>UPPER((TEXT(Tabla5[[#This Row],[FECHA]],"MMM")))</f>
        <v>NOV</v>
      </c>
      <c r="L623" s="780">
        <f>YEAR(Tabla5[[#This Row],[FECHA]])</f>
        <v>2024</v>
      </c>
      <c r="M623" s="749">
        <v>324</v>
      </c>
      <c r="N623" s="441" t="s">
        <v>680</v>
      </c>
      <c r="O623" s="441" t="s">
        <v>712</v>
      </c>
      <c r="P623" s="441" t="s">
        <v>110</v>
      </c>
    </row>
    <row r="624" spans="1:16" ht="13.8">
      <c r="A624" s="531">
        <v>45610</v>
      </c>
      <c r="B624" s="340" t="s">
        <v>272</v>
      </c>
      <c r="C624" s="340" t="s">
        <v>278</v>
      </c>
      <c r="D624" s="340" t="s">
        <v>260</v>
      </c>
      <c r="E624" s="340">
        <v>58</v>
      </c>
      <c r="F624" s="340">
        <v>4</v>
      </c>
      <c r="G624" s="529">
        <v>929.93</v>
      </c>
      <c r="H624" s="551">
        <f t="shared" si="22"/>
        <v>215743.75999999998</v>
      </c>
      <c r="I624" s="340">
        <v>277</v>
      </c>
      <c r="J624" s="753">
        <f t="shared" si="24"/>
        <v>232</v>
      </c>
      <c r="K624" s="685" t="str">
        <f>UPPER((TEXT(Tabla5[[#This Row],[FECHA]],"MMM")))</f>
        <v>NOV</v>
      </c>
      <c r="L624" s="780">
        <f>YEAR(Tabla5[[#This Row],[FECHA]])</f>
        <v>2024</v>
      </c>
      <c r="M624" s="749">
        <v>324</v>
      </c>
      <c r="N624" s="441" t="s">
        <v>679</v>
      </c>
      <c r="O624" s="441" t="s">
        <v>712</v>
      </c>
      <c r="P624" s="441" t="s">
        <v>110</v>
      </c>
    </row>
    <row r="625" spans="1:16" ht="13.8">
      <c r="A625" s="531">
        <v>45610</v>
      </c>
      <c r="B625" s="340" t="s">
        <v>271</v>
      </c>
      <c r="C625" s="340" t="s">
        <v>292</v>
      </c>
      <c r="D625" s="340" t="s">
        <v>491</v>
      </c>
      <c r="E625" s="340">
        <v>76</v>
      </c>
      <c r="F625" s="340">
        <v>9</v>
      </c>
      <c r="G625" s="529">
        <v>929.93</v>
      </c>
      <c r="H625" s="551">
        <f t="shared" si="22"/>
        <v>636072.12</v>
      </c>
      <c r="I625" s="340">
        <v>878</v>
      </c>
      <c r="J625" s="753">
        <f t="shared" si="24"/>
        <v>684</v>
      </c>
      <c r="K625" s="685" t="str">
        <f>UPPER((TEXT(Tabla5[[#This Row],[FECHA]],"MMM")))</f>
        <v>NOV</v>
      </c>
      <c r="L625" s="780">
        <f>YEAR(Tabla5[[#This Row],[FECHA]])</f>
        <v>2024</v>
      </c>
      <c r="M625" s="749">
        <v>324</v>
      </c>
      <c r="N625" s="441" t="s">
        <v>676</v>
      </c>
      <c r="O625" s="441" t="s">
        <v>712</v>
      </c>
      <c r="P625" s="441" t="s">
        <v>110</v>
      </c>
    </row>
    <row r="626" spans="1:16" ht="13.8">
      <c r="A626" s="531">
        <v>45610</v>
      </c>
      <c r="B626" s="340" t="s">
        <v>441</v>
      </c>
      <c r="C626" s="340" t="s">
        <v>262</v>
      </c>
      <c r="D626" s="340" t="s">
        <v>260</v>
      </c>
      <c r="E626" s="340">
        <v>58</v>
      </c>
      <c r="F626" s="340">
        <v>4</v>
      </c>
      <c r="G626" s="529">
        <v>929.93</v>
      </c>
      <c r="H626" s="551">
        <f t="shared" si="22"/>
        <v>215743.75999999998</v>
      </c>
      <c r="I626" s="340">
        <v>208</v>
      </c>
      <c r="J626" s="753">
        <f t="shared" si="24"/>
        <v>232</v>
      </c>
      <c r="K626" s="685" t="str">
        <f>UPPER((TEXT(Tabla5[[#This Row],[FECHA]],"MMM")))</f>
        <v>NOV</v>
      </c>
      <c r="L626" s="780">
        <f>YEAR(Tabla5[[#This Row],[FECHA]])</f>
        <v>2024</v>
      </c>
      <c r="M626" s="749">
        <v>324</v>
      </c>
      <c r="N626" s="441" t="s">
        <v>680</v>
      </c>
      <c r="O626" s="441" t="s">
        <v>712</v>
      </c>
      <c r="P626" s="441" t="s">
        <v>110</v>
      </c>
    </row>
    <row r="627" spans="1:16" ht="13.8">
      <c r="A627" s="531">
        <v>45610</v>
      </c>
      <c r="B627" s="340" t="s">
        <v>410</v>
      </c>
      <c r="C627" s="340" t="s">
        <v>290</v>
      </c>
      <c r="D627" s="340" t="s">
        <v>440</v>
      </c>
      <c r="E627" s="340">
        <v>96</v>
      </c>
      <c r="F627" s="340">
        <v>5</v>
      </c>
      <c r="G627" s="529">
        <v>929.93</v>
      </c>
      <c r="H627" s="551">
        <f t="shared" si="22"/>
        <v>446366.39999999997</v>
      </c>
      <c r="I627" s="340">
        <v>159</v>
      </c>
      <c r="J627" s="753">
        <f t="shared" si="24"/>
        <v>480</v>
      </c>
      <c r="K627" s="685" t="str">
        <f>UPPER((TEXT(Tabla5[[#This Row],[FECHA]],"MMM")))</f>
        <v>NOV</v>
      </c>
      <c r="L627" s="780">
        <f>YEAR(Tabla5[[#This Row],[FECHA]])</f>
        <v>2024</v>
      </c>
      <c r="M627" s="749">
        <v>324</v>
      </c>
      <c r="N627" s="441" t="s">
        <v>678</v>
      </c>
      <c r="O627" s="441" t="s">
        <v>713</v>
      </c>
      <c r="P627" s="441" t="s">
        <v>110</v>
      </c>
    </row>
    <row r="628" spans="1:16" ht="13.8">
      <c r="A628" s="531">
        <v>45611</v>
      </c>
      <c r="B628" s="340" t="s">
        <v>272</v>
      </c>
      <c r="C628" s="340" t="s">
        <v>278</v>
      </c>
      <c r="D628" s="340" t="s">
        <v>260</v>
      </c>
      <c r="E628" s="340">
        <v>58</v>
      </c>
      <c r="F628" s="340">
        <v>4</v>
      </c>
      <c r="G628" s="529">
        <v>929.93</v>
      </c>
      <c r="H628" s="551">
        <f t="shared" si="22"/>
        <v>215743.75999999998</v>
      </c>
      <c r="I628" s="340">
        <v>157</v>
      </c>
      <c r="J628" s="753">
        <f t="shared" si="24"/>
        <v>232</v>
      </c>
      <c r="K628" s="685" t="str">
        <f>UPPER((TEXT(Tabla5[[#This Row],[FECHA]],"MMM")))</f>
        <v>NOV</v>
      </c>
      <c r="L628" s="780">
        <f>YEAR(Tabla5[[#This Row],[FECHA]])</f>
        <v>2024</v>
      </c>
      <c r="M628" s="749">
        <v>324</v>
      </c>
      <c r="N628" s="441" t="s">
        <v>679</v>
      </c>
      <c r="O628" s="441" t="s">
        <v>712</v>
      </c>
      <c r="P628" s="441" t="s">
        <v>110</v>
      </c>
    </row>
    <row r="629" spans="1:16" ht="13.8">
      <c r="A629" s="531">
        <v>45611</v>
      </c>
      <c r="B629" s="340" t="s">
        <v>271</v>
      </c>
      <c r="C629" s="340" t="s">
        <v>292</v>
      </c>
      <c r="D629" s="340" t="s">
        <v>491</v>
      </c>
      <c r="E629" s="340">
        <v>76</v>
      </c>
      <c r="F629" s="340">
        <v>10</v>
      </c>
      <c r="G629" s="529">
        <v>929.93</v>
      </c>
      <c r="H629" s="551">
        <f t="shared" si="22"/>
        <v>706746.79999999993</v>
      </c>
      <c r="I629" s="340">
        <v>1147</v>
      </c>
      <c r="J629" s="753">
        <f t="shared" si="24"/>
        <v>760</v>
      </c>
      <c r="K629" s="685" t="str">
        <f>UPPER((TEXT(Tabla5[[#This Row],[FECHA]],"MMM")))</f>
        <v>NOV</v>
      </c>
      <c r="L629" s="780">
        <f>YEAR(Tabla5[[#This Row],[FECHA]])</f>
        <v>2024</v>
      </c>
      <c r="M629" s="749">
        <v>324</v>
      </c>
      <c r="N629" s="441" t="s">
        <v>676</v>
      </c>
      <c r="O629" s="441" t="s">
        <v>712</v>
      </c>
      <c r="P629" s="441" t="s">
        <v>110</v>
      </c>
    </row>
    <row r="630" spans="1:16" ht="13.8">
      <c r="A630" s="531">
        <v>45611</v>
      </c>
      <c r="B630" s="340" t="s">
        <v>267</v>
      </c>
      <c r="C630" s="340" t="s">
        <v>644</v>
      </c>
      <c r="D630" s="340" t="s">
        <v>260</v>
      </c>
      <c r="E630" s="340">
        <v>58</v>
      </c>
      <c r="F630" s="340">
        <v>5</v>
      </c>
      <c r="G630" s="529">
        <v>929.93</v>
      </c>
      <c r="H630" s="551">
        <f t="shared" si="22"/>
        <v>269679.7</v>
      </c>
      <c r="I630" s="340">
        <v>500</v>
      </c>
      <c r="J630" s="753">
        <f t="shared" si="24"/>
        <v>290</v>
      </c>
      <c r="K630" s="685" t="str">
        <f>UPPER((TEXT(Tabla5[[#This Row],[FECHA]],"MMM")))</f>
        <v>NOV</v>
      </c>
      <c r="L630" s="780">
        <f>YEAR(Tabla5[[#This Row],[FECHA]])</f>
        <v>2024</v>
      </c>
      <c r="M630" s="749">
        <v>324</v>
      </c>
      <c r="N630" s="441" t="s">
        <v>680</v>
      </c>
      <c r="O630" s="441" t="s">
        <v>712</v>
      </c>
      <c r="P630" s="441" t="s">
        <v>110</v>
      </c>
    </row>
    <row r="631" spans="1:16" ht="13.8">
      <c r="A631" s="531">
        <v>45611</v>
      </c>
      <c r="B631" s="340" t="s">
        <v>410</v>
      </c>
      <c r="C631" s="340" t="s">
        <v>290</v>
      </c>
      <c r="D631" s="340" t="s">
        <v>440</v>
      </c>
      <c r="E631" s="340">
        <v>96</v>
      </c>
      <c r="F631" s="340">
        <v>4</v>
      </c>
      <c r="G631" s="529">
        <v>929.93</v>
      </c>
      <c r="H631" s="551">
        <f t="shared" si="22"/>
        <v>357093.12</v>
      </c>
      <c r="I631" s="340">
        <v>192</v>
      </c>
      <c r="J631" s="753">
        <f t="shared" si="24"/>
        <v>384</v>
      </c>
      <c r="K631" s="685" t="str">
        <f>UPPER((TEXT(Tabla5[[#This Row],[FECHA]],"MMM")))</f>
        <v>NOV</v>
      </c>
      <c r="L631" s="780">
        <f>YEAR(Tabla5[[#This Row],[FECHA]])</f>
        <v>2024</v>
      </c>
      <c r="M631" s="749">
        <v>324</v>
      </c>
      <c r="N631" s="441" t="s">
        <v>678</v>
      </c>
      <c r="O631" s="441" t="s">
        <v>713</v>
      </c>
      <c r="P631" s="441" t="s">
        <v>110</v>
      </c>
    </row>
    <row r="632" spans="1:16" ht="13.8">
      <c r="A632" s="531">
        <v>45612</v>
      </c>
      <c r="B632" s="340" t="s">
        <v>272</v>
      </c>
      <c r="C632" s="340" t="s">
        <v>282</v>
      </c>
      <c r="D632" s="340" t="s">
        <v>491</v>
      </c>
      <c r="E632" s="340">
        <v>76</v>
      </c>
      <c r="F632" s="340">
        <v>3</v>
      </c>
      <c r="G632" s="529">
        <v>929.93</v>
      </c>
      <c r="H632" s="551">
        <f t="shared" si="22"/>
        <v>212024.03999999998</v>
      </c>
      <c r="I632" s="340">
        <v>274</v>
      </c>
      <c r="J632" s="753">
        <f t="shared" si="24"/>
        <v>228</v>
      </c>
      <c r="K632" s="685" t="str">
        <f>UPPER((TEXT(Tabla5[[#This Row],[FECHA]],"MMM")))</f>
        <v>NOV</v>
      </c>
      <c r="L632" s="780">
        <f>YEAR(Tabla5[[#This Row],[FECHA]])</f>
        <v>2024</v>
      </c>
      <c r="M632" s="749">
        <v>324</v>
      </c>
      <c r="N632" s="441" t="s">
        <v>676</v>
      </c>
      <c r="O632" s="441" t="s">
        <v>712</v>
      </c>
      <c r="P632" s="441" t="s">
        <v>110</v>
      </c>
    </row>
    <row r="633" spans="1:16" ht="13.8">
      <c r="A633" s="531">
        <v>45612</v>
      </c>
      <c r="B633" s="340" t="s">
        <v>271</v>
      </c>
      <c r="C633" s="340" t="s">
        <v>292</v>
      </c>
      <c r="D633" s="340" t="s">
        <v>440</v>
      </c>
      <c r="E633" s="340">
        <v>96</v>
      </c>
      <c r="F633" s="340">
        <v>17</v>
      </c>
      <c r="G633" s="529">
        <v>929.93</v>
      </c>
      <c r="H633" s="551">
        <f t="shared" si="22"/>
        <v>1517645.76</v>
      </c>
      <c r="I633" s="340">
        <v>1430</v>
      </c>
      <c r="J633" s="753">
        <f t="shared" si="24"/>
        <v>1632</v>
      </c>
      <c r="K633" s="685" t="str">
        <f>UPPER((TEXT(Tabla5[[#This Row],[FECHA]],"MMM")))</f>
        <v>NOV</v>
      </c>
      <c r="L633" s="780">
        <f>YEAR(Tabla5[[#This Row],[FECHA]])</f>
        <v>2024</v>
      </c>
      <c r="M633" s="749">
        <v>324</v>
      </c>
      <c r="N633" s="441" t="s">
        <v>678</v>
      </c>
      <c r="O633" s="441" t="s">
        <v>713</v>
      </c>
      <c r="P633" s="441" t="s">
        <v>110</v>
      </c>
    </row>
    <row r="634" spans="1:16" ht="13.8">
      <c r="A634" s="531">
        <v>45613</v>
      </c>
      <c r="B634" s="340" t="s">
        <v>256</v>
      </c>
      <c r="C634" s="340" t="s">
        <v>257</v>
      </c>
      <c r="D634" s="340" t="s">
        <v>440</v>
      </c>
      <c r="E634" s="340">
        <v>96</v>
      </c>
      <c r="F634" s="340">
        <v>14</v>
      </c>
      <c r="G634" s="529">
        <v>929.93</v>
      </c>
      <c r="H634" s="551">
        <f t="shared" si="22"/>
        <v>1249825.92</v>
      </c>
      <c r="I634" s="340">
        <v>1188</v>
      </c>
      <c r="J634" s="753">
        <f t="shared" si="24"/>
        <v>1344</v>
      </c>
      <c r="K634" s="685" t="str">
        <f>UPPER((TEXT(Tabla5[[#This Row],[FECHA]],"MMM")))</f>
        <v>NOV</v>
      </c>
      <c r="L634" s="780">
        <f>YEAR(Tabla5[[#This Row],[FECHA]])</f>
        <v>2024</v>
      </c>
      <c r="M634" s="749">
        <v>324</v>
      </c>
      <c r="N634" s="441" t="s">
        <v>678</v>
      </c>
      <c r="O634" s="441" t="s">
        <v>713</v>
      </c>
      <c r="P634" s="441" t="s">
        <v>110</v>
      </c>
    </row>
    <row r="635" spans="1:16" ht="13.8">
      <c r="A635" s="531">
        <v>45614</v>
      </c>
      <c r="B635" s="340" t="s">
        <v>272</v>
      </c>
      <c r="C635" s="340" t="s">
        <v>273</v>
      </c>
      <c r="D635" s="340" t="s">
        <v>260</v>
      </c>
      <c r="E635" s="340">
        <v>58</v>
      </c>
      <c r="F635" s="340">
        <v>4</v>
      </c>
      <c r="G635" s="529">
        <v>929.93</v>
      </c>
      <c r="H635" s="551">
        <f t="shared" si="22"/>
        <v>215743.75999999998</v>
      </c>
      <c r="I635" s="340">
        <v>180</v>
      </c>
      <c r="J635" s="753">
        <f t="shared" si="24"/>
        <v>232</v>
      </c>
      <c r="K635" s="685" t="str">
        <f>UPPER((TEXT(Tabla5[[#This Row],[FECHA]],"MMM")))</f>
        <v>NOV</v>
      </c>
      <c r="L635" s="780">
        <f>YEAR(Tabla5[[#This Row],[FECHA]])</f>
        <v>2024</v>
      </c>
      <c r="M635" s="749">
        <v>324</v>
      </c>
      <c r="N635" s="441" t="s">
        <v>679</v>
      </c>
      <c r="O635" s="441" t="s">
        <v>712</v>
      </c>
      <c r="P635" s="441" t="s">
        <v>110</v>
      </c>
    </row>
    <row r="636" spans="1:16" ht="13.8">
      <c r="A636" s="531">
        <v>45614</v>
      </c>
      <c r="B636" s="340" t="s">
        <v>295</v>
      </c>
      <c r="C636" s="340" t="s">
        <v>258</v>
      </c>
      <c r="D636" s="340" t="s">
        <v>491</v>
      </c>
      <c r="E636" s="340">
        <v>76</v>
      </c>
      <c r="F636" s="340">
        <v>9</v>
      </c>
      <c r="G636" s="529">
        <v>929.93</v>
      </c>
      <c r="H636" s="551">
        <f t="shared" si="22"/>
        <v>636072.12</v>
      </c>
      <c r="I636" s="340">
        <v>816</v>
      </c>
      <c r="J636" s="753">
        <f t="shared" si="24"/>
        <v>684</v>
      </c>
      <c r="K636" s="685" t="str">
        <f>UPPER((TEXT(Tabla5[[#This Row],[FECHA]],"MMM")))</f>
        <v>NOV</v>
      </c>
      <c r="L636" s="780">
        <f>YEAR(Tabla5[[#This Row],[FECHA]])</f>
        <v>2024</v>
      </c>
      <c r="M636" s="749">
        <v>324</v>
      </c>
      <c r="N636" s="441" t="s">
        <v>676</v>
      </c>
      <c r="O636" s="441" t="s">
        <v>712</v>
      </c>
      <c r="P636" s="441" t="s">
        <v>110</v>
      </c>
    </row>
    <row r="637" spans="1:16" ht="13.8">
      <c r="A637" s="531">
        <v>45615</v>
      </c>
      <c r="B637" s="340" t="s">
        <v>272</v>
      </c>
      <c r="C637" s="340" t="s">
        <v>273</v>
      </c>
      <c r="D637" s="340" t="s">
        <v>260</v>
      </c>
      <c r="E637" s="340">
        <v>58</v>
      </c>
      <c r="F637" s="340">
        <v>4</v>
      </c>
      <c r="G637" s="529">
        <v>929.93</v>
      </c>
      <c r="H637" s="551">
        <f t="shared" si="22"/>
        <v>215743.75999999998</v>
      </c>
      <c r="I637" s="340">
        <v>162</v>
      </c>
      <c r="J637" s="753">
        <f t="shared" si="24"/>
        <v>232</v>
      </c>
      <c r="K637" s="685" t="str">
        <f>UPPER((TEXT(Tabla5[[#This Row],[FECHA]],"MMM")))</f>
        <v>NOV</v>
      </c>
      <c r="L637" s="780">
        <f>YEAR(Tabla5[[#This Row],[FECHA]])</f>
        <v>2024</v>
      </c>
      <c r="M637" s="749">
        <v>324</v>
      </c>
      <c r="N637" s="441" t="s">
        <v>679</v>
      </c>
      <c r="O637" s="441" t="s">
        <v>712</v>
      </c>
      <c r="P637" s="441" t="s">
        <v>110</v>
      </c>
    </row>
    <row r="638" spans="1:16" ht="13.8">
      <c r="A638" s="531">
        <v>45615</v>
      </c>
      <c r="B638" s="340" t="s">
        <v>295</v>
      </c>
      <c r="C638" s="340" t="s">
        <v>258</v>
      </c>
      <c r="D638" s="340" t="s">
        <v>491</v>
      </c>
      <c r="E638" s="340">
        <v>76</v>
      </c>
      <c r="F638" s="340">
        <v>9</v>
      </c>
      <c r="G638" s="529">
        <v>929.93</v>
      </c>
      <c r="H638" s="551">
        <f t="shared" si="22"/>
        <v>636072.12</v>
      </c>
      <c r="I638" s="340">
        <v>944</v>
      </c>
      <c r="J638" s="753">
        <f t="shared" si="24"/>
        <v>684</v>
      </c>
      <c r="K638" s="685" t="str">
        <f>UPPER((TEXT(Tabla5[[#This Row],[FECHA]],"MMM")))</f>
        <v>NOV</v>
      </c>
      <c r="L638" s="780">
        <f>YEAR(Tabla5[[#This Row],[FECHA]])</f>
        <v>2024</v>
      </c>
      <c r="M638" s="749">
        <v>324</v>
      </c>
      <c r="N638" s="441" t="s">
        <v>676</v>
      </c>
      <c r="O638" s="441" t="s">
        <v>712</v>
      </c>
      <c r="P638" s="441" t="s">
        <v>110</v>
      </c>
    </row>
    <row r="639" spans="1:16" ht="13.8">
      <c r="A639" s="531">
        <v>45616</v>
      </c>
      <c r="B639" s="340" t="s">
        <v>272</v>
      </c>
      <c r="C639" s="340" t="s">
        <v>645</v>
      </c>
      <c r="D639" s="340" t="s">
        <v>260</v>
      </c>
      <c r="E639" s="340">
        <v>58</v>
      </c>
      <c r="F639" s="340">
        <v>4</v>
      </c>
      <c r="G639" s="529">
        <v>929.93</v>
      </c>
      <c r="H639" s="551">
        <f t="shared" si="22"/>
        <v>215743.75999999998</v>
      </c>
      <c r="I639" s="340">
        <v>178</v>
      </c>
      <c r="J639" s="753">
        <f t="shared" si="24"/>
        <v>232</v>
      </c>
      <c r="K639" s="685" t="str">
        <f>UPPER((TEXT(Tabla5[[#This Row],[FECHA]],"MMM")))</f>
        <v>NOV</v>
      </c>
      <c r="L639" s="780">
        <f>YEAR(Tabla5[[#This Row],[FECHA]])</f>
        <v>2024</v>
      </c>
      <c r="M639" s="749">
        <v>324</v>
      </c>
      <c r="N639" s="441" t="s">
        <v>679</v>
      </c>
      <c r="O639" s="441" t="s">
        <v>712</v>
      </c>
      <c r="P639" s="441" t="s">
        <v>110</v>
      </c>
    </row>
    <row r="640" spans="1:16" ht="13.8">
      <c r="A640" s="531">
        <v>45616</v>
      </c>
      <c r="B640" s="340" t="s">
        <v>295</v>
      </c>
      <c r="C640" s="340" t="s">
        <v>258</v>
      </c>
      <c r="D640" s="340" t="s">
        <v>491</v>
      </c>
      <c r="E640" s="340">
        <v>76</v>
      </c>
      <c r="F640" s="340">
        <v>9</v>
      </c>
      <c r="G640" s="529">
        <v>929.93</v>
      </c>
      <c r="H640" s="551">
        <f t="shared" si="22"/>
        <v>636072.12</v>
      </c>
      <c r="I640" s="340">
        <v>941</v>
      </c>
      <c r="J640" s="753">
        <f t="shared" si="24"/>
        <v>684</v>
      </c>
      <c r="K640" s="685" t="str">
        <f>UPPER((TEXT(Tabla5[[#This Row],[FECHA]],"MMM")))</f>
        <v>NOV</v>
      </c>
      <c r="L640" s="780">
        <f>YEAR(Tabla5[[#This Row],[FECHA]])</f>
        <v>2024</v>
      </c>
      <c r="M640" s="749">
        <v>324</v>
      </c>
      <c r="N640" s="441" t="s">
        <v>676</v>
      </c>
      <c r="O640" s="441" t="s">
        <v>712</v>
      </c>
      <c r="P640" s="441" t="s">
        <v>110</v>
      </c>
    </row>
    <row r="641" spans="1:16" ht="13.8">
      <c r="A641" s="531">
        <v>45617</v>
      </c>
      <c r="B641" s="340" t="s">
        <v>261</v>
      </c>
      <c r="C641" s="340" t="s">
        <v>646</v>
      </c>
      <c r="D641" s="340" t="s">
        <v>260</v>
      </c>
      <c r="E641" s="340">
        <v>58</v>
      </c>
      <c r="F641" s="340">
        <v>4</v>
      </c>
      <c r="G641" s="529">
        <v>929.93</v>
      </c>
      <c r="H641" s="551">
        <f t="shared" si="22"/>
        <v>215743.75999999998</v>
      </c>
      <c r="I641" s="340">
        <v>139</v>
      </c>
      <c r="J641" s="753">
        <f t="shared" si="24"/>
        <v>232</v>
      </c>
      <c r="K641" s="685" t="str">
        <f>UPPER((TEXT(Tabla5[[#This Row],[FECHA]],"MMM")))</f>
        <v>NOV</v>
      </c>
      <c r="L641" s="780">
        <f>YEAR(Tabla5[[#This Row],[FECHA]])</f>
        <v>2024</v>
      </c>
      <c r="M641" s="749">
        <v>324</v>
      </c>
      <c r="N641" s="441" t="s">
        <v>679</v>
      </c>
      <c r="O641" s="441" t="s">
        <v>712</v>
      </c>
      <c r="P641" s="441" t="s">
        <v>110</v>
      </c>
    </row>
    <row r="642" spans="1:16" ht="13.8">
      <c r="A642" s="531">
        <v>45617</v>
      </c>
      <c r="B642" s="340" t="s">
        <v>271</v>
      </c>
      <c r="C642" s="340" t="s">
        <v>257</v>
      </c>
      <c r="D642" s="340" t="s">
        <v>491</v>
      </c>
      <c r="E642" s="340">
        <v>76</v>
      </c>
      <c r="F642" s="340">
        <v>9</v>
      </c>
      <c r="G642" s="529">
        <v>929.93</v>
      </c>
      <c r="H642" s="551">
        <f t="shared" si="22"/>
        <v>636072.12</v>
      </c>
      <c r="I642" s="340">
        <v>613</v>
      </c>
      <c r="J642" s="753">
        <f t="shared" si="24"/>
        <v>684</v>
      </c>
      <c r="K642" s="685" t="str">
        <f>UPPER((TEXT(Tabla5[[#This Row],[FECHA]],"MMM")))</f>
        <v>NOV</v>
      </c>
      <c r="L642" s="780">
        <f>YEAR(Tabla5[[#This Row],[FECHA]])</f>
        <v>2024</v>
      </c>
      <c r="M642" s="749">
        <v>324</v>
      </c>
      <c r="N642" s="441" t="s">
        <v>676</v>
      </c>
      <c r="O642" s="441" t="s">
        <v>712</v>
      </c>
      <c r="P642" s="441" t="s">
        <v>110</v>
      </c>
    </row>
    <row r="643" spans="1:16" ht="13.8">
      <c r="A643" s="531">
        <v>45618</v>
      </c>
      <c r="B643" s="340" t="s">
        <v>261</v>
      </c>
      <c r="C643" s="340" t="s">
        <v>646</v>
      </c>
      <c r="D643" s="340" t="s">
        <v>260</v>
      </c>
      <c r="E643" s="340">
        <v>58</v>
      </c>
      <c r="F643" s="340">
        <v>4</v>
      </c>
      <c r="G643" s="529">
        <v>929.93</v>
      </c>
      <c r="H643" s="551">
        <f t="shared" si="22"/>
        <v>215743.75999999998</v>
      </c>
      <c r="I643" s="755">
        <v>146</v>
      </c>
      <c r="J643" s="753">
        <f t="shared" si="24"/>
        <v>232</v>
      </c>
      <c r="K643" s="685" t="str">
        <f>UPPER((TEXT(Tabla5[[#This Row],[FECHA]],"MMM")))</f>
        <v>NOV</v>
      </c>
      <c r="L643" s="780">
        <f>YEAR(Tabla5[[#This Row],[FECHA]])</f>
        <v>2024</v>
      </c>
      <c r="M643" s="749">
        <v>324</v>
      </c>
      <c r="N643" s="441" t="s">
        <v>679</v>
      </c>
      <c r="O643" s="441" t="s">
        <v>712</v>
      </c>
      <c r="P643" s="441" t="s">
        <v>110</v>
      </c>
    </row>
    <row r="644" spans="1:16" ht="13.8">
      <c r="A644" s="531">
        <v>45618</v>
      </c>
      <c r="B644" s="340" t="s">
        <v>271</v>
      </c>
      <c r="C644" s="340" t="s">
        <v>257</v>
      </c>
      <c r="D644" s="340" t="s">
        <v>491</v>
      </c>
      <c r="E644" s="340">
        <v>76</v>
      </c>
      <c r="F644" s="340">
        <v>9</v>
      </c>
      <c r="G644" s="529">
        <v>929.93</v>
      </c>
      <c r="H644" s="551">
        <f t="shared" si="22"/>
        <v>636072.12</v>
      </c>
      <c r="I644" s="755">
        <v>1110</v>
      </c>
      <c r="J644" s="753">
        <f t="shared" si="24"/>
        <v>684</v>
      </c>
      <c r="K644" s="685" t="str">
        <f>UPPER((TEXT(Tabla5[[#This Row],[FECHA]],"MMM")))</f>
        <v>NOV</v>
      </c>
      <c r="L644" s="780">
        <f>YEAR(Tabla5[[#This Row],[FECHA]])</f>
        <v>2024</v>
      </c>
      <c r="M644" s="749">
        <v>324</v>
      </c>
      <c r="N644" s="441" t="s">
        <v>676</v>
      </c>
      <c r="O644" s="441" t="s">
        <v>712</v>
      </c>
      <c r="P644" s="441" t="s">
        <v>110</v>
      </c>
    </row>
    <row r="645" spans="1:16" ht="13.8">
      <c r="A645" s="531">
        <v>45619</v>
      </c>
      <c r="B645" s="340" t="s">
        <v>272</v>
      </c>
      <c r="C645" s="340" t="s">
        <v>282</v>
      </c>
      <c r="D645" s="340" t="s">
        <v>491</v>
      </c>
      <c r="E645" s="340">
        <v>76</v>
      </c>
      <c r="F645" s="340">
        <v>3</v>
      </c>
      <c r="G645" s="529">
        <v>929.93</v>
      </c>
      <c r="H645" s="551">
        <f t="shared" si="22"/>
        <v>212024.03999999998</v>
      </c>
      <c r="I645" s="340">
        <v>233</v>
      </c>
      <c r="J645" s="753">
        <f t="shared" si="24"/>
        <v>228</v>
      </c>
      <c r="K645" s="685" t="str">
        <f>UPPER((TEXT(Tabla5[[#This Row],[FECHA]],"MMM")))</f>
        <v>NOV</v>
      </c>
      <c r="L645" s="780">
        <f>YEAR(Tabla5[[#This Row],[FECHA]])</f>
        <v>2024</v>
      </c>
      <c r="M645" s="749">
        <v>324</v>
      </c>
      <c r="N645" s="441" t="s">
        <v>676</v>
      </c>
      <c r="O645" s="441" t="s">
        <v>712</v>
      </c>
      <c r="P645" s="441" t="s">
        <v>110</v>
      </c>
    </row>
    <row r="646" spans="1:16" ht="13.8">
      <c r="A646" s="531">
        <v>45619</v>
      </c>
      <c r="B646" s="340" t="s">
        <v>287</v>
      </c>
      <c r="C646" s="340" t="s">
        <v>290</v>
      </c>
      <c r="D646" s="340" t="s">
        <v>440</v>
      </c>
      <c r="E646" s="340">
        <v>96</v>
      </c>
      <c r="F646" s="340">
        <v>12</v>
      </c>
      <c r="G646" s="529">
        <v>929.93</v>
      </c>
      <c r="H646" s="551">
        <f t="shared" si="22"/>
        <v>1071279.3599999999</v>
      </c>
      <c r="I646" s="340">
        <v>968</v>
      </c>
      <c r="J646" s="753">
        <f t="shared" si="24"/>
        <v>1152</v>
      </c>
      <c r="K646" s="685" t="str">
        <f>UPPER((TEXT(Tabla5[[#This Row],[FECHA]],"MMM")))</f>
        <v>NOV</v>
      </c>
      <c r="L646" s="780">
        <f>YEAR(Tabla5[[#This Row],[FECHA]])</f>
        <v>2024</v>
      </c>
      <c r="M646" s="749">
        <v>324</v>
      </c>
      <c r="N646" s="441" t="s">
        <v>678</v>
      </c>
      <c r="O646" s="441" t="s">
        <v>713</v>
      </c>
      <c r="P646" s="441" t="s">
        <v>110</v>
      </c>
    </row>
    <row r="647" spans="1:16" ht="13.8">
      <c r="A647" s="531">
        <v>45620</v>
      </c>
      <c r="B647" s="340" t="s">
        <v>289</v>
      </c>
      <c r="C647" s="340" t="s">
        <v>290</v>
      </c>
      <c r="D647" s="340" t="s">
        <v>440</v>
      </c>
      <c r="E647" s="340">
        <v>96</v>
      </c>
      <c r="F647" s="340">
        <v>15</v>
      </c>
      <c r="G647" s="529">
        <v>929.93</v>
      </c>
      <c r="H647" s="551">
        <f t="shared" si="22"/>
        <v>1339099.2</v>
      </c>
      <c r="I647" s="340">
        <v>1326</v>
      </c>
      <c r="J647" s="753">
        <f t="shared" si="24"/>
        <v>1440</v>
      </c>
      <c r="K647" s="685" t="str">
        <f>UPPER((TEXT(Tabla5[[#This Row],[FECHA]],"MMM")))</f>
        <v>NOV</v>
      </c>
      <c r="L647" s="780">
        <f>YEAR(Tabla5[[#This Row],[FECHA]])</f>
        <v>2024</v>
      </c>
      <c r="M647" s="749">
        <v>324</v>
      </c>
      <c r="N647" s="441" t="s">
        <v>678</v>
      </c>
      <c r="O647" s="441" t="s">
        <v>713</v>
      </c>
      <c r="P647" s="441" t="s">
        <v>110</v>
      </c>
    </row>
    <row r="648" spans="1:16" ht="13.8">
      <c r="A648" s="531">
        <v>45621</v>
      </c>
      <c r="B648" s="340" t="s">
        <v>253</v>
      </c>
      <c r="C648" s="340" t="s">
        <v>258</v>
      </c>
      <c r="D648" s="340" t="s">
        <v>491</v>
      </c>
      <c r="E648" s="340">
        <v>76</v>
      </c>
      <c r="F648" s="340">
        <v>6</v>
      </c>
      <c r="G648" s="529">
        <v>929.93</v>
      </c>
      <c r="H648" s="551">
        <f t="shared" si="22"/>
        <v>424048.07999999996</v>
      </c>
      <c r="I648" s="340">
        <v>633</v>
      </c>
      <c r="J648" s="753">
        <f t="shared" si="24"/>
        <v>456</v>
      </c>
      <c r="K648" s="685" t="str">
        <f>UPPER((TEXT(Tabla5[[#This Row],[FECHA]],"MMM")))</f>
        <v>NOV</v>
      </c>
      <c r="L648" s="780">
        <f>YEAR(Tabla5[[#This Row],[FECHA]])</f>
        <v>2024</v>
      </c>
      <c r="M648" s="749">
        <v>324</v>
      </c>
      <c r="N648" s="441" t="s">
        <v>676</v>
      </c>
      <c r="O648" s="441" t="s">
        <v>712</v>
      </c>
      <c r="P648" s="441" t="s">
        <v>110</v>
      </c>
    </row>
    <row r="649" spans="1:16" ht="13.8">
      <c r="A649" s="531">
        <v>45622</v>
      </c>
      <c r="B649" s="340" t="s">
        <v>253</v>
      </c>
      <c r="C649" s="340" t="s">
        <v>258</v>
      </c>
      <c r="D649" s="340" t="s">
        <v>491</v>
      </c>
      <c r="E649" s="340">
        <v>76</v>
      </c>
      <c r="F649" s="340">
        <v>6</v>
      </c>
      <c r="G649" s="529">
        <v>929.93</v>
      </c>
      <c r="H649" s="551">
        <f t="shared" si="22"/>
        <v>424048.07999999996</v>
      </c>
      <c r="I649" s="340">
        <v>496</v>
      </c>
      <c r="J649" s="753">
        <f t="shared" si="24"/>
        <v>456</v>
      </c>
      <c r="K649" s="685" t="str">
        <f>UPPER((TEXT(Tabla5[[#This Row],[FECHA]],"MMM")))</f>
        <v>NOV</v>
      </c>
      <c r="L649" s="780">
        <f>YEAR(Tabla5[[#This Row],[FECHA]])</f>
        <v>2024</v>
      </c>
      <c r="M649" s="749">
        <v>324</v>
      </c>
      <c r="N649" s="441" t="s">
        <v>676</v>
      </c>
      <c r="O649" s="441" t="s">
        <v>712</v>
      </c>
      <c r="P649" s="441" t="s">
        <v>110</v>
      </c>
    </row>
    <row r="650" spans="1:16" ht="13.8">
      <c r="A650" s="531">
        <v>45623</v>
      </c>
      <c r="B650" s="340" t="s">
        <v>256</v>
      </c>
      <c r="C650" s="340" t="s">
        <v>257</v>
      </c>
      <c r="D650" s="340" t="s">
        <v>491</v>
      </c>
      <c r="E650" s="340">
        <v>76</v>
      </c>
      <c r="F650" s="340">
        <v>6</v>
      </c>
      <c r="G650" s="529">
        <v>929.93</v>
      </c>
      <c r="H650" s="551">
        <f t="shared" si="22"/>
        <v>424048.07999999996</v>
      </c>
      <c r="I650" s="340">
        <v>372</v>
      </c>
      <c r="J650" s="753">
        <f t="shared" si="24"/>
        <v>456</v>
      </c>
      <c r="K650" s="685" t="str">
        <f>UPPER((TEXT(Tabla5[[#This Row],[FECHA]],"MMM")))</f>
        <v>NOV</v>
      </c>
      <c r="L650" s="780">
        <f>YEAR(Tabla5[[#This Row],[FECHA]])</f>
        <v>2024</v>
      </c>
      <c r="M650" s="749">
        <v>324</v>
      </c>
      <c r="N650" s="441" t="s">
        <v>676</v>
      </c>
      <c r="O650" s="441" t="s">
        <v>712</v>
      </c>
      <c r="P650" s="441" t="s">
        <v>110</v>
      </c>
    </row>
    <row r="651" spans="1:16" ht="13.8">
      <c r="A651" s="531">
        <v>45624</v>
      </c>
      <c r="B651" s="340" t="s">
        <v>256</v>
      </c>
      <c r="C651" s="340" t="s">
        <v>257</v>
      </c>
      <c r="D651" s="340" t="s">
        <v>491</v>
      </c>
      <c r="E651" s="340">
        <v>76</v>
      </c>
      <c r="F651" s="340">
        <v>6</v>
      </c>
      <c r="G651" s="529">
        <v>929.93</v>
      </c>
      <c r="H651" s="551">
        <f t="shared" ref="H651:H714" si="25">E651*F651*G651</f>
        <v>424048.07999999996</v>
      </c>
      <c r="I651" s="340">
        <v>393</v>
      </c>
      <c r="J651" s="753">
        <f t="shared" si="24"/>
        <v>456</v>
      </c>
      <c r="K651" s="685" t="str">
        <f>UPPER((TEXT(Tabla5[[#This Row],[FECHA]],"MMM")))</f>
        <v>NOV</v>
      </c>
      <c r="L651" s="780">
        <f>YEAR(Tabla5[[#This Row],[FECHA]])</f>
        <v>2024</v>
      </c>
      <c r="M651" s="749">
        <v>324</v>
      </c>
      <c r="N651" s="441" t="s">
        <v>676</v>
      </c>
      <c r="O651" s="441" t="s">
        <v>712</v>
      </c>
      <c r="P651" s="441" t="s">
        <v>110</v>
      </c>
    </row>
    <row r="652" spans="1:16" ht="13.8">
      <c r="A652" s="531">
        <v>45625</v>
      </c>
      <c r="B652" s="340" t="s">
        <v>256</v>
      </c>
      <c r="C652" s="340" t="s">
        <v>257</v>
      </c>
      <c r="D652" s="340" t="s">
        <v>491</v>
      </c>
      <c r="E652" s="340">
        <v>76</v>
      </c>
      <c r="F652" s="340">
        <v>7</v>
      </c>
      <c r="G652" s="529">
        <v>929.93</v>
      </c>
      <c r="H652" s="551">
        <f t="shared" si="25"/>
        <v>494722.75999999995</v>
      </c>
      <c r="I652" s="340">
        <v>301</v>
      </c>
      <c r="J652" s="753">
        <f t="shared" si="24"/>
        <v>532</v>
      </c>
      <c r="K652" s="685" t="str">
        <f>UPPER((TEXT(Tabla5[[#This Row],[FECHA]],"MMM")))</f>
        <v>NOV</v>
      </c>
      <c r="L652" s="780">
        <f>YEAR(Tabla5[[#This Row],[FECHA]])</f>
        <v>2024</v>
      </c>
      <c r="M652" s="749">
        <v>324</v>
      </c>
      <c r="N652" s="441" t="s">
        <v>676</v>
      </c>
      <c r="O652" s="441" t="s">
        <v>712</v>
      </c>
      <c r="P652" s="441" t="s">
        <v>110</v>
      </c>
    </row>
    <row r="653" spans="1:16" ht="13.8">
      <c r="A653" s="531">
        <v>45625</v>
      </c>
      <c r="B653" s="340" t="s">
        <v>263</v>
      </c>
      <c r="C653" s="340" t="s">
        <v>264</v>
      </c>
      <c r="D653" s="340" t="s">
        <v>260</v>
      </c>
      <c r="E653" s="340">
        <v>58</v>
      </c>
      <c r="F653" s="340">
        <v>14</v>
      </c>
      <c r="G653" s="529">
        <v>929.93</v>
      </c>
      <c r="H653" s="551">
        <f t="shared" si="25"/>
        <v>755103.15999999992</v>
      </c>
      <c r="I653" s="340">
        <v>986</v>
      </c>
      <c r="J653" s="753">
        <f t="shared" si="24"/>
        <v>812</v>
      </c>
      <c r="K653" s="685" t="str">
        <f>UPPER((TEXT(Tabla5[[#This Row],[FECHA]],"MMM")))</f>
        <v>NOV</v>
      </c>
      <c r="L653" s="780">
        <f>YEAR(Tabla5[[#This Row],[FECHA]])</f>
        <v>2024</v>
      </c>
      <c r="M653" s="749">
        <v>324</v>
      </c>
      <c r="N653" s="441" t="s">
        <v>677</v>
      </c>
      <c r="O653" s="441" t="s">
        <v>713</v>
      </c>
      <c r="P653" s="441" t="s">
        <v>110</v>
      </c>
    </row>
    <row r="654" spans="1:16" ht="13.8">
      <c r="A654" s="531">
        <v>45626</v>
      </c>
      <c r="B654" s="340" t="s">
        <v>272</v>
      </c>
      <c r="C654" s="340" t="s">
        <v>282</v>
      </c>
      <c r="D654" s="340" t="s">
        <v>491</v>
      </c>
      <c r="E654" s="340">
        <v>76</v>
      </c>
      <c r="F654" s="340">
        <v>3</v>
      </c>
      <c r="G654" s="529">
        <v>929.93</v>
      </c>
      <c r="H654" s="551">
        <f t="shared" si="25"/>
        <v>212024.03999999998</v>
      </c>
      <c r="I654" s="755">
        <v>82</v>
      </c>
      <c r="J654" s="753">
        <f t="shared" si="24"/>
        <v>228</v>
      </c>
      <c r="K654" s="685" t="str">
        <f>UPPER((TEXT(Tabla5[[#This Row],[FECHA]],"MMM")))</f>
        <v>NOV</v>
      </c>
      <c r="L654" s="780">
        <f>YEAR(Tabla5[[#This Row],[FECHA]])</f>
        <v>2024</v>
      </c>
      <c r="M654" s="749">
        <v>324</v>
      </c>
      <c r="N654" s="441" t="s">
        <v>676</v>
      </c>
      <c r="O654" s="441" t="s">
        <v>712</v>
      </c>
      <c r="P654" s="441" t="s">
        <v>110</v>
      </c>
    </row>
    <row r="655" spans="1:16" ht="13.8">
      <c r="A655" s="531">
        <v>45626</v>
      </c>
      <c r="B655" s="340" t="s">
        <v>263</v>
      </c>
      <c r="C655" s="340" t="s">
        <v>283</v>
      </c>
      <c r="D655" s="340" t="s">
        <v>440</v>
      </c>
      <c r="E655" s="340">
        <v>96</v>
      </c>
      <c r="F655" s="340">
        <v>18</v>
      </c>
      <c r="G655" s="529">
        <v>929.93</v>
      </c>
      <c r="H655" s="551">
        <f t="shared" si="25"/>
        <v>1606919.0399999998</v>
      </c>
      <c r="I655" s="755">
        <v>1378</v>
      </c>
      <c r="J655" s="753">
        <f t="shared" si="24"/>
        <v>1728</v>
      </c>
      <c r="K655" s="685" t="str">
        <f>UPPER((TEXT(Tabla5[[#This Row],[FECHA]],"MMM")))</f>
        <v>NOV</v>
      </c>
      <c r="L655" s="780">
        <f>YEAR(Tabla5[[#This Row],[FECHA]])</f>
        <v>2024</v>
      </c>
      <c r="M655" s="749">
        <v>324</v>
      </c>
      <c r="N655" s="441" t="s">
        <v>678</v>
      </c>
      <c r="O655" s="441" t="s">
        <v>713</v>
      </c>
      <c r="P655" s="441" t="s">
        <v>110</v>
      </c>
    </row>
    <row r="656" spans="1:16" ht="13.8">
      <c r="A656" s="531">
        <v>45626</v>
      </c>
      <c r="B656" s="340" t="s">
        <v>267</v>
      </c>
      <c r="C656" s="340" t="s">
        <v>268</v>
      </c>
      <c r="D656" s="340" t="s">
        <v>260</v>
      </c>
      <c r="E656" s="340">
        <v>58</v>
      </c>
      <c r="F656" s="340">
        <v>14</v>
      </c>
      <c r="G656" s="529">
        <v>929.93</v>
      </c>
      <c r="H656" s="551">
        <f t="shared" si="25"/>
        <v>755103.15999999992</v>
      </c>
      <c r="I656" s="755">
        <v>1100</v>
      </c>
      <c r="J656" s="753">
        <f t="shared" si="24"/>
        <v>812</v>
      </c>
      <c r="K656" s="685" t="str">
        <f>UPPER((TEXT(Tabla5[[#This Row],[FECHA]],"MMM")))</f>
        <v>NOV</v>
      </c>
      <c r="L656" s="780">
        <f>YEAR(Tabla5[[#This Row],[FECHA]])</f>
        <v>2024</v>
      </c>
      <c r="M656" s="749">
        <v>324</v>
      </c>
      <c r="N656" s="441" t="s">
        <v>677</v>
      </c>
      <c r="O656" s="441" t="s">
        <v>713</v>
      </c>
      <c r="P656" s="441" t="s">
        <v>110</v>
      </c>
    </row>
    <row r="657" spans="1:16" ht="13.8">
      <c r="A657" s="531">
        <v>45627</v>
      </c>
      <c r="B657" s="340" t="s">
        <v>256</v>
      </c>
      <c r="C657" s="340" t="s">
        <v>257</v>
      </c>
      <c r="D657" s="340" t="s">
        <v>440</v>
      </c>
      <c r="E657" s="712">
        <v>96</v>
      </c>
      <c r="F657" s="712">
        <v>18</v>
      </c>
      <c r="G657" s="529">
        <v>929.93</v>
      </c>
      <c r="H657" s="551">
        <f t="shared" si="25"/>
        <v>1606919.0399999998</v>
      </c>
      <c r="I657" s="712">
        <v>1358</v>
      </c>
      <c r="J657" s="712">
        <f>E657*F657</f>
        <v>1728</v>
      </c>
      <c r="K657" s="685" t="str">
        <f>UPPER((TEXT(Tabla5[[#This Row],[FECHA]],"MMM")))</f>
        <v>DIC</v>
      </c>
      <c r="L657" s="780">
        <f>YEAR(Tabla5[[#This Row],[FECHA]])</f>
        <v>2024</v>
      </c>
      <c r="M657" s="749">
        <v>344</v>
      </c>
      <c r="N657" s="441" t="s">
        <v>678</v>
      </c>
      <c r="O657" s="441" t="s">
        <v>713</v>
      </c>
      <c r="P657" s="441" t="s">
        <v>110</v>
      </c>
    </row>
    <row r="658" spans="1:16" ht="13.8">
      <c r="A658" s="531">
        <v>45627</v>
      </c>
      <c r="B658" s="340" t="s">
        <v>287</v>
      </c>
      <c r="C658" s="340" t="s">
        <v>404</v>
      </c>
      <c r="D658" s="340" t="s">
        <v>260</v>
      </c>
      <c r="E658" s="712">
        <v>58</v>
      </c>
      <c r="F658" s="712">
        <v>14</v>
      </c>
      <c r="G658" s="529">
        <v>929.93</v>
      </c>
      <c r="H658" s="551">
        <f t="shared" si="25"/>
        <v>755103.15999999992</v>
      </c>
      <c r="I658" s="712">
        <v>1158</v>
      </c>
      <c r="J658" s="712">
        <f t="shared" ref="J658:J721" si="26">E658*F658</f>
        <v>812</v>
      </c>
      <c r="K658" s="685" t="str">
        <f>UPPER((TEXT(Tabla5[[#This Row],[FECHA]],"MMM")))</f>
        <v>DIC</v>
      </c>
      <c r="L658" s="780">
        <f>YEAR(Tabla5[[#This Row],[FECHA]])</f>
        <v>2024</v>
      </c>
      <c r="M658" s="749">
        <v>344</v>
      </c>
      <c r="N658" s="441" t="s">
        <v>677</v>
      </c>
      <c r="O658" s="441" t="s">
        <v>713</v>
      </c>
      <c r="P658" s="441" t="s">
        <v>110</v>
      </c>
    </row>
    <row r="659" spans="1:16" ht="13.8">
      <c r="A659" s="531">
        <v>45628</v>
      </c>
      <c r="B659" s="340" t="s">
        <v>256</v>
      </c>
      <c r="C659" s="340" t="s">
        <v>257</v>
      </c>
      <c r="D659" s="340" t="s">
        <v>491</v>
      </c>
      <c r="E659" s="712">
        <v>76</v>
      </c>
      <c r="F659" s="712">
        <v>6</v>
      </c>
      <c r="G659" s="529">
        <v>929.93</v>
      </c>
      <c r="H659" s="551">
        <f t="shared" si="25"/>
        <v>424048.07999999996</v>
      </c>
      <c r="I659" s="712">
        <v>101</v>
      </c>
      <c r="J659" s="712">
        <f t="shared" si="26"/>
        <v>456</v>
      </c>
      <c r="K659" s="685" t="str">
        <f>UPPER((TEXT(Tabla5[[#This Row],[FECHA]],"MMM")))</f>
        <v>DIC</v>
      </c>
      <c r="L659" s="780">
        <f>YEAR(Tabla5[[#This Row],[FECHA]])</f>
        <v>2024</v>
      </c>
      <c r="M659" s="749">
        <v>344</v>
      </c>
      <c r="N659" s="441" t="s">
        <v>676</v>
      </c>
      <c r="O659" s="441" t="s">
        <v>712</v>
      </c>
      <c r="P659" s="441" t="s">
        <v>110</v>
      </c>
    </row>
    <row r="660" spans="1:16" ht="13.8">
      <c r="A660" s="531">
        <v>45628</v>
      </c>
      <c r="B660" s="340" t="s">
        <v>287</v>
      </c>
      <c r="C660" s="340" t="s">
        <v>404</v>
      </c>
      <c r="D660" s="340" t="s">
        <v>260</v>
      </c>
      <c r="E660" s="712">
        <v>58</v>
      </c>
      <c r="F660" s="712">
        <v>14</v>
      </c>
      <c r="G660" s="529">
        <v>929.93</v>
      </c>
      <c r="H660" s="551">
        <f t="shared" si="25"/>
        <v>755103.15999999992</v>
      </c>
      <c r="I660" s="712">
        <v>1134</v>
      </c>
      <c r="J660" s="712">
        <f t="shared" si="26"/>
        <v>812</v>
      </c>
      <c r="K660" s="685" t="str">
        <f>UPPER((TEXT(Tabla5[[#This Row],[FECHA]],"MMM")))</f>
        <v>DIC</v>
      </c>
      <c r="L660" s="780">
        <f>YEAR(Tabla5[[#This Row],[FECHA]])</f>
        <v>2024</v>
      </c>
      <c r="M660" s="749">
        <v>344</v>
      </c>
      <c r="N660" s="441" t="s">
        <v>677</v>
      </c>
      <c r="O660" s="441" t="s">
        <v>713</v>
      </c>
      <c r="P660" s="441" t="s">
        <v>110</v>
      </c>
    </row>
    <row r="661" spans="1:16" ht="13.8">
      <c r="A661" s="531">
        <v>45629</v>
      </c>
      <c r="B661" s="340" t="s">
        <v>277</v>
      </c>
      <c r="C661" s="340" t="s">
        <v>264</v>
      </c>
      <c r="D661" s="340" t="s">
        <v>491</v>
      </c>
      <c r="E661" s="712">
        <v>76</v>
      </c>
      <c r="F661" s="712">
        <v>3</v>
      </c>
      <c r="G661" s="529">
        <v>929.93</v>
      </c>
      <c r="H661" s="551">
        <f t="shared" si="25"/>
        <v>212024.03999999998</v>
      </c>
      <c r="I661" s="712">
        <v>85</v>
      </c>
      <c r="J661" s="712">
        <f t="shared" si="26"/>
        <v>228</v>
      </c>
      <c r="K661" s="685" t="str">
        <f>UPPER((TEXT(Tabla5[[#This Row],[FECHA]],"MMM")))</f>
        <v>DIC</v>
      </c>
      <c r="L661" s="780">
        <f>YEAR(Tabla5[[#This Row],[FECHA]])</f>
        <v>2024</v>
      </c>
      <c r="M661" s="749">
        <v>344</v>
      </c>
      <c r="N661" s="441" t="s">
        <v>676</v>
      </c>
      <c r="O661" s="441" t="s">
        <v>712</v>
      </c>
      <c r="P661" s="441" t="s">
        <v>110</v>
      </c>
    </row>
    <row r="662" spans="1:16" ht="13.8">
      <c r="A662" s="531">
        <v>45629</v>
      </c>
      <c r="B662" s="340" t="s">
        <v>287</v>
      </c>
      <c r="C662" s="340" t="s">
        <v>404</v>
      </c>
      <c r="D662" s="340" t="s">
        <v>260</v>
      </c>
      <c r="E662" s="712">
        <v>58</v>
      </c>
      <c r="F662" s="712">
        <v>14</v>
      </c>
      <c r="G662" s="529">
        <v>929.93</v>
      </c>
      <c r="H662" s="551">
        <f t="shared" si="25"/>
        <v>755103.15999999992</v>
      </c>
      <c r="I662" s="712">
        <v>1190</v>
      </c>
      <c r="J662" s="712">
        <f t="shared" si="26"/>
        <v>812</v>
      </c>
      <c r="K662" s="685" t="str">
        <f>UPPER((TEXT(Tabla5[[#This Row],[FECHA]],"MMM")))</f>
        <v>DIC</v>
      </c>
      <c r="L662" s="780">
        <f>YEAR(Tabla5[[#This Row],[FECHA]])</f>
        <v>2024</v>
      </c>
      <c r="M662" s="749">
        <v>344</v>
      </c>
      <c r="N662" s="441" t="s">
        <v>677</v>
      </c>
      <c r="O662" s="441" t="s">
        <v>713</v>
      </c>
      <c r="P662" s="441" t="s">
        <v>110</v>
      </c>
    </row>
    <row r="663" spans="1:16" ht="13.8">
      <c r="A663" s="531">
        <v>45630</v>
      </c>
      <c r="B663" s="340" t="s">
        <v>256</v>
      </c>
      <c r="C663" s="340" t="s">
        <v>257</v>
      </c>
      <c r="D663" s="340" t="s">
        <v>491</v>
      </c>
      <c r="E663" s="712">
        <v>76</v>
      </c>
      <c r="F663" s="712">
        <v>9</v>
      </c>
      <c r="G663" s="529">
        <v>929.93</v>
      </c>
      <c r="H663" s="551">
        <f t="shared" si="25"/>
        <v>636072.12</v>
      </c>
      <c r="I663" s="712">
        <v>79</v>
      </c>
      <c r="J663" s="712">
        <f t="shared" si="26"/>
        <v>684</v>
      </c>
      <c r="K663" s="685" t="str">
        <f>UPPER((TEXT(Tabla5[[#This Row],[FECHA]],"MMM")))</f>
        <v>DIC</v>
      </c>
      <c r="L663" s="780">
        <f>YEAR(Tabla5[[#This Row],[FECHA]])</f>
        <v>2024</v>
      </c>
      <c r="M663" s="749">
        <v>344</v>
      </c>
      <c r="N663" s="441" t="s">
        <v>676</v>
      </c>
      <c r="O663" s="441" t="s">
        <v>712</v>
      </c>
      <c r="P663" s="441" t="s">
        <v>110</v>
      </c>
    </row>
    <row r="664" spans="1:16" ht="13.8">
      <c r="A664" s="531">
        <v>45630</v>
      </c>
      <c r="B664" s="340" t="s">
        <v>287</v>
      </c>
      <c r="C664" s="340" t="s">
        <v>404</v>
      </c>
      <c r="D664" s="340" t="s">
        <v>260</v>
      </c>
      <c r="E664" s="712">
        <v>58</v>
      </c>
      <c r="F664" s="712">
        <v>14</v>
      </c>
      <c r="G664" s="529">
        <v>929.93</v>
      </c>
      <c r="H664" s="551">
        <f t="shared" si="25"/>
        <v>755103.15999999992</v>
      </c>
      <c r="I664" s="712">
        <v>1148</v>
      </c>
      <c r="J664" s="712">
        <f t="shared" si="26"/>
        <v>812</v>
      </c>
      <c r="K664" s="685" t="str">
        <f>UPPER((TEXT(Tabla5[[#This Row],[FECHA]],"MMM")))</f>
        <v>DIC</v>
      </c>
      <c r="L664" s="780">
        <f>YEAR(Tabla5[[#This Row],[FECHA]])</f>
        <v>2024</v>
      </c>
      <c r="M664" s="749">
        <v>344</v>
      </c>
      <c r="N664" s="441" t="s">
        <v>677</v>
      </c>
      <c r="O664" s="441" t="s">
        <v>713</v>
      </c>
      <c r="P664" s="441" t="s">
        <v>110</v>
      </c>
    </row>
    <row r="665" spans="1:16" ht="13.8">
      <c r="A665" s="531">
        <v>45631</v>
      </c>
      <c r="B665" s="340" t="s">
        <v>256</v>
      </c>
      <c r="C665" s="340" t="s">
        <v>257</v>
      </c>
      <c r="D665" s="340" t="s">
        <v>491</v>
      </c>
      <c r="E665" s="712">
        <v>76</v>
      </c>
      <c r="F665" s="712">
        <v>3</v>
      </c>
      <c r="G665" s="529">
        <v>929.93</v>
      </c>
      <c r="H665" s="551">
        <f t="shared" si="25"/>
        <v>212024.03999999998</v>
      </c>
      <c r="I665" s="712">
        <v>97</v>
      </c>
      <c r="J665" s="712">
        <f t="shared" si="26"/>
        <v>228</v>
      </c>
      <c r="K665" s="685" t="str">
        <f>UPPER((TEXT(Tabla5[[#This Row],[FECHA]],"MMM")))</f>
        <v>DIC</v>
      </c>
      <c r="L665" s="780">
        <f>YEAR(Tabla5[[#This Row],[FECHA]])</f>
        <v>2024</v>
      </c>
      <c r="M665" s="749">
        <v>344</v>
      </c>
      <c r="N665" s="441" t="s">
        <v>676</v>
      </c>
      <c r="O665" s="441" t="s">
        <v>712</v>
      </c>
      <c r="P665" s="441" t="s">
        <v>110</v>
      </c>
    </row>
    <row r="666" spans="1:16" ht="13.8">
      <c r="A666" s="531">
        <v>45631</v>
      </c>
      <c r="B666" s="340" t="s">
        <v>287</v>
      </c>
      <c r="C666" s="340" t="s">
        <v>404</v>
      </c>
      <c r="D666" s="340" t="s">
        <v>260</v>
      </c>
      <c r="E666" s="712">
        <v>58</v>
      </c>
      <c r="F666" s="712">
        <v>14</v>
      </c>
      <c r="G666" s="529">
        <v>929.93</v>
      </c>
      <c r="H666" s="551">
        <f t="shared" si="25"/>
        <v>755103.15999999992</v>
      </c>
      <c r="I666" s="712">
        <v>1146</v>
      </c>
      <c r="J666" s="712">
        <f t="shared" si="26"/>
        <v>812</v>
      </c>
      <c r="K666" s="685" t="str">
        <f>UPPER((TEXT(Tabla5[[#This Row],[FECHA]],"MMM")))</f>
        <v>DIC</v>
      </c>
      <c r="L666" s="780">
        <f>YEAR(Tabla5[[#This Row],[FECHA]])</f>
        <v>2024</v>
      </c>
      <c r="M666" s="749">
        <v>344</v>
      </c>
      <c r="N666" s="441" t="s">
        <v>677</v>
      </c>
      <c r="O666" s="441" t="s">
        <v>713</v>
      </c>
      <c r="P666" s="441" t="s">
        <v>110</v>
      </c>
    </row>
    <row r="667" spans="1:16" ht="13.8">
      <c r="A667" s="531">
        <v>45632</v>
      </c>
      <c r="B667" s="340" t="s">
        <v>256</v>
      </c>
      <c r="C667" s="340" t="s">
        <v>257</v>
      </c>
      <c r="D667" s="340" t="s">
        <v>491</v>
      </c>
      <c r="E667" s="712">
        <v>76</v>
      </c>
      <c r="F667" s="712">
        <v>3</v>
      </c>
      <c r="G667" s="529">
        <v>929.93</v>
      </c>
      <c r="H667" s="551">
        <f t="shared" si="25"/>
        <v>212024.03999999998</v>
      </c>
      <c r="I667" s="712">
        <v>93</v>
      </c>
      <c r="J667" s="712">
        <f t="shared" si="26"/>
        <v>228</v>
      </c>
      <c r="K667" s="685" t="str">
        <f>UPPER((TEXT(Tabla5[[#This Row],[FECHA]],"MMM")))</f>
        <v>DIC</v>
      </c>
      <c r="L667" s="780">
        <f>YEAR(Tabla5[[#This Row],[FECHA]])</f>
        <v>2024</v>
      </c>
      <c r="M667" s="749">
        <v>344</v>
      </c>
      <c r="N667" s="441" t="s">
        <v>676</v>
      </c>
      <c r="O667" s="441" t="s">
        <v>712</v>
      </c>
      <c r="P667" s="441" t="s">
        <v>110</v>
      </c>
    </row>
    <row r="668" spans="1:16" ht="13.8">
      <c r="A668" s="531">
        <v>45632</v>
      </c>
      <c r="B668" s="340" t="s">
        <v>287</v>
      </c>
      <c r="C668" s="340" t="s">
        <v>404</v>
      </c>
      <c r="D668" s="340" t="s">
        <v>260</v>
      </c>
      <c r="E668" s="712">
        <v>58</v>
      </c>
      <c r="F668" s="712">
        <v>14</v>
      </c>
      <c r="G668" s="529">
        <v>929.93</v>
      </c>
      <c r="H668" s="551">
        <f t="shared" si="25"/>
        <v>755103.15999999992</v>
      </c>
      <c r="I668" s="712">
        <v>1228</v>
      </c>
      <c r="J668" s="712">
        <f t="shared" si="26"/>
        <v>812</v>
      </c>
      <c r="K668" s="685" t="str">
        <f>UPPER((TEXT(Tabla5[[#This Row],[FECHA]],"MMM")))</f>
        <v>DIC</v>
      </c>
      <c r="L668" s="780">
        <f>YEAR(Tabla5[[#This Row],[FECHA]])</f>
        <v>2024</v>
      </c>
      <c r="M668" s="749">
        <v>344</v>
      </c>
      <c r="N668" s="441" t="s">
        <v>677</v>
      </c>
      <c r="O668" s="441" t="s">
        <v>713</v>
      </c>
      <c r="P668" s="441" t="s">
        <v>110</v>
      </c>
    </row>
    <row r="669" spans="1:16" ht="13.8">
      <c r="A669" s="531">
        <v>45633</v>
      </c>
      <c r="B669" s="340" t="s">
        <v>253</v>
      </c>
      <c r="C669" s="340" t="s">
        <v>258</v>
      </c>
      <c r="D669" s="340" t="s">
        <v>440</v>
      </c>
      <c r="E669" s="712">
        <v>96</v>
      </c>
      <c r="F669" s="712">
        <v>18</v>
      </c>
      <c r="G669" s="529">
        <v>929.93</v>
      </c>
      <c r="H669" s="551">
        <f t="shared" si="25"/>
        <v>1606919.0399999998</v>
      </c>
      <c r="I669" s="712">
        <v>1398</v>
      </c>
      <c r="J669" s="712">
        <f t="shared" si="26"/>
        <v>1728</v>
      </c>
      <c r="K669" s="685" t="str">
        <f>UPPER((TEXT(Tabla5[[#This Row],[FECHA]],"MMM")))</f>
        <v>DIC</v>
      </c>
      <c r="L669" s="780">
        <f>YEAR(Tabla5[[#This Row],[FECHA]])</f>
        <v>2024</v>
      </c>
      <c r="M669" s="749">
        <v>344</v>
      </c>
      <c r="N669" s="441" t="s">
        <v>678</v>
      </c>
      <c r="O669" s="441" t="s">
        <v>713</v>
      </c>
      <c r="P669" s="441" t="s">
        <v>110</v>
      </c>
    </row>
    <row r="670" spans="1:16" ht="12.6" customHeight="1">
      <c r="A670" s="531">
        <v>45633</v>
      </c>
      <c r="B670" s="340" t="s">
        <v>263</v>
      </c>
      <c r="C670" s="340" t="s">
        <v>285</v>
      </c>
      <c r="D670" s="340" t="s">
        <v>672</v>
      </c>
      <c r="E670" s="712">
        <v>62</v>
      </c>
      <c r="F670" s="712">
        <v>10</v>
      </c>
      <c r="G670" s="529">
        <v>929.93</v>
      </c>
      <c r="H670" s="551">
        <f t="shared" si="25"/>
        <v>576556.6</v>
      </c>
      <c r="I670" s="712">
        <v>841</v>
      </c>
      <c r="J670" s="712">
        <f t="shared" si="26"/>
        <v>620</v>
      </c>
      <c r="K670" s="685" t="str">
        <f>UPPER((TEXT(Tabla5[[#This Row],[FECHA]],"MMM")))</f>
        <v>DIC</v>
      </c>
      <c r="L670" s="780">
        <f>YEAR(Tabla5[[#This Row],[FECHA]])</f>
        <v>2024</v>
      </c>
      <c r="M670" s="749">
        <v>344</v>
      </c>
      <c r="N670" s="441" t="s">
        <v>675</v>
      </c>
      <c r="O670" s="441" t="s">
        <v>713</v>
      </c>
      <c r="P670" s="441" t="s">
        <v>110</v>
      </c>
    </row>
    <row r="671" spans="1:16" ht="13.8">
      <c r="A671" s="531">
        <v>45633</v>
      </c>
      <c r="B671" s="340" t="s">
        <v>406</v>
      </c>
      <c r="C671" s="340" t="s">
        <v>673</v>
      </c>
      <c r="D671" s="340" t="s">
        <v>260</v>
      </c>
      <c r="E671" s="712">
        <v>58</v>
      </c>
      <c r="F671" s="712">
        <v>14</v>
      </c>
      <c r="G671" s="529">
        <v>929.93</v>
      </c>
      <c r="H671" s="551">
        <f t="shared" si="25"/>
        <v>755103.15999999992</v>
      </c>
      <c r="I671" s="712">
        <v>1226</v>
      </c>
      <c r="J671" s="712">
        <f t="shared" si="26"/>
        <v>812</v>
      </c>
      <c r="K671" s="685" t="str">
        <f>UPPER((TEXT(Tabla5[[#This Row],[FECHA]],"MMM")))</f>
        <v>DIC</v>
      </c>
      <c r="L671" s="780">
        <f>YEAR(Tabla5[[#This Row],[FECHA]])</f>
        <v>2024</v>
      </c>
      <c r="M671" s="749">
        <v>344</v>
      </c>
      <c r="N671" s="441" t="s">
        <v>677</v>
      </c>
      <c r="O671" s="441" t="s">
        <v>713</v>
      </c>
      <c r="P671" s="441" t="s">
        <v>110</v>
      </c>
    </row>
    <row r="672" spans="1:16" ht="13.8">
      <c r="A672" s="531">
        <v>45634</v>
      </c>
      <c r="B672" s="340" t="s">
        <v>253</v>
      </c>
      <c r="C672" s="340" t="s">
        <v>258</v>
      </c>
      <c r="D672" s="340" t="s">
        <v>440</v>
      </c>
      <c r="E672" s="712">
        <v>96</v>
      </c>
      <c r="F672" s="712">
        <v>18</v>
      </c>
      <c r="G672" s="529">
        <v>929.93</v>
      </c>
      <c r="H672" s="551">
        <f t="shared" si="25"/>
        <v>1606919.0399999998</v>
      </c>
      <c r="I672" s="712">
        <v>1572</v>
      </c>
      <c r="J672" s="712">
        <f t="shared" si="26"/>
        <v>1728</v>
      </c>
      <c r="K672" s="685" t="str">
        <f>UPPER((TEXT(Tabla5[[#This Row],[FECHA]],"MMM")))</f>
        <v>DIC</v>
      </c>
      <c r="L672" s="780">
        <f>YEAR(Tabla5[[#This Row],[FECHA]])</f>
        <v>2024</v>
      </c>
      <c r="M672" s="749">
        <v>344</v>
      </c>
      <c r="N672" s="441" t="s">
        <v>678</v>
      </c>
      <c r="O672" s="441" t="s">
        <v>713</v>
      </c>
      <c r="P672" s="441" t="s">
        <v>110</v>
      </c>
    </row>
    <row r="673" spans="1:16" ht="13.8">
      <c r="A673" s="531">
        <v>45634</v>
      </c>
      <c r="B673" s="340" t="s">
        <v>263</v>
      </c>
      <c r="C673" s="340" t="s">
        <v>285</v>
      </c>
      <c r="D673" s="340" t="s">
        <v>672</v>
      </c>
      <c r="E673" s="712">
        <v>62</v>
      </c>
      <c r="F673" s="712">
        <v>10</v>
      </c>
      <c r="G673" s="529">
        <v>929.93</v>
      </c>
      <c r="H673" s="551">
        <f t="shared" si="25"/>
        <v>576556.6</v>
      </c>
      <c r="I673" s="712">
        <v>954</v>
      </c>
      <c r="J673" s="712">
        <f t="shared" si="26"/>
        <v>620</v>
      </c>
      <c r="K673" s="685" t="str">
        <f>UPPER((TEXT(Tabla5[[#This Row],[FECHA]],"MMM")))</f>
        <v>DIC</v>
      </c>
      <c r="L673" s="780">
        <f>YEAR(Tabla5[[#This Row],[FECHA]])</f>
        <v>2024</v>
      </c>
      <c r="M673" s="749">
        <v>344</v>
      </c>
      <c r="N673" s="441" t="s">
        <v>675</v>
      </c>
      <c r="O673" s="441" t="s">
        <v>713</v>
      </c>
      <c r="P673" s="441" t="s">
        <v>110</v>
      </c>
    </row>
    <row r="674" spans="1:16" ht="13.8">
      <c r="A674" s="531">
        <v>45634</v>
      </c>
      <c r="B674" s="340" t="s">
        <v>406</v>
      </c>
      <c r="C674" s="340" t="s">
        <v>673</v>
      </c>
      <c r="D674" s="340" t="s">
        <v>260</v>
      </c>
      <c r="E674" s="712">
        <v>58</v>
      </c>
      <c r="F674" s="712">
        <v>14</v>
      </c>
      <c r="G674" s="529">
        <v>929.93</v>
      </c>
      <c r="H674" s="551">
        <f t="shared" si="25"/>
        <v>755103.15999999992</v>
      </c>
      <c r="I674" s="712">
        <v>1220</v>
      </c>
      <c r="J674" s="712">
        <f t="shared" si="26"/>
        <v>812</v>
      </c>
      <c r="K674" s="685" t="str">
        <f>UPPER((TEXT(Tabla5[[#This Row],[FECHA]],"MMM")))</f>
        <v>DIC</v>
      </c>
      <c r="L674" s="780">
        <f>YEAR(Tabla5[[#This Row],[FECHA]])</f>
        <v>2024</v>
      </c>
      <c r="M674" s="749">
        <v>344</v>
      </c>
      <c r="N674" s="441" t="s">
        <v>677</v>
      </c>
      <c r="O674" s="441" t="s">
        <v>713</v>
      </c>
      <c r="P674" s="441" t="s">
        <v>110</v>
      </c>
    </row>
    <row r="675" spans="1:16" ht="13.8">
      <c r="A675" s="531">
        <v>45635</v>
      </c>
      <c r="B675" s="340" t="s">
        <v>277</v>
      </c>
      <c r="C675" s="340" t="s">
        <v>285</v>
      </c>
      <c r="D675" s="340" t="s">
        <v>672</v>
      </c>
      <c r="E675" s="712">
        <v>62</v>
      </c>
      <c r="F675" s="712">
        <v>10</v>
      </c>
      <c r="G675" s="529">
        <v>929.93</v>
      </c>
      <c r="H675" s="551">
        <f t="shared" si="25"/>
        <v>576556.6</v>
      </c>
      <c r="I675" s="712">
        <v>1280</v>
      </c>
      <c r="J675" s="712">
        <f t="shared" si="26"/>
        <v>620</v>
      </c>
      <c r="K675" s="685" t="str">
        <f>UPPER((TEXT(Tabla5[[#This Row],[FECHA]],"MMM")))</f>
        <v>DIC</v>
      </c>
      <c r="L675" s="780">
        <f>YEAR(Tabla5[[#This Row],[FECHA]])</f>
        <v>2024</v>
      </c>
      <c r="M675" s="749">
        <v>344</v>
      </c>
      <c r="N675" s="441" t="s">
        <v>675</v>
      </c>
      <c r="O675" s="441" t="s">
        <v>713</v>
      </c>
      <c r="P675" s="441" t="s">
        <v>110</v>
      </c>
    </row>
    <row r="676" spans="1:16" ht="13.8">
      <c r="A676" s="531">
        <v>45635</v>
      </c>
      <c r="B676" s="340" t="s">
        <v>287</v>
      </c>
      <c r="C676" s="340" t="s">
        <v>554</v>
      </c>
      <c r="D676" s="340" t="s">
        <v>260</v>
      </c>
      <c r="E676" s="712">
        <v>58</v>
      </c>
      <c r="F676" s="712">
        <v>14</v>
      </c>
      <c r="G676" s="529">
        <v>929.93</v>
      </c>
      <c r="H676" s="551">
        <f t="shared" si="25"/>
        <v>755103.15999999992</v>
      </c>
      <c r="I676" s="712">
        <v>1214</v>
      </c>
      <c r="J676" s="712">
        <f t="shared" si="26"/>
        <v>812</v>
      </c>
      <c r="K676" s="685" t="str">
        <f>UPPER((TEXT(Tabla5[[#This Row],[FECHA]],"MMM")))</f>
        <v>DIC</v>
      </c>
      <c r="L676" s="780">
        <f>YEAR(Tabla5[[#This Row],[FECHA]])</f>
        <v>2024</v>
      </c>
      <c r="M676" s="749">
        <v>344</v>
      </c>
      <c r="N676" s="441" t="s">
        <v>677</v>
      </c>
      <c r="O676" s="441" t="s">
        <v>713</v>
      </c>
      <c r="P676" s="441" t="s">
        <v>110</v>
      </c>
    </row>
    <row r="677" spans="1:16" ht="13.8">
      <c r="A677" s="531">
        <v>45636</v>
      </c>
      <c r="B677" s="340" t="s">
        <v>277</v>
      </c>
      <c r="C677" s="340" t="s">
        <v>285</v>
      </c>
      <c r="D677" s="340" t="s">
        <v>672</v>
      </c>
      <c r="E677" s="712">
        <v>62</v>
      </c>
      <c r="F677" s="712">
        <v>10</v>
      </c>
      <c r="G677" s="529">
        <v>929.93</v>
      </c>
      <c r="H677" s="551">
        <f t="shared" si="25"/>
        <v>576556.6</v>
      </c>
      <c r="I677" s="712">
        <v>1280</v>
      </c>
      <c r="J677" s="712">
        <f t="shared" si="26"/>
        <v>620</v>
      </c>
      <c r="K677" s="685" t="str">
        <f>UPPER((TEXT(Tabla5[[#This Row],[FECHA]],"MMM")))</f>
        <v>DIC</v>
      </c>
      <c r="L677" s="780">
        <f>YEAR(Tabla5[[#This Row],[FECHA]])</f>
        <v>2024</v>
      </c>
      <c r="M677" s="749">
        <v>344</v>
      </c>
      <c r="N677" s="441" t="s">
        <v>675</v>
      </c>
      <c r="O677" s="441" t="s">
        <v>713</v>
      </c>
      <c r="P677" s="441" t="s">
        <v>110</v>
      </c>
    </row>
    <row r="678" spans="1:16" ht="13.8">
      <c r="A678" s="531">
        <v>45636</v>
      </c>
      <c r="B678" s="340" t="s">
        <v>287</v>
      </c>
      <c r="C678" s="340" t="s">
        <v>554</v>
      </c>
      <c r="D678" s="340" t="s">
        <v>260</v>
      </c>
      <c r="E678" s="712">
        <v>58</v>
      </c>
      <c r="F678" s="712">
        <v>14</v>
      </c>
      <c r="G678" s="529">
        <v>929.93</v>
      </c>
      <c r="H678" s="551">
        <f t="shared" si="25"/>
        <v>755103.15999999992</v>
      </c>
      <c r="I678" s="712">
        <v>1192</v>
      </c>
      <c r="J678" s="712">
        <f t="shared" si="26"/>
        <v>812</v>
      </c>
      <c r="K678" s="685" t="str">
        <f>UPPER((TEXT(Tabla5[[#This Row],[FECHA]],"MMM")))</f>
        <v>DIC</v>
      </c>
      <c r="L678" s="780">
        <f>YEAR(Tabla5[[#This Row],[FECHA]])</f>
        <v>2024</v>
      </c>
      <c r="M678" s="749">
        <v>344</v>
      </c>
      <c r="N678" s="441" t="s">
        <v>677</v>
      </c>
      <c r="O678" s="441" t="s">
        <v>713</v>
      </c>
      <c r="P678" s="441" t="s">
        <v>110</v>
      </c>
    </row>
    <row r="679" spans="1:16" ht="13.8">
      <c r="A679" s="531">
        <v>45637</v>
      </c>
      <c r="B679" s="340" t="s">
        <v>277</v>
      </c>
      <c r="C679" s="340" t="s">
        <v>285</v>
      </c>
      <c r="D679" s="340" t="s">
        <v>672</v>
      </c>
      <c r="E679" s="712">
        <v>62</v>
      </c>
      <c r="F679" s="712">
        <v>10</v>
      </c>
      <c r="G679" s="529">
        <v>929.93</v>
      </c>
      <c r="H679" s="551">
        <f t="shared" si="25"/>
        <v>576556.6</v>
      </c>
      <c r="I679" s="712">
        <v>1280</v>
      </c>
      <c r="J679" s="712">
        <f t="shared" si="26"/>
        <v>620</v>
      </c>
      <c r="K679" s="685" t="str">
        <f>UPPER((TEXT(Tabla5[[#This Row],[FECHA]],"MMM")))</f>
        <v>DIC</v>
      </c>
      <c r="L679" s="780">
        <f>YEAR(Tabla5[[#This Row],[FECHA]])</f>
        <v>2024</v>
      </c>
      <c r="M679" s="749">
        <v>344</v>
      </c>
      <c r="N679" s="441" t="s">
        <v>675</v>
      </c>
      <c r="O679" s="441" t="s">
        <v>713</v>
      </c>
      <c r="P679" s="441" t="s">
        <v>110</v>
      </c>
    </row>
    <row r="680" spans="1:16" ht="13.8">
      <c r="A680" s="531">
        <v>45637</v>
      </c>
      <c r="B680" s="340" t="s">
        <v>271</v>
      </c>
      <c r="C680" s="340" t="s">
        <v>673</v>
      </c>
      <c r="D680" s="340" t="s">
        <v>260</v>
      </c>
      <c r="E680" s="712">
        <v>58</v>
      </c>
      <c r="F680" s="712">
        <v>14</v>
      </c>
      <c r="G680" s="529">
        <v>929.93</v>
      </c>
      <c r="H680" s="551">
        <f t="shared" si="25"/>
        <v>755103.15999999992</v>
      </c>
      <c r="I680" s="712">
        <v>1210</v>
      </c>
      <c r="J680" s="712">
        <f t="shared" si="26"/>
        <v>812</v>
      </c>
      <c r="K680" s="685" t="str">
        <f>UPPER((TEXT(Tabla5[[#This Row],[FECHA]],"MMM")))</f>
        <v>DIC</v>
      </c>
      <c r="L680" s="780">
        <f>YEAR(Tabla5[[#This Row],[FECHA]])</f>
        <v>2024</v>
      </c>
      <c r="M680" s="749">
        <v>344</v>
      </c>
      <c r="N680" s="441" t="s">
        <v>677</v>
      </c>
      <c r="O680" s="441" t="s">
        <v>713</v>
      </c>
      <c r="P680" s="441" t="s">
        <v>110</v>
      </c>
    </row>
    <row r="681" spans="1:16" ht="13.8">
      <c r="A681" s="531">
        <v>45638</v>
      </c>
      <c r="B681" s="340" t="s">
        <v>277</v>
      </c>
      <c r="C681" s="340" t="s">
        <v>285</v>
      </c>
      <c r="D681" s="340" t="s">
        <v>672</v>
      </c>
      <c r="E681" s="712">
        <v>62</v>
      </c>
      <c r="F681" s="712">
        <v>10</v>
      </c>
      <c r="G681" s="529">
        <v>929.93</v>
      </c>
      <c r="H681" s="551">
        <f t="shared" si="25"/>
        <v>576556.6</v>
      </c>
      <c r="I681" s="712">
        <v>1280</v>
      </c>
      <c r="J681" s="712">
        <f t="shared" si="26"/>
        <v>620</v>
      </c>
      <c r="K681" s="685" t="str">
        <f>UPPER((TEXT(Tabla5[[#This Row],[FECHA]],"MMM")))</f>
        <v>DIC</v>
      </c>
      <c r="L681" s="780">
        <f>YEAR(Tabla5[[#This Row],[FECHA]])</f>
        <v>2024</v>
      </c>
      <c r="M681" s="749">
        <v>344</v>
      </c>
      <c r="N681" s="441" t="s">
        <v>675</v>
      </c>
      <c r="O681" s="441" t="s">
        <v>713</v>
      </c>
      <c r="P681" s="441" t="s">
        <v>110</v>
      </c>
    </row>
    <row r="682" spans="1:16" ht="13.8">
      <c r="A682" s="531">
        <v>45638</v>
      </c>
      <c r="B682" s="340" t="s">
        <v>287</v>
      </c>
      <c r="C682" s="340" t="s">
        <v>554</v>
      </c>
      <c r="D682" s="340" t="s">
        <v>260</v>
      </c>
      <c r="E682" s="712">
        <v>58</v>
      </c>
      <c r="F682" s="712">
        <v>14</v>
      </c>
      <c r="G682" s="529">
        <v>929.93</v>
      </c>
      <c r="H682" s="551">
        <f t="shared" si="25"/>
        <v>755103.15999999992</v>
      </c>
      <c r="I682" s="712">
        <v>1206</v>
      </c>
      <c r="J682" s="712">
        <f t="shared" si="26"/>
        <v>812</v>
      </c>
      <c r="K682" s="685" t="str">
        <f>UPPER((TEXT(Tabla5[[#This Row],[FECHA]],"MMM")))</f>
        <v>DIC</v>
      </c>
      <c r="L682" s="780">
        <f>YEAR(Tabla5[[#This Row],[FECHA]])</f>
        <v>2024</v>
      </c>
      <c r="M682" s="749">
        <v>344</v>
      </c>
      <c r="N682" s="441" t="s">
        <v>677</v>
      </c>
      <c r="O682" s="441" t="s">
        <v>713</v>
      </c>
      <c r="P682" s="441" t="s">
        <v>110</v>
      </c>
    </row>
    <row r="683" spans="1:16" ht="13.8">
      <c r="A683" s="531">
        <v>45639</v>
      </c>
      <c r="B683" s="340" t="s">
        <v>277</v>
      </c>
      <c r="C683" s="340" t="s">
        <v>285</v>
      </c>
      <c r="D683" s="340" t="s">
        <v>672</v>
      </c>
      <c r="E683" s="712">
        <v>62</v>
      </c>
      <c r="F683" s="712">
        <v>10</v>
      </c>
      <c r="G683" s="529">
        <v>929.93</v>
      </c>
      <c r="H683" s="551">
        <f t="shared" si="25"/>
        <v>576556.6</v>
      </c>
      <c r="I683" s="712">
        <v>1045</v>
      </c>
      <c r="J683" s="712">
        <f t="shared" si="26"/>
        <v>620</v>
      </c>
      <c r="K683" s="685" t="str">
        <f>UPPER((TEXT(Tabla5[[#This Row],[FECHA]],"MMM")))</f>
        <v>DIC</v>
      </c>
      <c r="L683" s="780">
        <f>YEAR(Tabla5[[#This Row],[FECHA]])</f>
        <v>2024</v>
      </c>
      <c r="M683" s="749">
        <v>344</v>
      </c>
      <c r="N683" s="441" t="s">
        <v>675</v>
      </c>
      <c r="O683" s="441" t="s">
        <v>713</v>
      </c>
      <c r="P683" s="441" t="s">
        <v>110</v>
      </c>
    </row>
    <row r="684" spans="1:16" ht="13.8">
      <c r="A684" s="531">
        <v>45639</v>
      </c>
      <c r="B684" s="340" t="s">
        <v>271</v>
      </c>
      <c r="C684" s="340" t="s">
        <v>673</v>
      </c>
      <c r="D684" s="340" t="s">
        <v>260</v>
      </c>
      <c r="E684" s="712">
        <v>58</v>
      </c>
      <c r="F684" s="712">
        <v>14</v>
      </c>
      <c r="G684" s="529">
        <v>929.93</v>
      </c>
      <c r="H684" s="551">
        <f t="shared" si="25"/>
        <v>755103.15999999992</v>
      </c>
      <c r="I684" s="712">
        <v>1170</v>
      </c>
      <c r="J684" s="712">
        <f t="shared" si="26"/>
        <v>812</v>
      </c>
      <c r="K684" s="685" t="str">
        <f>UPPER((TEXT(Tabla5[[#This Row],[FECHA]],"MMM")))</f>
        <v>DIC</v>
      </c>
      <c r="L684" s="780">
        <f>YEAR(Tabla5[[#This Row],[FECHA]])</f>
        <v>2024</v>
      </c>
      <c r="M684" s="749">
        <v>344</v>
      </c>
      <c r="N684" s="441" t="s">
        <v>677</v>
      </c>
      <c r="O684" s="441" t="s">
        <v>713</v>
      </c>
      <c r="P684" s="441" t="s">
        <v>110</v>
      </c>
    </row>
    <row r="685" spans="1:16" ht="13.8">
      <c r="A685" s="531">
        <v>45640</v>
      </c>
      <c r="B685" s="340" t="s">
        <v>256</v>
      </c>
      <c r="C685" s="340" t="s">
        <v>257</v>
      </c>
      <c r="D685" s="340" t="s">
        <v>440</v>
      </c>
      <c r="E685" s="712">
        <v>96</v>
      </c>
      <c r="F685" s="712">
        <v>18</v>
      </c>
      <c r="G685" s="529">
        <v>929.93</v>
      </c>
      <c r="H685" s="551">
        <f t="shared" si="25"/>
        <v>1606919.0399999998</v>
      </c>
      <c r="I685" s="712">
        <v>1558</v>
      </c>
      <c r="J685" s="712">
        <f t="shared" si="26"/>
        <v>1728</v>
      </c>
      <c r="K685" s="685" t="str">
        <f>UPPER((TEXT(Tabla5[[#This Row],[FECHA]],"MMM")))</f>
        <v>DIC</v>
      </c>
      <c r="L685" s="780">
        <f>YEAR(Tabla5[[#This Row],[FECHA]])</f>
        <v>2024</v>
      </c>
      <c r="M685" s="749">
        <v>344</v>
      </c>
      <c r="N685" s="441" t="s">
        <v>678</v>
      </c>
      <c r="O685" s="441" t="s">
        <v>713</v>
      </c>
      <c r="P685" s="441" t="s">
        <v>110</v>
      </c>
    </row>
    <row r="686" spans="1:16" ht="13.8">
      <c r="A686" s="531">
        <v>45640</v>
      </c>
      <c r="B686" s="340" t="s">
        <v>263</v>
      </c>
      <c r="C686" s="340" t="s">
        <v>285</v>
      </c>
      <c r="D686" s="340" t="s">
        <v>672</v>
      </c>
      <c r="E686" s="712">
        <v>62</v>
      </c>
      <c r="F686" s="712">
        <v>10</v>
      </c>
      <c r="G686" s="529">
        <v>929.93</v>
      </c>
      <c r="H686" s="551">
        <f t="shared" si="25"/>
        <v>576556.6</v>
      </c>
      <c r="I686" s="712">
        <v>1110</v>
      </c>
      <c r="J686" s="712">
        <f t="shared" si="26"/>
        <v>620</v>
      </c>
      <c r="K686" s="685" t="str">
        <f>UPPER((TEXT(Tabla5[[#This Row],[FECHA]],"MMM")))</f>
        <v>DIC</v>
      </c>
      <c r="L686" s="780">
        <f>YEAR(Tabla5[[#This Row],[FECHA]])</f>
        <v>2024</v>
      </c>
      <c r="M686" s="749">
        <v>344</v>
      </c>
      <c r="N686" s="441" t="s">
        <v>675</v>
      </c>
      <c r="O686" s="441" t="s">
        <v>713</v>
      </c>
      <c r="P686" s="441" t="s">
        <v>110</v>
      </c>
    </row>
    <row r="687" spans="1:16" ht="13.8">
      <c r="A687" s="531">
        <v>45640</v>
      </c>
      <c r="B687" s="340" t="s">
        <v>406</v>
      </c>
      <c r="C687" s="340" t="s">
        <v>673</v>
      </c>
      <c r="D687" s="340" t="s">
        <v>260</v>
      </c>
      <c r="E687" s="712">
        <v>58</v>
      </c>
      <c r="F687" s="712">
        <v>14</v>
      </c>
      <c r="G687" s="529">
        <v>929.93</v>
      </c>
      <c r="H687" s="551">
        <f t="shared" si="25"/>
        <v>755103.15999999992</v>
      </c>
      <c r="I687" s="712">
        <v>1228</v>
      </c>
      <c r="J687" s="712">
        <f t="shared" si="26"/>
        <v>812</v>
      </c>
      <c r="K687" s="685" t="str">
        <f>UPPER((TEXT(Tabla5[[#This Row],[FECHA]],"MMM")))</f>
        <v>DIC</v>
      </c>
      <c r="L687" s="780">
        <f>YEAR(Tabla5[[#This Row],[FECHA]])</f>
        <v>2024</v>
      </c>
      <c r="M687" s="749">
        <v>344</v>
      </c>
      <c r="N687" s="441" t="s">
        <v>677</v>
      </c>
      <c r="O687" s="441" t="s">
        <v>713</v>
      </c>
      <c r="P687" s="441" t="s">
        <v>110</v>
      </c>
    </row>
    <row r="688" spans="1:16" ht="13.8">
      <c r="A688" s="531">
        <v>45641</v>
      </c>
      <c r="B688" s="340" t="s">
        <v>256</v>
      </c>
      <c r="C688" s="340" t="s">
        <v>257</v>
      </c>
      <c r="D688" s="340" t="s">
        <v>440</v>
      </c>
      <c r="E688" s="712">
        <v>96</v>
      </c>
      <c r="F688" s="712">
        <v>18</v>
      </c>
      <c r="G688" s="529">
        <v>929.93</v>
      </c>
      <c r="H688" s="551">
        <f t="shared" si="25"/>
        <v>1606919.0399999998</v>
      </c>
      <c r="I688" s="712">
        <v>1582</v>
      </c>
      <c r="J688" s="712">
        <f t="shared" si="26"/>
        <v>1728</v>
      </c>
      <c r="K688" s="685" t="str">
        <f>UPPER((TEXT(Tabla5[[#This Row],[FECHA]],"MMM")))</f>
        <v>DIC</v>
      </c>
      <c r="L688" s="780">
        <f>YEAR(Tabla5[[#This Row],[FECHA]])</f>
        <v>2024</v>
      </c>
      <c r="M688" s="749">
        <v>344</v>
      </c>
      <c r="N688" s="441" t="s">
        <v>678</v>
      </c>
      <c r="O688" s="441" t="s">
        <v>713</v>
      </c>
      <c r="P688" s="441" t="s">
        <v>110</v>
      </c>
    </row>
    <row r="689" spans="1:16" ht="13.8">
      <c r="A689" s="531">
        <v>45641</v>
      </c>
      <c r="B689" s="340" t="s">
        <v>263</v>
      </c>
      <c r="C689" s="340" t="s">
        <v>285</v>
      </c>
      <c r="D689" s="340" t="s">
        <v>672</v>
      </c>
      <c r="E689" s="712">
        <v>62</v>
      </c>
      <c r="F689" s="712">
        <v>10</v>
      </c>
      <c r="G689" s="529">
        <v>929.93</v>
      </c>
      <c r="H689" s="551">
        <f t="shared" si="25"/>
        <v>576556.6</v>
      </c>
      <c r="I689" s="712">
        <v>1135</v>
      </c>
      <c r="J689" s="712">
        <f t="shared" si="26"/>
        <v>620</v>
      </c>
      <c r="K689" s="685" t="str">
        <f>UPPER((TEXT(Tabla5[[#This Row],[FECHA]],"MMM")))</f>
        <v>DIC</v>
      </c>
      <c r="L689" s="780">
        <f>YEAR(Tabla5[[#This Row],[FECHA]])</f>
        <v>2024</v>
      </c>
      <c r="M689" s="749">
        <v>344</v>
      </c>
      <c r="N689" s="441" t="s">
        <v>675</v>
      </c>
      <c r="O689" s="441" t="s">
        <v>713</v>
      </c>
      <c r="P689" s="441" t="s">
        <v>110</v>
      </c>
    </row>
    <row r="690" spans="1:16" ht="13.8">
      <c r="A690" s="531">
        <v>45641</v>
      </c>
      <c r="B690" s="340" t="s">
        <v>406</v>
      </c>
      <c r="C690" s="340" t="s">
        <v>673</v>
      </c>
      <c r="D690" s="340" t="s">
        <v>260</v>
      </c>
      <c r="E690" s="712">
        <v>58</v>
      </c>
      <c r="F690" s="712">
        <v>14</v>
      </c>
      <c r="G690" s="529">
        <v>929.93</v>
      </c>
      <c r="H690" s="551">
        <f t="shared" si="25"/>
        <v>755103.15999999992</v>
      </c>
      <c r="I690" s="712">
        <v>1212</v>
      </c>
      <c r="J690" s="712">
        <f t="shared" si="26"/>
        <v>812</v>
      </c>
      <c r="K690" s="685" t="str">
        <f>UPPER((TEXT(Tabla5[[#This Row],[FECHA]],"MMM")))</f>
        <v>DIC</v>
      </c>
      <c r="L690" s="780">
        <f>YEAR(Tabla5[[#This Row],[FECHA]])</f>
        <v>2024</v>
      </c>
      <c r="M690" s="749">
        <v>344</v>
      </c>
      <c r="N690" s="441" t="s">
        <v>677</v>
      </c>
      <c r="O690" s="441" t="s">
        <v>713</v>
      </c>
      <c r="P690" s="441" t="s">
        <v>110</v>
      </c>
    </row>
    <row r="691" spans="1:16" ht="13.8">
      <c r="A691" s="531">
        <v>45642</v>
      </c>
      <c r="B691" s="340" t="s">
        <v>277</v>
      </c>
      <c r="C691" s="340" t="s">
        <v>285</v>
      </c>
      <c r="D691" s="340" t="s">
        <v>672</v>
      </c>
      <c r="E691" s="712">
        <v>62</v>
      </c>
      <c r="F691" s="712">
        <v>10</v>
      </c>
      <c r="G691" s="529">
        <v>929.93</v>
      </c>
      <c r="H691" s="551">
        <f t="shared" si="25"/>
        <v>576556.6</v>
      </c>
      <c r="I691" s="712">
        <v>623</v>
      </c>
      <c r="J691" s="712">
        <f t="shared" si="26"/>
        <v>620</v>
      </c>
      <c r="K691" s="685" t="str">
        <f>UPPER((TEXT(Tabla5[[#This Row],[FECHA]],"MMM")))</f>
        <v>DIC</v>
      </c>
      <c r="L691" s="780">
        <f>YEAR(Tabla5[[#This Row],[FECHA]])</f>
        <v>2024</v>
      </c>
      <c r="M691" s="749">
        <v>344</v>
      </c>
      <c r="N691" s="441" t="s">
        <v>675</v>
      </c>
      <c r="O691" s="441" t="s">
        <v>713</v>
      </c>
      <c r="P691" s="441" t="s">
        <v>110</v>
      </c>
    </row>
    <row r="692" spans="1:16" ht="13.8">
      <c r="A692" s="531">
        <v>45642</v>
      </c>
      <c r="B692" s="340" t="s">
        <v>287</v>
      </c>
      <c r="C692" s="340" t="s">
        <v>554</v>
      </c>
      <c r="D692" s="340" t="s">
        <v>260</v>
      </c>
      <c r="E692" s="712">
        <v>58</v>
      </c>
      <c r="F692" s="712">
        <v>14</v>
      </c>
      <c r="G692" s="529">
        <v>929.93</v>
      </c>
      <c r="H692" s="551">
        <f t="shared" si="25"/>
        <v>755103.15999999992</v>
      </c>
      <c r="I692" s="712">
        <v>1238</v>
      </c>
      <c r="J692" s="712">
        <f t="shared" si="26"/>
        <v>812</v>
      </c>
      <c r="K692" s="685" t="str">
        <f>UPPER((TEXT(Tabla5[[#This Row],[FECHA]],"MMM")))</f>
        <v>DIC</v>
      </c>
      <c r="L692" s="780">
        <f>YEAR(Tabla5[[#This Row],[FECHA]])</f>
        <v>2024</v>
      </c>
      <c r="M692" s="749">
        <v>344</v>
      </c>
      <c r="N692" s="441" t="s">
        <v>677</v>
      </c>
      <c r="O692" s="441" t="s">
        <v>713</v>
      </c>
      <c r="P692" s="441" t="s">
        <v>110</v>
      </c>
    </row>
    <row r="693" spans="1:16" ht="13.8">
      <c r="A693" s="531">
        <v>45643</v>
      </c>
      <c r="B693" s="340" t="s">
        <v>277</v>
      </c>
      <c r="C693" s="340" t="s">
        <v>285</v>
      </c>
      <c r="D693" s="340" t="s">
        <v>672</v>
      </c>
      <c r="E693" s="712">
        <v>62</v>
      </c>
      <c r="F693" s="712">
        <v>10</v>
      </c>
      <c r="G693" s="529">
        <v>929.93</v>
      </c>
      <c r="H693" s="551">
        <f t="shared" si="25"/>
        <v>576556.6</v>
      </c>
      <c r="I693" s="712">
        <v>631</v>
      </c>
      <c r="J693" s="712">
        <f t="shared" si="26"/>
        <v>620</v>
      </c>
      <c r="K693" s="685" t="str">
        <f>UPPER((TEXT(Tabla5[[#This Row],[FECHA]],"MMM")))</f>
        <v>DIC</v>
      </c>
      <c r="L693" s="780">
        <f>YEAR(Tabla5[[#This Row],[FECHA]])</f>
        <v>2024</v>
      </c>
      <c r="M693" s="749">
        <v>344</v>
      </c>
      <c r="N693" s="441" t="s">
        <v>675</v>
      </c>
      <c r="O693" s="441" t="s">
        <v>713</v>
      </c>
      <c r="P693" s="441" t="s">
        <v>110</v>
      </c>
    </row>
    <row r="694" spans="1:16" ht="13.8">
      <c r="A694" s="531">
        <v>45643</v>
      </c>
      <c r="B694" s="340" t="s">
        <v>271</v>
      </c>
      <c r="C694" s="340" t="s">
        <v>673</v>
      </c>
      <c r="D694" s="340" t="s">
        <v>260</v>
      </c>
      <c r="E694" s="712">
        <v>58</v>
      </c>
      <c r="F694" s="712">
        <v>14</v>
      </c>
      <c r="G694" s="529">
        <v>929.93</v>
      </c>
      <c r="H694" s="551">
        <f t="shared" si="25"/>
        <v>755103.15999999992</v>
      </c>
      <c r="I694" s="712">
        <v>1190</v>
      </c>
      <c r="J694" s="712">
        <f t="shared" si="26"/>
        <v>812</v>
      </c>
      <c r="K694" s="685" t="str">
        <f>UPPER((TEXT(Tabla5[[#This Row],[FECHA]],"MMM")))</f>
        <v>DIC</v>
      </c>
      <c r="L694" s="780">
        <f>YEAR(Tabla5[[#This Row],[FECHA]])</f>
        <v>2024</v>
      </c>
      <c r="M694" s="749">
        <v>344</v>
      </c>
      <c r="N694" s="441" t="s">
        <v>677</v>
      </c>
      <c r="O694" s="441" t="s">
        <v>713</v>
      </c>
      <c r="P694" s="441" t="s">
        <v>110</v>
      </c>
    </row>
    <row r="695" spans="1:16" ht="13.8">
      <c r="A695" s="531">
        <v>45644</v>
      </c>
      <c r="B695" s="340" t="s">
        <v>277</v>
      </c>
      <c r="C695" s="340" t="s">
        <v>285</v>
      </c>
      <c r="D695" s="340" t="s">
        <v>672</v>
      </c>
      <c r="E695" s="712">
        <v>62</v>
      </c>
      <c r="F695" s="712">
        <v>10</v>
      </c>
      <c r="G695" s="529">
        <v>929.93</v>
      </c>
      <c r="H695" s="551">
        <f t="shared" si="25"/>
        <v>576556.6</v>
      </c>
      <c r="I695" s="712">
        <v>718</v>
      </c>
      <c r="J695" s="712">
        <f t="shared" si="26"/>
        <v>620</v>
      </c>
      <c r="K695" s="685" t="str">
        <f>UPPER((TEXT(Tabla5[[#This Row],[FECHA]],"MMM")))</f>
        <v>DIC</v>
      </c>
      <c r="L695" s="780">
        <f>YEAR(Tabla5[[#This Row],[FECHA]])</f>
        <v>2024</v>
      </c>
      <c r="M695" s="749">
        <v>344</v>
      </c>
      <c r="N695" s="441" t="s">
        <v>675</v>
      </c>
      <c r="O695" s="441" t="s">
        <v>713</v>
      </c>
      <c r="P695" s="441" t="s">
        <v>110</v>
      </c>
    </row>
    <row r="696" spans="1:16" ht="13.8">
      <c r="A696" s="531">
        <v>45644</v>
      </c>
      <c r="B696" s="340" t="s">
        <v>271</v>
      </c>
      <c r="C696" s="340" t="s">
        <v>673</v>
      </c>
      <c r="D696" s="340" t="s">
        <v>260</v>
      </c>
      <c r="E696" s="712">
        <v>58</v>
      </c>
      <c r="F696" s="712">
        <v>14</v>
      </c>
      <c r="G696" s="529">
        <v>929.93</v>
      </c>
      <c r="H696" s="551">
        <f t="shared" si="25"/>
        <v>755103.15999999992</v>
      </c>
      <c r="I696" s="712">
        <v>1208</v>
      </c>
      <c r="J696" s="712">
        <f t="shared" si="26"/>
        <v>812</v>
      </c>
      <c r="K696" s="685" t="str">
        <f>UPPER((TEXT(Tabla5[[#This Row],[FECHA]],"MMM")))</f>
        <v>DIC</v>
      </c>
      <c r="L696" s="780">
        <f>YEAR(Tabla5[[#This Row],[FECHA]])</f>
        <v>2024</v>
      </c>
      <c r="M696" s="749">
        <v>344</v>
      </c>
      <c r="N696" s="441" t="s">
        <v>677</v>
      </c>
      <c r="O696" s="441" t="s">
        <v>713</v>
      </c>
      <c r="P696" s="441" t="s">
        <v>110</v>
      </c>
    </row>
    <row r="697" spans="1:16" ht="13.8">
      <c r="A697" s="531">
        <v>45645</v>
      </c>
      <c r="B697" s="340" t="s">
        <v>277</v>
      </c>
      <c r="C697" s="340" t="s">
        <v>285</v>
      </c>
      <c r="D697" s="340" t="s">
        <v>672</v>
      </c>
      <c r="E697" s="712">
        <v>62</v>
      </c>
      <c r="F697" s="712">
        <v>10</v>
      </c>
      <c r="G697" s="529">
        <v>929.93</v>
      </c>
      <c r="H697" s="551">
        <f t="shared" si="25"/>
        <v>576556.6</v>
      </c>
      <c r="I697" s="712">
        <v>569</v>
      </c>
      <c r="J697" s="712">
        <f t="shared" si="26"/>
        <v>620</v>
      </c>
      <c r="K697" s="685" t="str">
        <f>UPPER((TEXT(Tabla5[[#This Row],[FECHA]],"MMM")))</f>
        <v>DIC</v>
      </c>
      <c r="L697" s="780">
        <f>YEAR(Tabla5[[#This Row],[FECHA]])</f>
        <v>2024</v>
      </c>
      <c r="M697" s="749">
        <v>344</v>
      </c>
      <c r="N697" s="441" t="s">
        <v>675</v>
      </c>
      <c r="O697" s="441" t="s">
        <v>713</v>
      </c>
      <c r="P697" s="441" t="s">
        <v>110</v>
      </c>
    </row>
    <row r="698" spans="1:16" ht="13.8">
      <c r="A698" s="531">
        <v>45645</v>
      </c>
      <c r="B698" s="340" t="s">
        <v>271</v>
      </c>
      <c r="C698" s="340" t="s">
        <v>673</v>
      </c>
      <c r="D698" s="340" t="s">
        <v>260</v>
      </c>
      <c r="E698" s="712">
        <v>58</v>
      </c>
      <c r="F698" s="712">
        <v>14</v>
      </c>
      <c r="G698" s="529">
        <v>929.93</v>
      </c>
      <c r="H698" s="551">
        <f t="shared" si="25"/>
        <v>755103.15999999992</v>
      </c>
      <c r="I698" s="712">
        <v>1122</v>
      </c>
      <c r="J698" s="712">
        <f t="shared" si="26"/>
        <v>812</v>
      </c>
      <c r="K698" s="685" t="str">
        <f>UPPER((TEXT(Tabla5[[#This Row],[FECHA]],"MMM")))</f>
        <v>DIC</v>
      </c>
      <c r="L698" s="780">
        <f>YEAR(Tabla5[[#This Row],[FECHA]])</f>
        <v>2024</v>
      </c>
      <c r="M698" s="749">
        <v>344</v>
      </c>
      <c r="N698" s="441" t="s">
        <v>677</v>
      </c>
      <c r="O698" s="441" t="s">
        <v>713</v>
      </c>
      <c r="P698" s="441" t="s">
        <v>110</v>
      </c>
    </row>
    <row r="699" spans="1:16" ht="13.8">
      <c r="A699" s="531">
        <v>45646</v>
      </c>
      <c r="B699" s="340" t="s">
        <v>277</v>
      </c>
      <c r="C699" s="340" t="s">
        <v>285</v>
      </c>
      <c r="D699" s="340" t="s">
        <v>672</v>
      </c>
      <c r="E699" s="712">
        <v>62</v>
      </c>
      <c r="F699" s="712">
        <v>10</v>
      </c>
      <c r="G699" s="529">
        <v>929.93</v>
      </c>
      <c r="H699" s="551">
        <f t="shared" si="25"/>
        <v>576556.6</v>
      </c>
      <c r="I699" s="712">
        <v>846</v>
      </c>
      <c r="J699" s="712">
        <f t="shared" si="26"/>
        <v>620</v>
      </c>
      <c r="K699" s="685" t="str">
        <f>UPPER((TEXT(Tabla5[[#This Row],[FECHA]],"MMM")))</f>
        <v>DIC</v>
      </c>
      <c r="L699" s="780">
        <f>YEAR(Tabla5[[#This Row],[FECHA]])</f>
        <v>2024</v>
      </c>
      <c r="M699" s="749">
        <v>344</v>
      </c>
      <c r="N699" s="441" t="s">
        <v>675</v>
      </c>
      <c r="O699" s="441" t="s">
        <v>713</v>
      </c>
      <c r="P699" s="441" t="s">
        <v>110</v>
      </c>
    </row>
    <row r="700" spans="1:16" ht="13.8">
      <c r="A700" s="531">
        <v>45646</v>
      </c>
      <c r="B700" s="340" t="s">
        <v>271</v>
      </c>
      <c r="C700" s="340" t="s">
        <v>673</v>
      </c>
      <c r="D700" s="340" t="s">
        <v>260</v>
      </c>
      <c r="E700" s="712">
        <v>58</v>
      </c>
      <c r="F700" s="712">
        <v>14</v>
      </c>
      <c r="G700" s="529">
        <v>929.93</v>
      </c>
      <c r="H700" s="551">
        <f t="shared" si="25"/>
        <v>755103.15999999992</v>
      </c>
      <c r="I700" s="712">
        <v>1210</v>
      </c>
      <c r="J700" s="712">
        <f t="shared" si="26"/>
        <v>812</v>
      </c>
      <c r="K700" s="685" t="str">
        <f>UPPER((TEXT(Tabla5[[#This Row],[FECHA]],"MMM")))</f>
        <v>DIC</v>
      </c>
      <c r="L700" s="780">
        <f>YEAR(Tabla5[[#This Row],[FECHA]])</f>
        <v>2024</v>
      </c>
      <c r="M700" s="749">
        <v>344</v>
      </c>
      <c r="N700" s="441" t="s">
        <v>677</v>
      </c>
      <c r="O700" s="441" t="s">
        <v>713</v>
      </c>
      <c r="P700" s="441" t="s">
        <v>110</v>
      </c>
    </row>
    <row r="701" spans="1:16" ht="13.8">
      <c r="A701" s="531">
        <v>45647</v>
      </c>
      <c r="B701" s="340" t="s">
        <v>289</v>
      </c>
      <c r="C701" s="340" t="s">
        <v>290</v>
      </c>
      <c r="D701" s="340" t="s">
        <v>440</v>
      </c>
      <c r="E701" s="712">
        <v>96</v>
      </c>
      <c r="F701" s="712">
        <v>18</v>
      </c>
      <c r="G701" s="529">
        <v>929.93</v>
      </c>
      <c r="H701" s="551">
        <f t="shared" si="25"/>
        <v>1606919.0399999998</v>
      </c>
      <c r="I701" s="712">
        <v>1510</v>
      </c>
      <c r="J701" s="712">
        <f t="shared" si="26"/>
        <v>1728</v>
      </c>
      <c r="K701" s="685" t="str">
        <f>UPPER((TEXT(Tabla5[[#This Row],[FECHA]],"MMM")))</f>
        <v>DIC</v>
      </c>
      <c r="L701" s="780">
        <f>YEAR(Tabla5[[#This Row],[FECHA]])</f>
        <v>2024</v>
      </c>
      <c r="M701" s="749">
        <v>344</v>
      </c>
      <c r="N701" s="441" t="s">
        <v>678</v>
      </c>
      <c r="O701" s="441" t="s">
        <v>713</v>
      </c>
      <c r="P701" s="441" t="s">
        <v>110</v>
      </c>
    </row>
    <row r="702" spans="1:16" ht="13.8">
      <c r="A702" s="531">
        <v>45647</v>
      </c>
      <c r="B702" s="340" t="s">
        <v>263</v>
      </c>
      <c r="C702" s="340" t="s">
        <v>285</v>
      </c>
      <c r="D702" s="340" t="s">
        <v>672</v>
      </c>
      <c r="E702" s="712">
        <v>62</v>
      </c>
      <c r="F702" s="712">
        <v>10</v>
      </c>
      <c r="G702" s="529">
        <v>929.93</v>
      </c>
      <c r="H702" s="551">
        <f t="shared" si="25"/>
        <v>576556.6</v>
      </c>
      <c r="I702" s="712">
        <v>1239</v>
      </c>
      <c r="J702" s="712">
        <f t="shared" si="26"/>
        <v>620</v>
      </c>
      <c r="K702" s="685" t="str">
        <f>UPPER((TEXT(Tabla5[[#This Row],[FECHA]],"MMM")))</f>
        <v>DIC</v>
      </c>
      <c r="L702" s="780">
        <f>YEAR(Tabla5[[#This Row],[FECHA]])</f>
        <v>2024</v>
      </c>
      <c r="M702" s="749">
        <v>344</v>
      </c>
      <c r="N702" s="441" t="s">
        <v>675</v>
      </c>
      <c r="O702" s="441" t="s">
        <v>713</v>
      </c>
      <c r="P702" s="441" t="s">
        <v>110</v>
      </c>
    </row>
    <row r="703" spans="1:16" ht="13.8">
      <c r="A703" s="531">
        <v>45647</v>
      </c>
      <c r="B703" s="340" t="s">
        <v>403</v>
      </c>
      <c r="C703" s="340" t="s">
        <v>554</v>
      </c>
      <c r="D703" s="340" t="s">
        <v>260</v>
      </c>
      <c r="E703" s="712">
        <v>58</v>
      </c>
      <c r="F703" s="712">
        <v>14</v>
      </c>
      <c r="G703" s="529">
        <v>929.93</v>
      </c>
      <c r="H703" s="551">
        <f t="shared" si="25"/>
        <v>755103.15999999992</v>
      </c>
      <c r="I703" s="712">
        <v>1240</v>
      </c>
      <c r="J703" s="712">
        <f t="shared" si="26"/>
        <v>812</v>
      </c>
      <c r="K703" s="685" t="str">
        <f>UPPER((TEXT(Tabla5[[#This Row],[FECHA]],"MMM")))</f>
        <v>DIC</v>
      </c>
      <c r="L703" s="780">
        <f>YEAR(Tabla5[[#This Row],[FECHA]])</f>
        <v>2024</v>
      </c>
      <c r="M703" s="749">
        <v>344</v>
      </c>
      <c r="N703" s="441" t="s">
        <v>677</v>
      </c>
      <c r="O703" s="441" t="s">
        <v>713</v>
      </c>
      <c r="P703" s="441" t="s">
        <v>110</v>
      </c>
    </row>
    <row r="704" spans="1:16" ht="13.8">
      <c r="A704" s="531">
        <v>45648</v>
      </c>
      <c r="B704" s="340" t="s">
        <v>253</v>
      </c>
      <c r="C704" s="340" t="s">
        <v>674</v>
      </c>
      <c r="D704" s="340" t="s">
        <v>440</v>
      </c>
      <c r="E704" s="712">
        <v>96</v>
      </c>
      <c r="F704" s="712">
        <v>18</v>
      </c>
      <c r="G704" s="529">
        <v>929.93</v>
      </c>
      <c r="H704" s="551">
        <f t="shared" si="25"/>
        <v>1606919.0399999998</v>
      </c>
      <c r="I704" s="712">
        <v>1584</v>
      </c>
      <c r="J704" s="712">
        <f t="shared" si="26"/>
        <v>1728</v>
      </c>
      <c r="K704" s="685" t="str">
        <f>UPPER((TEXT(Tabla5[[#This Row],[FECHA]],"MMM")))</f>
        <v>DIC</v>
      </c>
      <c r="L704" s="780">
        <f>YEAR(Tabla5[[#This Row],[FECHA]])</f>
        <v>2024</v>
      </c>
      <c r="M704" s="749">
        <v>344</v>
      </c>
      <c r="N704" s="441" t="s">
        <v>678</v>
      </c>
      <c r="O704" s="441" t="s">
        <v>713</v>
      </c>
      <c r="P704" s="441" t="s">
        <v>110</v>
      </c>
    </row>
    <row r="705" spans="1:16" ht="13.8">
      <c r="A705" s="531">
        <v>45648</v>
      </c>
      <c r="B705" s="340" t="s">
        <v>263</v>
      </c>
      <c r="C705" s="340" t="s">
        <v>285</v>
      </c>
      <c r="D705" s="340" t="s">
        <v>672</v>
      </c>
      <c r="E705" s="712">
        <v>62</v>
      </c>
      <c r="F705" s="712">
        <v>10</v>
      </c>
      <c r="G705" s="529">
        <v>929.93</v>
      </c>
      <c r="H705" s="551">
        <f t="shared" si="25"/>
        <v>576556.6</v>
      </c>
      <c r="I705" s="712">
        <v>1156</v>
      </c>
      <c r="J705" s="712">
        <f t="shared" si="26"/>
        <v>620</v>
      </c>
      <c r="K705" s="685" t="str">
        <f>UPPER((TEXT(Tabla5[[#This Row],[FECHA]],"MMM")))</f>
        <v>DIC</v>
      </c>
      <c r="L705" s="780">
        <f>YEAR(Tabla5[[#This Row],[FECHA]])</f>
        <v>2024</v>
      </c>
      <c r="M705" s="749">
        <v>344</v>
      </c>
      <c r="N705" s="441" t="s">
        <v>675</v>
      </c>
      <c r="O705" s="441" t="s">
        <v>713</v>
      </c>
      <c r="P705" s="441" t="s">
        <v>110</v>
      </c>
    </row>
    <row r="706" spans="1:16" ht="13.8">
      <c r="A706" s="531">
        <v>45648</v>
      </c>
      <c r="B706" s="340" t="s">
        <v>403</v>
      </c>
      <c r="C706" s="340" t="s">
        <v>554</v>
      </c>
      <c r="D706" s="340" t="s">
        <v>260</v>
      </c>
      <c r="E706" s="712">
        <v>58</v>
      </c>
      <c r="F706" s="712">
        <v>14</v>
      </c>
      <c r="G706" s="529">
        <v>929.93</v>
      </c>
      <c r="H706" s="551">
        <f t="shared" si="25"/>
        <v>755103.15999999992</v>
      </c>
      <c r="I706" s="712">
        <v>1206</v>
      </c>
      <c r="J706" s="712">
        <f t="shared" si="26"/>
        <v>812</v>
      </c>
      <c r="K706" s="685" t="str">
        <f>UPPER((TEXT(Tabla5[[#This Row],[FECHA]],"MMM")))</f>
        <v>DIC</v>
      </c>
      <c r="L706" s="780">
        <f>YEAR(Tabla5[[#This Row],[FECHA]])</f>
        <v>2024</v>
      </c>
      <c r="M706" s="749">
        <v>344</v>
      </c>
      <c r="N706" s="441" t="s">
        <v>677</v>
      </c>
      <c r="O706" s="441" t="s">
        <v>713</v>
      </c>
      <c r="P706" s="441" t="s">
        <v>110</v>
      </c>
    </row>
    <row r="707" spans="1:16" ht="13.8">
      <c r="A707" s="531">
        <v>45649</v>
      </c>
      <c r="B707" s="340" t="s">
        <v>277</v>
      </c>
      <c r="C707" s="340" t="s">
        <v>285</v>
      </c>
      <c r="D707" s="340" t="s">
        <v>672</v>
      </c>
      <c r="E707" s="712">
        <v>62</v>
      </c>
      <c r="F707" s="712">
        <v>10</v>
      </c>
      <c r="G707" s="529">
        <v>929.93</v>
      </c>
      <c r="H707" s="551">
        <f t="shared" si="25"/>
        <v>576556.6</v>
      </c>
      <c r="I707" s="712">
        <v>1110</v>
      </c>
      <c r="J707" s="712">
        <f t="shared" si="26"/>
        <v>620</v>
      </c>
      <c r="K707" s="685" t="str">
        <f>UPPER((TEXT(Tabla5[[#This Row],[FECHA]],"MMM")))</f>
        <v>DIC</v>
      </c>
      <c r="L707" s="780">
        <f>YEAR(Tabla5[[#This Row],[FECHA]])</f>
        <v>2024</v>
      </c>
      <c r="M707" s="749">
        <v>344</v>
      </c>
      <c r="N707" s="441" t="s">
        <v>675</v>
      </c>
      <c r="O707" s="441" t="s">
        <v>713</v>
      </c>
      <c r="P707" s="441" t="s">
        <v>110</v>
      </c>
    </row>
    <row r="708" spans="1:16" ht="13.8">
      <c r="A708" s="531">
        <v>45649</v>
      </c>
      <c r="B708" s="340" t="s">
        <v>287</v>
      </c>
      <c r="C708" s="340" t="s">
        <v>554</v>
      </c>
      <c r="D708" s="340" t="s">
        <v>260</v>
      </c>
      <c r="E708" s="712">
        <v>58</v>
      </c>
      <c r="F708" s="712">
        <v>14</v>
      </c>
      <c r="G708" s="529">
        <v>929.93</v>
      </c>
      <c r="H708" s="551">
        <f t="shared" si="25"/>
        <v>755103.15999999992</v>
      </c>
      <c r="I708" s="712">
        <v>1234</v>
      </c>
      <c r="J708" s="712">
        <f t="shared" si="26"/>
        <v>812</v>
      </c>
      <c r="K708" s="685" t="str">
        <f>UPPER((TEXT(Tabla5[[#This Row],[FECHA]],"MMM")))</f>
        <v>DIC</v>
      </c>
      <c r="L708" s="780">
        <f>YEAR(Tabla5[[#This Row],[FECHA]])</f>
        <v>2024</v>
      </c>
      <c r="M708" s="749">
        <v>344</v>
      </c>
      <c r="N708" s="441" t="s">
        <v>677</v>
      </c>
      <c r="O708" s="441" t="s">
        <v>713</v>
      </c>
      <c r="P708" s="441" t="s">
        <v>110</v>
      </c>
    </row>
    <row r="709" spans="1:16" ht="13.8">
      <c r="A709" s="531">
        <v>45651</v>
      </c>
      <c r="B709" s="340" t="s">
        <v>277</v>
      </c>
      <c r="C709" s="340" t="s">
        <v>285</v>
      </c>
      <c r="D709" s="340" t="s">
        <v>672</v>
      </c>
      <c r="E709" s="712">
        <v>62</v>
      </c>
      <c r="F709" s="712">
        <v>10</v>
      </c>
      <c r="G709" s="529">
        <v>929.93</v>
      </c>
      <c r="H709" s="551">
        <f t="shared" si="25"/>
        <v>576556.6</v>
      </c>
      <c r="I709" s="712">
        <v>946</v>
      </c>
      <c r="J709" s="712">
        <f t="shared" si="26"/>
        <v>620</v>
      </c>
      <c r="K709" s="685" t="str">
        <f>UPPER((TEXT(Tabla5[[#This Row],[FECHA]],"MMM")))</f>
        <v>DIC</v>
      </c>
      <c r="L709" s="780">
        <f>YEAR(Tabla5[[#This Row],[FECHA]])</f>
        <v>2024</v>
      </c>
      <c r="M709" s="749">
        <v>344</v>
      </c>
      <c r="N709" s="441" t="s">
        <v>675</v>
      </c>
      <c r="O709" s="441" t="s">
        <v>713</v>
      </c>
      <c r="P709" s="441" t="s">
        <v>110</v>
      </c>
    </row>
    <row r="710" spans="1:16" ht="13.8">
      <c r="A710" s="531">
        <v>45651</v>
      </c>
      <c r="B710" s="340" t="s">
        <v>287</v>
      </c>
      <c r="C710" s="340" t="s">
        <v>554</v>
      </c>
      <c r="D710" s="340" t="s">
        <v>260</v>
      </c>
      <c r="E710" s="712">
        <v>58</v>
      </c>
      <c r="F710" s="712">
        <v>14</v>
      </c>
      <c r="G710" s="529">
        <v>929.93</v>
      </c>
      <c r="H710" s="551">
        <f t="shared" si="25"/>
        <v>755103.15999999992</v>
      </c>
      <c r="I710" s="712">
        <v>1180</v>
      </c>
      <c r="J710" s="712">
        <f t="shared" si="26"/>
        <v>812</v>
      </c>
      <c r="K710" s="685" t="str">
        <f>UPPER((TEXT(Tabla5[[#This Row],[FECHA]],"MMM")))</f>
        <v>DIC</v>
      </c>
      <c r="L710" s="780">
        <f>YEAR(Tabla5[[#This Row],[FECHA]])</f>
        <v>2024</v>
      </c>
      <c r="M710" s="749">
        <v>344</v>
      </c>
      <c r="N710" s="441" t="s">
        <v>677</v>
      </c>
      <c r="O710" s="441" t="s">
        <v>713</v>
      </c>
      <c r="P710" s="441" t="s">
        <v>110</v>
      </c>
    </row>
    <row r="711" spans="1:16" ht="13.8">
      <c r="A711" s="531">
        <v>45652</v>
      </c>
      <c r="B711" s="340" t="s">
        <v>277</v>
      </c>
      <c r="C711" s="340" t="s">
        <v>285</v>
      </c>
      <c r="D711" s="340" t="s">
        <v>672</v>
      </c>
      <c r="E711" s="712">
        <v>62</v>
      </c>
      <c r="F711" s="712">
        <v>10</v>
      </c>
      <c r="G711" s="529">
        <v>929.93</v>
      </c>
      <c r="H711" s="551">
        <f t="shared" si="25"/>
        <v>576556.6</v>
      </c>
      <c r="I711" s="712">
        <v>1218</v>
      </c>
      <c r="J711" s="712">
        <f t="shared" si="26"/>
        <v>620</v>
      </c>
      <c r="K711" s="685" t="str">
        <f>UPPER((TEXT(Tabla5[[#This Row],[FECHA]],"MMM")))</f>
        <v>DIC</v>
      </c>
      <c r="L711" s="780">
        <f>YEAR(Tabla5[[#This Row],[FECHA]])</f>
        <v>2024</v>
      </c>
      <c r="M711" s="749">
        <v>344</v>
      </c>
      <c r="N711" s="441" t="s">
        <v>675</v>
      </c>
      <c r="O711" s="441" t="s">
        <v>713</v>
      </c>
      <c r="P711" s="441" t="s">
        <v>110</v>
      </c>
    </row>
    <row r="712" spans="1:16" ht="13.8">
      <c r="A712" s="531">
        <v>45652</v>
      </c>
      <c r="B712" s="340" t="s">
        <v>287</v>
      </c>
      <c r="C712" s="340" t="s">
        <v>554</v>
      </c>
      <c r="D712" s="340" t="s">
        <v>260</v>
      </c>
      <c r="E712" s="712">
        <v>58</v>
      </c>
      <c r="F712" s="712">
        <v>14</v>
      </c>
      <c r="G712" s="529">
        <v>929.93</v>
      </c>
      <c r="H712" s="551">
        <f t="shared" si="25"/>
        <v>755103.15999999992</v>
      </c>
      <c r="I712" s="712">
        <v>1218</v>
      </c>
      <c r="J712" s="712">
        <f t="shared" si="26"/>
        <v>812</v>
      </c>
      <c r="K712" s="685" t="str">
        <f>UPPER((TEXT(Tabla5[[#This Row],[FECHA]],"MMM")))</f>
        <v>DIC</v>
      </c>
      <c r="L712" s="780">
        <f>YEAR(Tabla5[[#This Row],[FECHA]])</f>
        <v>2024</v>
      </c>
      <c r="M712" s="749">
        <v>344</v>
      </c>
      <c r="N712" s="441" t="s">
        <v>677</v>
      </c>
      <c r="O712" s="441" t="s">
        <v>713</v>
      </c>
      <c r="P712" s="441" t="s">
        <v>110</v>
      </c>
    </row>
    <row r="713" spans="1:16" ht="13.8">
      <c r="A713" s="531">
        <v>45653</v>
      </c>
      <c r="B713" s="340" t="s">
        <v>277</v>
      </c>
      <c r="C713" s="340" t="s">
        <v>285</v>
      </c>
      <c r="D713" s="340" t="s">
        <v>672</v>
      </c>
      <c r="E713" s="712">
        <v>62</v>
      </c>
      <c r="F713" s="712">
        <v>10</v>
      </c>
      <c r="G713" s="529">
        <v>929.93</v>
      </c>
      <c r="H713" s="551">
        <f t="shared" si="25"/>
        <v>576556.6</v>
      </c>
      <c r="I713" s="712">
        <v>1224</v>
      </c>
      <c r="J713" s="712">
        <f t="shared" si="26"/>
        <v>620</v>
      </c>
      <c r="K713" s="685" t="str">
        <f>UPPER((TEXT(Tabla5[[#This Row],[FECHA]],"MMM")))</f>
        <v>DIC</v>
      </c>
      <c r="L713" s="780">
        <f>YEAR(Tabla5[[#This Row],[FECHA]])</f>
        <v>2024</v>
      </c>
      <c r="M713" s="749">
        <v>344</v>
      </c>
      <c r="N713" s="441" t="s">
        <v>675</v>
      </c>
      <c r="O713" s="441" t="s">
        <v>713</v>
      </c>
      <c r="P713" s="441" t="s">
        <v>110</v>
      </c>
    </row>
    <row r="714" spans="1:16" ht="13.8">
      <c r="A714" s="531">
        <v>45653</v>
      </c>
      <c r="B714" s="340" t="s">
        <v>287</v>
      </c>
      <c r="C714" s="340" t="s">
        <v>554</v>
      </c>
      <c r="D714" s="340" t="s">
        <v>260</v>
      </c>
      <c r="E714" s="712">
        <v>58</v>
      </c>
      <c r="F714" s="712">
        <v>14</v>
      </c>
      <c r="G714" s="529">
        <v>929.93</v>
      </c>
      <c r="H714" s="551">
        <f t="shared" si="25"/>
        <v>755103.15999999992</v>
      </c>
      <c r="I714" s="712">
        <v>1228</v>
      </c>
      <c r="J714" s="712">
        <f t="shared" si="26"/>
        <v>812</v>
      </c>
      <c r="K714" s="685" t="str">
        <f>UPPER((TEXT(Tabla5[[#This Row],[FECHA]],"MMM")))</f>
        <v>DIC</v>
      </c>
      <c r="L714" s="780">
        <f>YEAR(Tabla5[[#This Row],[FECHA]])</f>
        <v>2024</v>
      </c>
      <c r="M714" s="749">
        <v>344</v>
      </c>
      <c r="N714" s="441" t="s">
        <v>677</v>
      </c>
      <c r="O714" s="441" t="s">
        <v>713</v>
      </c>
      <c r="P714" s="441" t="s">
        <v>110</v>
      </c>
    </row>
    <row r="715" spans="1:16" ht="13.8">
      <c r="A715" s="531">
        <v>45654</v>
      </c>
      <c r="B715" s="340" t="s">
        <v>256</v>
      </c>
      <c r="C715" s="340" t="s">
        <v>257</v>
      </c>
      <c r="D715" s="340" t="s">
        <v>440</v>
      </c>
      <c r="E715" s="712">
        <v>96</v>
      </c>
      <c r="F715" s="712">
        <v>18</v>
      </c>
      <c r="G715" s="529">
        <v>929.93</v>
      </c>
      <c r="H715" s="551">
        <f t="shared" ref="H715:H778" si="27">E715*F715*G715</f>
        <v>1606919.0399999998</v>
      </c>
      <c r="I715" s="712">
        <v>1494</v>
      </c>
      <c r="J715" s="712">
        <f t="shared" si="26"/>
        <v>1728</v>
      </c>
      <c r="K715" s="685" t="str">
        <f>UPPER((TEXT(Tabla5[[#This Row],[FECHA]],"MMM")))</f>
        <v>DIC</v>
      </c>
      <c r="L715" s="780">
        <f>YEAR(Tabla5[[#This Row],[FECHA]])</f>
        <v>2024</v>
      </c>
      <c r="M715" s="749">
        <v>344</v>
      </c>
      <c r="N715" s="441" t="s">
        <v>678</v>
      </c>
      <c r="O715" s="441" t="s">
        <v>713</v>
      </c>
      <c r="P715" s="441" t="s">
        <v>110</v>
      </c>
    </row>
    <row r="716" spans="1:16" ht="13.8">
      <c r="A716" s="531">
        <v>45654</v>
      </c>
      <c r="B716" s="340" t="s">
        <v>263</v>
      </c>
      <c r="C716" s="340" t="s">
        <v>285</v>
      </c>
      <c r="D716" s="340" t="s">
        <v>672</v>
      </c>
      <c r="E716" s="712">
        <v>62</v>
      </c>
      <c r="F716" s="712">
        <v>10</v>
      </c>
      <c r="G716" s="529">
        <v>929.93</v>
      </c>
      <c r="H716" s="551">
        <f t="shared" si="27"/>
        <v>576556.6</v>
      </c>
      <c r="I716" s="712">
        <v>1268</v>
      </c>
      <c r="J716" s="712">
        <f t="shared" si="26"/>
        <v>620</v>
      </c>
      <c r="K716" s="685" t="str">
        <f>UPPER((TEXT(Tabla5[[#This Row],[FECHA]],"MMM")))</f>
        <v>DIC</v>
      </c>
      <c r="L716" s="780">
        <f>YEAR(Tabla5[[#This Row],[FECHA]])</f>
        <v>2024</v>
      </c>
      <c r="M716" s="749">
        <v>344</v>
      </c>
      <c r="N716" s="441" t="s">
        <v>675</v>
      </c>
      <c r="O716" s="441" t="s">
        <v>713</v>
      </c>
      <c r="P716" s="441" t="s">
        <v>110</v>
      </c>
    </row>
    <row r="717" spans="1:16" ht="13.8">
      <c r="A717" s="531">
        <v>45654</v>
      </c>
      <c r="B717" s="340" t="s">
        <v>403</v>
      </c>
      <c r="C717" s="340" t="s">
        <v>554</v>
      </c>
      <c r="D717" s="340" t="s">
        <v>260</v>
      </c>
      <c r="E717" s="712">
        <v>58</v>
      </c>
      <c r="F717" s="712">
        <v>14</v>
      </c>
      <c r="G717" s="529">
        <v>929.93</v>
      </c>
      <c r="H717" s="551">
        <f t="shared" si="27"/>
        <v>755103.15999999992</v>
      </c>
      <c r="I717" s="712">
        <v>1234</v>
      </c>
      <c r="J717" s="712">
        <f t="shared" si="26"/>
        <v>812</v>
      </c>
      <c r="K717" s="685" t="str">
        <f>UPPER((TEXT(Tabla5[[#This Row],[FECHA]],"MMM")))</f>
        <v>DIC</v>
      </c>
      <c r="L717" s="780">
        <f>YEAR(Tabla5[[#This Row],[FECHA]])</f>
        <v>2024</v>
      </c>
      <c r="M717" s="749">
        <v>344</v>
      </c>
      <c r="N717" s="441" t="s">
        <v>677</v>
      </c>
      <c r="O717" s="441" t="s">
        <v>713</v>
      </c>
      <c r="P717" s="441" t="s">
        <v>110</v>
      </c>
    </row>
    <row r="718" spans="1:16" ht="13.8">
      <c r="A718" s="531">
        <v>45655</v>
      </c>
      <c r="B718" s="340" t="s">
        <v>256</v>
      </c>
      <c r="C718" s="340" t="s">
        <v>257</v>
      </c>
      <c r="D718" s="340" t="s">
        <v>440</v>
      </c>
      <c r="E718" s="712">
        <v>96</v>
      </c>
      <c r="F718" s="712">
        <v>18</v>
      </c>
      <c r="G718" s="529">
        <v>929.93</v>
      </c>
      <c r="H718" s="551">
        <f t="shared" si="27"/>
        <v>1606919.0399999998</v>
      </c>
      <c r="I718" s="712">
        <v>1484</v>
      </c>
      <c r="J718" s="712">
        <f t="shared" si="26"/>
        <v>1728</v>
      </c>
      <c r="K718" s="685" t="str">
        <f>UPPER((TEXT(Tabla5[[#This Row],[FECHA]],"MMM")))</f>
        <v>DIC</v>
      </c>
      <c r="L718" s="780">
        <f>YEAR(Tabla5[[#This Row],[FECHA]])</f>
        <v>2024</v>
      </c>
      <c r="M718" s="749">
        <v>344</v>
      </c>
      <c r="N718" s="441" t="s">
        <v>678</v>
      </c>
      <c r="O718" s="441" t="s">
        <v>713</v>
      </c>
      <c r="P718" s="441" t="s">
        <v>110</v>
      </c>
    </row>
    <row r="719" spans="1:16" ht="13.8">
      <c r="A719" s="531">
        <v>45655</v>
      </c>
      <c r="B719" s="340" t="s">
        <v>263</v>
      </c>
      <c r="C719" s="340" t="s">
        <v>285</v>
      </c>
      <c r="D719" s="340" t="s">
        <v>672</v>
      </c>
      <c r="E719" s="712">
        <v>62</v>
      </c>
      <c r="F719" s="712">
        <v>10</v>
      </c>
      <c r="G719" s="529">
        <v>929.93</v>
      </c>
      <c r="H719" s="551">
        <f t="shared" si="27"/>
        <v>576556.6</v>
      </c>
      <c r="I719" s="712">
        <v>1224</v>
      </c>
      <c r="J719" s="712">
        <f t="shared" si="26"/>
        <v>620</v>
      </c>
      <c r="K719" s="685" t="str">
        <f>UPPER((TEXT(Tabla5[[#This Row],[FECHA]],"MMM")))</f>
        <v>DIC</v>
      </c>
      <c r="L719" s="780">
        <f>YEAR(Tabla5[[#This Row],[FECHA]])</f>
        <v>2024</v>
      </c>
      <c r="M719" s="749">
        <v>344</v>
      </c>
      <c r="N719" s="441" t="s">
        <v>675</v>
      </c>
      <c r="O719" s="441" t="s">
        <v>713</v>
      </c>
      <c r="P719" s="441" t="s">
        <v>110</v>
      </c>
    </row>
    <row r="720" spans="1:16" ht="13.8">
      <c r="A720" s="531">
        <v>45655</v>
      </c>
      <c r="B720" s="340" t="s">
        <v>403</v>
      </c>
      <c r="C720" s="340" t="s">
        <v>554</v>
      </c>
      <c r="D720" s="340" t="s">
        <v>260</v>
      </c>
      <c r="E720" s="712">
        <v>58</v>
      </c>
      <c r="F720" s="712">
        <v>14</v>
      </c>
      <c r="G720" s="529">
        <v>929.93</v>
      </c>
      <c r="H720" s="551">
        <f t="shared" si="27"/>
        <v>755103.15999999992</v>
      </c>
      <c r="I720" s="712">
        <v>1202</v>
      </c>
      <c r="J720" s="712">
        <f t="shared" si="26"/>
        <v>812</v>
      </c>
      <c r="K720" s="685" t="str">
        <f>UPPER((TEXT(Tabla5[[#This Row],[FECHA]],"MMM")))</f>
        <v>DIC</v>
      </c>
      <c r="L720" s="780">
        <f>YEAR(Tabla5[[#This Row],[FECHA]])</f>
        <v>2024</v>
      </c>
      <c r="M720" s="749">
        <v>344</v>
      </c>
      <c r="N720" s="441" t="s">
        <v>677</v>
      </c>
      <c r="O720" s="441" t="s">
        <v>713</v>
      </c>
      <c r="P720" s="441" t="s">
        <v>110</v>
      </c>
    </row>
    <row r="721" spans="1:16" ht="13.8">
      <c r="A721" s="531">
        <v>45656</v>
      </c>
      <c r="B721" s="340" t="s">
        <v>277</v>
      </c>
      <c r="C721" s="340" t="s">
        <v>285</v>
      </c>
      <c r="D721" s="340" t="s">
        <v>672</v>
      </c>
      <c r="E721" s="712">
        <v>62</v>
      </c>
      <c r="F721" s="712">
        <v>10</v>
      </c>
      <c r="G721" s="529">
        <v>929.93</v>
      </c>
      <c r="H721" s="551">
        <f t="shared" si="27"/>
        <v>576556.6</v>
      </c>
      <c r="I721" s="712">
        <v>1271</v>
      </c>
      <c r="J721" s="712">
        <f t="shared" si="26"/>
        <v>620</v>
      </c>
      <c r="K721" s="685" t="str">
        <f>UPPER((TEXT(Tabla5[[#This Row],[FECHA]],"MMM")))</f>
        <v>DIC</v>
      </c>
      <c r="L721" s="780">
        <f>YEAR(Tabla5[[#This Row],[FECHA]])</f>
        <v>2024</v>
      </c>
      <c r="M721" s="749">
        <v>344</v>
      </c>
      <c r="N721" s="441" t="s">
        <v>675</v>
      </c>
      <c r="O721" s="441" t="s">
        <v>713</v>
      </c>
      <c r="P721" s="441" t="s">
        <v>110</v>
      </c>
    </row>
    <row r="722" spans="1:16" ht="13.8">
      <c r="A722" s="531">
        <v>45656</v>
      </c>
      <c r="B722" s="340" t="s">
        <v>287</v>
      </c>
      <c r="C722" s="340" t="s">
        <v>554</v>
      </c>
      <c r="D722" s="340" t="s">
        <v>260</v>
      </c>
      <c r="E722" s="712">
        <v>58</v>
      </c>
      <c r="F722" s="712">
        <v>14</v>
      </c>
      <c r="G722" s="529">
        <v>929.93</v>
      </c>
      <c r="H722" s="551">
        <f t="shared" si="27"/>
        <v>755103.15999999992</v>
      </c>
      <c r="I722" s="712">
        <v>1184</v>
      </c>
      <c r="J722" s="712">
        <f>E722*F722</f>
        <v>812</v>
      </c>
      <c r="K722" s="685" t="str">
        <f>UPPER((TEXT(Tabla5[[#This Row],[FECHA]],"MMM")))</f>
        <v>DIC</v>
      </c>
      <c r="L722" s="780">
        <f>YEAR(Tabla5[[#This Row],[FECHA]])</f>
        <v>2024</v>
      </c>
      <c r="M722" s="749">
        <v>344</v>
      </c>
      <c r="N722" s="441" t="s">
        <v>677</v>
      </c>
      <c r="O722" s="441" t="s">
        <v>713</v>
      </c>
      <c r="P722" s="441" t="s">
        <v>110</v>
      </c>
    </row>
    <row r="723" spans="1:16" ht="13.8">
      <c r="A723" s="531">
        <v>45661</v>
      </c>
      <c r="B723" s="340" t="s">
        <v>256</v>
      </c>
      <c r="C723" s="340" t="s">
        <v>257</v>
      </c>
      <c r="D723" s="340" t="s">
        <v>694</v>
      </c>
      <c r="E723" s="340">
        <v>96</v>
      </c>
      <c r="F723" s="340">
        <v>18</v>
      </c>
      <c r="G723" s="529">
        <v>978.29</v>
      </c>
      <c r="H723" s="529">
        <f t="shared" si="27"/>
        <v>1690485.1199999999</v>
      </c>
      <c r="I723" s="340">
        <v>1584</v>
      </c>
      <c r="J723" s="712">
        <f>E723*F723</f>
        <v>1728</v>
      </c>
      <c r="K723" s="685" t="str">
        <f>UPPER((TEXT(Tabla5[[#This Row],[FECHA]],"MMM")))</f>
        <v>ENE</v>
      </c>
      <c r="L723" s="780">
        <f>YEAR(Tabla5[[#This Row],[FECHA]])</f>
        <v>2025</v>
      </c>
      <c r="M723" s="749">
        <v>361</v>
      </c>
      <c r="N723" s="441" t="s">
        <v>678</v>
      </c>
      <c r="O723" s="441" t="s">
        <v>713</v>
      </c>
      <c r="P723" s="441" t="s">
        <v>110</v>
      </c>
    </row>
    <row r="724" spans="1:16" ht="13.8">
      <c r="A724" s="531">
        <v>45662</v>
      </c>
      <c r="B724" s="340" t="s">
        <v>289</v>
      </c>
      <c r="C724" s="340" t="s">
        <v>290</v>
      </c>
      <c r="D724" s="340" t="s">
        <v>694</v>
      </c>
      <c r="E724" s="340">
        <v>96</v>
      </c>
      <c r="F724" s="340">
        <v>18</v>
      </c>
      <c r="G724" s="529">
        <v>978.29</v>
      </c>
      <c r="H724" s="529">
        <f t="shared" si="27"/>
        <v>1690485.1199999999</v>
      </c>
      <c r="I724" s="340">
        <v>1618</v>
      </c>
      <c r="J724" s="712">
        <f t="shared" ref="J724:J758" si="28">E724*F724</f>
        <v>1728</v>
      </c>
      <c r="K724" s="685" t="str">
        <f>UPPER((TEXT(Tabla5[[#This Row],[FECHA]],"MMM")))</f>
        <v>ENE</v>
      </c>
      <c r="L724" s="780">
        <f>YEAR(Tabla5[[#This Row],[FECHA]])</f>
        <v>2025</v>
      </c>
      <c r="M724" s="749">
        <v>361</v>
      </c>
      <c r="N724" s="441" t="s">
        <v>678</v>
      </c>
      <c r="O724" s="441" t="s">
        <v>713</v>
      </c>
      <c r="P724" s="441" t="s">
        <v>110</v>
      </c>
    </row>
    <row r="725" spans="1:16" ht="13.8">
      <c r="A725" s="531">
        <v>45663</v>
      </c>
      <c r="B725" s="340" t="s">
        <v>289</v>
      </c>
      <c r="C725" s="340" t="s">
        <v>290</v>
      </c>
      <c r="D725" s="340" t="s">
        <v>694</v>
      </c>
      <c r="E725" s="340">
        <v>96</v>
      </c>
      <c r="F725" s="340">
        <v>18</v>
      </c>
      <c r="G725" s="529">
        <v>978.29</v>
      </c>
      <c r="H725" s="529">
        <f t="shared" si="27"/>
        <v>1690485.1199999999</v>
      </c>
      <c r="I725" s="340">
        <v>1566</v>
      </c>
      <c r="J725" s="712">
        <f t="shared" si="28"/>
        <v>1728</v>
      </c>
      <c r="K725" s="685" t="str">
        <f>UPPER((TEXT(Tabla5[[#This Row],[FECHA]],"MMM")))</f>
        <v>ENE</v>
      </c>
      <c r="L725" s="780">
        <f>YEAR(Tabla5[[#This Row],[FECHA]])</f>
        <v>2025</v>
      </c>
      <c r="M725" s="749">
        <v>361</v>
      </c>
      <c r="N725" s="441" t="s">
        <v>678</v>
      </c>
      <c r="O725" s="441" t="s">
        <v>713</v>
      </c>
      <c r="P725" s="441" t="s">
        <v>110</v>
      </c>
    </row>
    <row r="726" spans="1:16" ht="13.8">
      <c r="A726" s="778">
        <v>45668</v>
      </c>
      <c r="B726" s="340" t="s">
        <v>253</v>
      </c>
      <c r="C726" s="340" t="s">
        <v>258</v>
      </c>
      <c r="D726" s="340" t="s">
        <v>694</v>
      </c>
      <c r="E726" s="340">
        <v>96</v>
      </c>
      <c r="F726" s="340">
        <v>18</v>
      </c>
      <c r="G726" s="529">
        <v>978.29</v>
      </c>
      <c r="H726" s="529">
        <f t="shared" si="27"/>
        <v>1690485.1199999999</v>
      </c>
      <c r="I726" s="340">
        <v>1580</v>
      </c>
      <c r="J726" s="712">
        <f t="shared" si="28"/>
        <v>1728</v>
      </c>
      <c r="K726" s="685" t="str">
        <f>UPPER((TEXT(Tabla5[[#This Row],[FECHA]],"MMM")))</f>
        <v>ENE</v>
      </c>
      <c r="L726" s="780">
        <f>YEAR(Tabla5[[#This Row],[FECHA]])</f>
        <v>2025</v>
      </c>
      <c r="M726" s="749">
        <v>361</v>
      </c>
      <c r="N726" s="441" t="s">
        <v>678</v>
      </c>
      <c r="O726" s="441" t="s">
        <v>713</v>
      </c>
      <c r="P726" s="441" t="s">
        <v>110</v>
      </c>
    </row>
    <row r="727" spans="1:16" ht="13.8">
      <c r="A727" s="778">
        <v>45669</v>
      </c>
      <c r="B727" s="340" t="s">
        <v>289</v>
      </c>
      <c r="C727" s="340" t="s">
        <v>290</v>
      </c>
      <c r="D727" s="340" t="s">
        <v>694</v>
      </c>
      <c r="E727" s="340">
        <v>96</v>
      </c>
      <c r="F727" s="340">
        <v>18</v>
      </c>
      <c r="G727" s="529">
        <v>978.29</v>
      </c>
      <c r="H727" s="529">
        <f t="shared" si="27"/>
        <v>1690485.1199999999</v>
      </c>
      <c r="I727" s="340">
        <v>1556</v>
      </c>
      <c r="J727" s="712">
        <f t="shared" si="28"/>
        <v>1728</v>
      </c>
      <c r="K727" s="685" t="str">
        <f>UPPER((TEXT(Tabla5[[#This Row],[FECHA]],"MMM")))</f>
        <v>ENE</v>
      </c>
      <c r="L727" s="780">
        <f>YEAR(Tabla5[[#This Row],[FECHA]])</f>
        <v>2025</v>
      </c>
      <c r="M727" s="749">
        <v>361</v>
      </c>
      <c r="N727" s="441" t="s">
        <v>678</v>
      </c>
      <c r="O727" s="441" t="s">
        <v>713</v>
      </c>
      <c r="P727" s="441" t="s">
        <v>110</v>
      </c>
    </row>
    <row r="728" spans="1:16" ht="13.8">
      <c r="A728" s="778">
        <v>45674</v>
      </c>
      <c r="B728" s="340" t="s">
        <v>550</v>
      </c>
      <c r="C728" s="340" t="s">
        <v>262</v>
      </c>
      <c r="D728" s="340" t="s">
        <v>260</v>
      </c>
      <c r="E728" s="340">
        <v>58</v>
      </c>
      <c r="F728" s="340">
        <v>4</v>
      </c>
      <c r="G728" s="529">
        <v>978.29</v>
      </c>
      <c r="H728" s="529">
        <f t="shared" si="27"/>
        <v>226963.28</v>
      </c>
      <c r="I728" s="340">
        <v>279</v>
      </c>
      <c r="J728" s="712">
        <f t="shared" si="28"/>
        <v>232</v>
      </c>
      <c r="K728" s="685" t="str">
        <f>UPPER((TEXT(Tabla5[[#This Row],[FECHA]],"MMM")))</f>
        <v>ENE</v>
      </c>
      <c r="L728" s="780">
        <f>YEAR(Tabla5[[#This Row],[FECHA]])</f>
        <v>2025</v>
      </c>
      <c r="M728" s="749">
        <v>361</v>
      </c>
      <c r="N728" s="441" t="s">
        <v>679</v>
      </c>
      <c r="O728" s="441" t="s">
        <v>712</v>
      </c>
      <c r="P728" s="441" t="s">
        <v>110</v>
      </c>
    </row>
    <row r="729" spans="1:16" ht="13.8">
      <c r="A729" s="778">
        <v>45675</v>
      </c>
      <c r="B729" s="340" t="s">
        <v>289</v>
      </c>
      <c r="C729" s="340" t="s">
        <v>290</v>
      </c>
      <c r="D729" s="340" t="s">
        <v>694</v>
      </c>
      <c r="E729" s="340">
        <v>96</v>
      </c>
      <c r="F729" s="340">
        <v>17</v>
      </c>
      <c r="G729" s="529">
        <v>978.29</v>
      </c>
      <c r="H729" s="529">
        <f t="shared" si="27"/>
        <v>1596569.28</v>
      </c>
      <c r="I729" s="340">
        <v>1504</v>
      </c>
      <c r="J729" s="712">
        <f t="shared" si="28"/>
        <v>1632</v>
      </c>
      <c r="K729" s="685" t="str">
        <f>UPPER((TEXT(Tabla5[[#This Row],[FECHA]],"MMM")))</f>
        <v>ENE</v>
      </c>
      <c r="L729" s="780">
        <f>YEAR(Tabla5[[#This Row],[FECHA]])</f>
        <v>2025</v>
      </c>
      <c r="M729" s="749">
        <v>361</v>
      </c>
      <c r="N729" s="441" t="s">
        <v>678</v>
      </c>
      <c r="O729" s="441" t="s">
        <v>713</v>
      </c>
      <c r="P729" s="441" t="s">
        <v>110</v>
      </c>
    </row>
    <row r="730" spans="1:16" ht="13.8">
      <c r="A730" s="778">
        <v>45676</v>
      </c>
      <c r="B730" s="340" t="s">
        <v>256</v>
      </c>
      <c r="C730" s="340" t="s">
        <v>257</v>
      </c>
      <c r="D730" s="340" t="s">
        <v>694</v>
      </c>
      <c r="E730" s="340">
        <v>96</v>
      </c>
      <c r="F730" s="340">
        <v>16</v>
      </c>
      <c r="G730" s="529">
        <v>978.29</v>
      </c>
      <c r="H730" s="529">
        <f t="shared" si="27"/>
        <v>1502653.4399999999</v>
      </c>
      <c r="I730" s="340">
        <v>1260</v>
      </c>
      <c r="J730" s="712">
        <f t="shared" si="28"/>
        <v>1536</v>
      </c>
      <c r="K730" s="685" t="str">
        <f>UPPER((TEXT(Tabla5[[#This Row],[FECHA]],"MMM")))</f>
        <v>ENE</v>
      </c>
      <c r="L730" s="780">
        <f>YEAR(Tabla5[[#This Row],[FECHA]])</f>
        <v>2025</v>
      </c>
      <c r="M730" s="749">
        <v>361</v>
      </c>
      <c r="N730" s="441" t="s">
        <v>678</v>
      </c>
      <c r="O730" s="441" t="s">
        <v>713</v>
      </c>
      <c r="P730" s="441" t="s">
        <v>110</v>
      </c>
    </row>
    <row r="731" spans="1:16" ht="13.8">
      <c r="A731" s="778">
        <v>45677</v>
      </c>
      <c r="B731" s="340" t="s">
        <v>550</v>
      </c>
      <c r="C731" s="340" t="s">
        <v>262</v>
      </c>
      <c r="D731" s="340" t="s">
        <v>260</v>
      </c>
      <c r="E731" s="340">
        <v>58</v>
      </c>
      <c r="F731" s="340">
        <v>4</v>
      </c>
      <c r="G731" s="529">
        <v>978.29</v>
      </c>
      <c r="H731" s="529">
        <f t="shared" si="27"/>
        <v>226963.28</v>
      </c>
      <c r="I731" s="340">
        <v>183</v>
      </c>
      <c r="J731" s="712">
        <f t="shared" si="28"/>
        <v>232</v>
      </c>
      <c r="K731" s="685" t="str">
        <f>UPPER((TEXT(Tabla5[[#This Row],[FECHA]],"MMM")))</f>
        <v>ENE</v>
      </c>
      <c r="L731" s="780">
        <f>YEAR(Tabla5[[#This Row],[FECHA]])</f>
        <v>2025</v>
      </c>
      <c r="M731" s="749">
        <v>361</v>
      </c>
      <c r="N731" s="441" t="s">
        <v>679</v>
      </c>
      <c r="O731" s="441" t="s">
        <v>712</v>
      </c>
      <c r="P731" s="441" t="s">
        <v>110</v>
      </c>
    </row>
    <row r="732" spans="1:16" ht="13.8">
      <c r="A732" s="778">
        <v>45677</v>
      </c>
      <c r="B732" s="340" t="s">
        <v>271</v>
      </c>
      <c r="C732" s="340" t="s">
        <v>257</v>
      </c>
      <c r="D732" s="340" t="s">
        <v>695</v>
      </c>
      <c r="E732" s="340">
        <v>76</v>
      </c>
      <c r="F732" s="340">
        <v>9</v>
      </c>
      <c r="G732" s="529">
        <v>978.29</v>
      </c>
      <c r="H732" s="529">
        <f t="shared" si="27"/>
        <v>669150.36</v>
      </c>
      <c r="I732" s="340">
        <v>1291</v>
      </c>
      <c r="J732" s="712">
        <f t="shared" si="28"/>
        <v>684</v>
      </c>
      <c r="K732" s="685" t="str">
        <f>UPPER((TEXT(Tabla5[[#This Row],[FECHA]],"MMM")))</f>
        <v>ENE</v>
      </c>
      <c r="L732" s="780">
        <f>YEAR(Tabla5[[#This Row],[FECHA]])</f>
        <v>2025</v>
      </c>
      <c r="M732" s="749">
        <v>361</v>
      </c>
      <c r="N732" s="441" t="s">
        <v>676</v>
      </c>
      <c r="O732" s="441" t="s">
        <v>712</v>
      </c>
      <c r="P732" s="441" t="s">
        <v>110</v>
      </c>
    </row>
    <row r="733" spans="1:16" ht="13.8">
      <c r="A733" s="778">
        <v>45678</v>
      </c>
      <c r="B733" s="340" t="s">
        <v>550</v>
      </c>
      <c r="C733" s="340" t="s">
        <v>262</v>
      </c>
      <c r="D733" s="340" t="s">
        <v>260</v>
      </c>
      <c r="E733" s="340">
        <v>58</v>
      </c>
      <c r="F733" s="340">
        <v>4</v>
      </c>
      <c r="G733" s="529">
        <v>978.29</v>
      </c>
      <c r="H733" s="529">
        <f t="shared" si="27"/>
        <v>226963.28</v>
      </c>
      <c r="I733" s="340">
        <v>239</v>
      </c>
      <c r="J733" s="712">
        <f t="shared" si="28"/>
        <v>232</v>
      </c>
      <c r="K733" s="685" t="str">
        <f>UPPER((TEXT(Tabla5[[#This Row],[FECHA]],"MMM")))</f>
        <v>ENE</v>
      </c>
      <c r="L733" s="780">
        <f>YEAR(Tabla5[[#This Row],[FECHA]])</f>
        <v>2025</v>
      </c>
      <c r="M733" s="749">
        <v>361</v>
      </c>
      <c r="N733" s="441" t="s">
        <v>679</v>
      </c>
      <c r="O733" s="441" t="s">
        <v>712</v>
      </c>
      <c r="P733" s="441" t="s">
        <v>110</v>
      </c>
    </row>
    <row r="734" spans="1:16" ht="13.8">
      <c r="A734" s="778">
        <v>45678</v>
      </c>
      <c r="B734" s="340" t="s">
        <v>263</v>
      </c>
      <c r="C734" s="340" t="s">
        <v>264</v>
      </c>
      <c r="D734" s="340" t="s">
        <v>695</v>
      </c>
      <c r="E734" s="340">
        <v>76</v>
      </c>
      <c r="F734" s="340">
        <v>9</v>
      </c>
      <c r="G734" s="529">
        <v>978.29</v>
      </c>
      <c r="H734" s="529">
        <f t="shared" si="27"/>
        <v>669150.36</v>
      </c>
      <c r="I734" s="340">
        <v>1109</v>
      </c>
      <c r="J734" s="712">
        <f t="shared" si="28"/>
        <v>684</v>
      </c>
      <c r="K734" s="685" t="str">
        <f>UPPER((TEXT(Tabla5[[#This Row],[FECHA]],"MMM")))</f>
        <v>ENE</v>
      </c>
      <c r="L734" s="780">
        <f>YEAR(Tabla5[[#This Row],[FECHA]])</f>
        <v>2025</v>
      </c>
      <c r="M734" s="749">
        <v>361</v>
      </c>
      <c r="N734" s="441" t="s">
        <v>676</v>
      </c>
      <c r="O734" s="441" t="s">
        <v>712</v>
      </c>
      <c r="P734" s="441" t="s">
        <v>110</v>
      </c>
    </row>
    <row r="735" spans="1:16" ht="13.8">
      <c r="A735" s="778">
        <v>45679</v>
      </c>
      <c r="B735" s="340" t="s">
        <v>582</v>
      </c>
      <c r="C735" s="340" t="s">
        <v>273</v>
      </c>
      <c r="D735" s="340" t="s">
        <v>260</v>
      </c>
      <c r="E735" s="340">
        <v>58</v>
      </c>
      <c r="F735" s="340">
        <v>4</v>
      </c>
      <c r="G735" s="529">
        <v>978.29</v>
      </c>
      <c r="H735" s="529">
        <f t="shared" si="27"/>
        <v>226963.28</v>
      </c>
      <c r="I735" s="340">
        <v>224</v>
      </c>
      <c r="J735" s="712">
        <f t="shared" si="28"/>
        <v>232</v>
      </c>
      <c r="K735" s="685" t="str">
        <f>UPPER((TEXT(Tabla5[[#This Row],[FECHA]],"MMM")))</f>
        <v>ENE</v>
      </c>
      <c r="L735" s="780">
        <f>YEAR(Tabla5[[#This Row],[FECHA]])</f>
        <v>2025</v>
      </c>
      <c r="M735" s="749">
        <v>361</v>
      </c>
      <c r="N735" s="441" t="s">
        <v>679</v>
      </c>
      <c r="O735" s="441" t="s">
        <v>712</v>
      </c>
      <c r="P735" s="441" t="s">
        <v>110</v>
      </c>
    </row>
    <row r="736" spans="1:16" ht="13.8">
      <c r="A736" s="778">
        <v>45679</v>
      </c>
      <c r="B736" s="340" t="s">
        <v>263</v>
      </c>
      <c r="C736" s="340" t="s">
        <v>264</v>
      </c>
      <c r="D736" s="340" t="s">
        <v>695</v>
      </c>
      <c r="E736" s="340">
        <v>76</v>
      </c>
      <c r="F736" s="340">
        <v>9</v>
      </c>
      <c r="G736" s="529">
        <v>978.29</v>
      </c>
      <c r="H736" s="529">
        <f t="shared" si="27"/>
        <v>669150.36</v>
      </c>
      <c r="I736" s="340">
        <v>978</v>
      </c>
      <c r="J736" s="712">
        <f t="shared" si="28"/>
        <v>684</v>
      </c>
      <c r="K736" s="685" t="str">
        <f>UPPER((TEXT(Tabla5[[#This Row],[FECHA]],"MMM")))</f>
        <v>ENE</v>
      </c>
      <c r="L736" s="780">
        <f>YEAR(Tabla5[[#This Row],[FECHA]])</f>
        <v>2025</v>
      </c>
      <c r="M736" s="749">
        <v>361</v>
      </c>
      <c r="N736" s="441" t="s">
        <v>676</v>
      </c>
      <c r="O736" s="441" t="s">
        <v>712</v>
      </c>
      <c r="P736" s="441" t="s">
        <v>110</v>
      </c>
    </row>
    <row r="737" spans="1:16" ht="13.8">
      <c r="A737" s="778">
        <v>45680</v>
      </c>
      <c r="B737" s="340" t="s">
        <v>582</v>
      </c>
      <c r="C737" s="340" t="s">
        <v>273</v>
      </c>
      <c r="D737" s="340" t="s">
        <v>260</v>
      </c>
      <c r="E737" s="340">
        <v>58</v>
      </c>
      <c r="F737" s="340">
        <v>4</v>
      </c>
      <c r="G737" s="529">
        <v>978.29</v>
      </c>
      <c r="H737" s="529">
        <f t="shared" si="27"/>
        <v>226963.28</v>
      </c>
      <c r="I737" s="340">
        <v>212</v>
      </c>
      <c r="J737" s="712">
        <f t="shared" si="28"/>
        <v>232</v>
      </c>
      <c r="K737" s="685" t="str">
        <f>UPPER((TEXT(Tabla5[[#This Row],[FECHA]],"MMM")))</f>
        <v>ENE</v>
      </c>
      <c r="L737" s="780">
        <f>YEAR(Tabla5[[#This Row],[FECHA]])</f>
        <v>2025</v>
      </c>
      <c r="M737" s="749">
        <v>361</v>
      </c>
      <c r="N737" s="441" t="s">
        <v>679</v>
      </c>
      <c r="O737" s="441" t="s">
        <v>712</v>
      </c>
      <c r="P737" s="441" t="s">
        <v>110</v>
      </c>
    </row>
    <row r="738" spans="1:16" ht="13.8">
      <c r="A738" s="778">
        <v>45680</v>
      </c>
      <c r="B738" s="340" t="s">
        <v>271</v>
      </c>
      <c r="C738" s="340" t="s">
        <v>257</v>
      </c>
      <c r="D738" s="340" t="s">
        <v>695</v>
      </c>
      <c r="E738" s="340">
        <v>76</v>
      </c>
      <c r="F738" s="340">
        <v>9</v>
      </c>
      <c r="G738" s="529">
        <v>978.29</v>
      </c>
      <c r="H738" s="529">
        <f t="shared" si="27"/>
        <v>669150.36</v>
      </c>
      <c r="I738" s="340">
        <v>984</v>
      </c>
      <c r="J738" s="712">
        <f t="shared" si="28"/>
        <v>684</v>
      </c>
      <c r="K738" s="685" t="str">
        <f>UPPER((TEXT(Tabla5[[#This Row],[FECHA]],"MMM")))</f>
        <v>ENE</v>
      </c>
      <c r="L738" s="780">
        <f>YEAR(Tabla5[[#This Row],[FECHA]])</f>
        <v>2025</v>
      </c>
      <c r="M738" s="749">
        <v>361</v>
      </c>
      <c r="N738" s="441" t="s">
        <v>676</v>
      </c>
      <c r="O738" s="441" t="s">
        <v>712</v>
      </c>
      <c r="P738" s="441" t="s">
        <v>110</v>
      </c>
    </row>
    <row r="739" spans="1:16" ht="13.8">
      <c r="A739" s="778">
        <v>45681</v>
      </c>
      <c r="B739" s="340" t="s">
        <v>582</v>
      </c>
      <c r="C739" s="340" t="s">
        <v>273</v>
      </c>
      <c r="D739" s="340" t="s">
        <v>260</v>
      </c>
      <c r="E739" s="340">
        <v>58</v>
      </c>
      <c r="F739" s="340">
        <v>4</v>
      </c>
      <c r="G739" s="529">
        <v>978.29</v>
      </c>
      <c r="H739" s="529">
        <f t="shared" si="27"/>
        <v>226963.28</v>
      </c>
      <c r="I739" s="340">
        <v>159</v>
      </c>
      <c r="J739" s="712">
        <f t="shared" si="28"/>
        <v>232</v>
      </c>
      <c r="K739" s="685" t="str">
        <f>UPPER((TEXT(Tabla5[[#This Row],[FECHA]],"MMM")))</f>
        <v>ENE</v>
      </c>
      <c r="L739" s="780">
        <f>YEAR(Tabla5[[#This Row],[FECHA]])</f>
        <v>2025</v>
      </c>
      <c r="M739" s="749">
        <v>361</v>
      </c>
      <c r="N739" s="441" t="s">
        <v>679</v>
      </c>
      <c r="O739" s="441" t="s">
        <v>712</v>
      </c>
      <c r="P739" s="441" t="s">
        <v>110</v>
      </c>
    </row>
    <row r="740" spans="1:16" ht="13.8">
      <c r="A740" s="778">
        <v>45681</v>
      </c>
      <c r="B740" s="340" t="s">
        <v>271</v>
      </c>
      <c r="C740" s="340" t="s">
        <v>257</v>
      </c>
      <c r="D740" s="340" t="s">
        <v>695</v>
      </c>
      <c r="E740" s="340">
        <v>76</v>
      </c>
      <c r="F740" s="340">
        <v>9</v>
      </c>
      <c r="G740" s="529">
        <v>978.29</v>
      </c>
      <c r="H740" s="529">
        <f t="shared" si="27"/>
        <v>669150.36</v>
      </c>
      <c r="I740" s="340">
        <v>1192</v>
      </c>
      <c r="J740" s="712">
        <f t="shared" si="28"/>
        <v>684</v>
      </c>
      <c r="K740" s="685" t="str">
        <f>UPPER((TEXT(Tabla5[[#This Row],[FECHA]],"MMM")))</f>
        <v>ENE</v>
      </c>
      <c r="L740" s="780">
        <f>YEAR(Tabla5[[#This Row],[FECHA]])</f>
        <v>2025</v>
      </c>
      <c r="M740" s="749">
        <v>361</v>
      </c>
      <c r="N740" s="441" t="s">
        <v>676</v>
      </c>
      <c r="O740" s="441" t="s">
        <v>712</v>
      </c>
      <c r="P740" s="441" t="s">
        <v>110</v>
      </c>
    </row>
    <row r="741" spans="1:16" ht="13.8">
      <c r="A741" s="778">
        <v>45682</v>
      </c>
      <c r="B741" s="340" t="s">
        <v>696</v>
      </c>
      <c r="C741" s="340" t="s">
        <v>697</v>
      </c>
      <c r="D741" s="340" t="s">
        <v>695</v>
      </c>
      <c r="E741" s="340">
        <v>76</v>
      </c>
      <c r="F741" s="340">
        <v>3</v>
      </c>
      <c r="G741" s="529">
        <v>978.29</v>
      </c>
      <c r="H741" s="529">
        <f t="shared" si="27"/>
        <v>223050.12</v>
      </c>
      <c r="I741" s="340">
        <v>375</v>
      </c>
      <c r="J741" s="712">
        <f t="shared" si="28"/>
        <v>228</v>
      </c>
      <c r="K741" s="685" t="str">
        <f>UPPER((TEXT(Tabla5[[#This Row],[FECHA]],"MMM")))</f>
        <v>ENE</v>
      </c>
      <c r="L741" s="780">
        <f>YEAR(Tabla5[[#This Row],[FECHA]])</f>
        <v>2025</v>
      </c>
      <c r="M741" s="749">
        <v>361</v>
      </c>
      <c r="N741" s="441" t="s">
        <v>676</v>
      </c>
      <c r="O741" s="441" t="s">
        <v>712</v>
      </c>
      <c r="P741" s="441" t="s">
        <v>110</v>
      </c>
    </row>
    <row r="742" spans="1:16" ht="13.8">
      <c r="A742" s="778">
        <v>45682</v>
      </c>
      <c r="B742" s="340" t="s">
        <v>271</v>
      </c>
      <c r="C742" s="340" t="s">
        <v>292</v>
      </c>
      <c r="D742" s="340" t="s">
        <v>694</v>
      </c>
      <c r="E742" s="340">
        <v>96</v>
      </c>
      <c r="F742" s="340">
        <v>14</v>
      </c>
      <c r="G742" s="529">
        <v>978.29</v>
      </c>
      <c r="H742" s="529">
        <f t="shared" si="27"/>
        <v>1314821.76</v>
      </c>
      <c r="I742" s="340">
        <v>1022</v>
      </c>
      <c r="J742" s="712">
        <f t="shared" si="28"/>
        <v>1344</v>
      </c>
      <c r="K742" s="685" t="str">
        <f>UPPER((TEXT(Tabla5[[#This Row],[FECHA]],"MMM")))</f>
        <v>ENE</v>
      </c>
      <c r="L742" s="780">
        <f>YEAR(Tabla5[[#This Row],[FECHA]])</f>
        <v>2025</v>
      </c>
      <c r="M742" s="749">
        <v>361</v>
      </c>
      <c r="N742" s="441" t="s">
        <v>678</v>
      </c>
      <c r="O742" s="441" t="s">
        <v>713</v>
      </c>
      <c r="P742" s="441" t="s">
        <v>110</v>
      </c>
    </row>
    <row r="743" spans="1:16" ht="13.8">
      <c r="A743" s="778">
        <v>45683</v>
      </c>
      <c r="B743" s="340" t="s">
        <v>256</v>
      </c>
      <c r="C743" s="340" t="s">
        <v>257</v>
      </c>
      <c r="D743" s="340" t="s">
        <v>694</v>
      </c>
      <c r="E743" s="340">
        <v>96</v>
      </c>
      <c r="F743" s="340">
        <v>15</v>
      </c>
      <c r="G743" s="529">
        <v>978.29</v>
      </c>
      <c r="H743" s="529">
        <f t="shared" si="27"/>
        <v>1408737.5999999999</v>
      </c>
      <c r="I743" s="340">
        <v>1206</v>
      </c>
      <c r="J743" s="712">
        <f t="shared" si="28"/>
        <v>1440</v>
      </c>
      <c r="K743" s="685" t="str">
        <f>UPPER((TEXT(Tabla5[[#This Row],[FECHA]],"MMM")))</f>
        <v>ENE</v>
      </c>
      <c r="L743" s="780">
        <f>YEAR(Tabla5[[#This Row],[FECHA]])</f>
        <v>2025</v>
      </c>
      <c r="M743" s="749">
        <v>361</v>
      </c>
      <c r="N743" s="441" t="s">
        <v>678</v>
      </c>
      <c r="O743" s="441" t="s">
        <v>713</v>
      </c>
      <c r="P743" s="441" t="s">
        <v>110</v>
      </c>
    </row>
    <row r="744" spans="1:16" ht="13.8">
      <c r="A744" s="778">
        <v>45684</v>
      </c>
      <c r="B744" s="340" t="s">
        <v>550</v>
      </c>
      <c r="C744" s="340" t="s">
        <v>262</v>
      </c>
      <c r="D744" s="340" t="s">
        <v>260</v>
      </c>
      <c r="E744" s="340">
        <v>58</v>
      </c>
      <c r="F744" s="340">
        <v>4</v>
      </c>
      <c r="G744" s="529">
        <v>978.29</v>
      </c>
      <c r="H744" s="529">
        <f t="shared" si="27"/>
        <v>226963.28</v>
      </c>
      <c r="I744" s="340">
        <v>180</v>
      </c>
      <c r="J744" s="712">
        <f t="shared" si="28"/>
        <v>232</v>
      </c>
      <c r="K744" s="685" t="str">
        <f>UPPER((TEXT(Tabla5[[#This Row],[FECHA]],"MMM")))</f>
        <v>ENE</v>
      </c>
      <c r="L744" s="780">
        <f>YEAR(Tabla5[[#This Row],[FECHA]])</f>
        <v>2025</v>
      </c>
      <c r="M744" s="749">
        <v>361</v>
      </c>
      <c r="N744" s="441" t="s">
        <v>679</v>
      </c>
      <c r="O744" s="441" t="s">
        <v>712</v>
      </c>
      <c r="P744" s="441" t="s">
        <v>110</v>
      </c>
    </row>
    <row r="745" spans="1:16" ht="13.8">
      <c r="A745" s="778">
        <v>45684</v>
      </c>
      <c r="B745" s="340" t="s">
        <v>271</v>
      </c>
      <c r="C745" s="340" t="s">
        <v>257</v>
      </c>
      <c r="D745" s="340" t="s">
        <v>695</v>
      </c>
      <c r="E745" s="340">
        <v>76</v>
      </c>
      <c r="F745" s="340">
        <v>9</v>
      </c>
      <c r="G745" s="529">
        <v>978.29</v>
      </c>
      <c r="H745" s="529">
        <f t="shared" si="27"/>
        <v>669150.36</v>
      </c>
      <c r="I745" s="340">
        <v>1389</v>
      </c>
      <c r="J745" s="712">
        <f t="shared" si="28"/>
        <v>684</v>
      </c>
      <c r="K745" s="685" t="str">
        <f>UPPER((TEXT(Tabla5[[#This Row],[FECHA]],"MMM")))</f>
        <v>ENE</v>
      </c>
      <c r="L745" s="780">
        <f>YEAR(Tabla5[[#This Row],[FECHA]])</f>
        <v>2025</v>
      </c>
      <c r="M745" s="749">
        <v>361</v>
      </c>
      <c r="N745" s="441" t="s">
        <v>676</v>
      </c>
      <c r="O745" s="441" t="s">
        <v>712</v>
      </c>
      <c r="P745" s="441" t="s">
        <v>110</v>
      </c>
    </row>
    <row r="746" spans="1:16" ht="13.8">
      <c r="A746" s="531">
        <v>45685</v>
      </c>
      <c r="B746" s="340" t="s">
        <v>550</v>
      </c>
      <c r="C746" s="340" t="s">
        <v>266</v>
      </c>
      <c r="D746" s="340" t="s">
        <v>260</v>
      </c>
      <c r="E746" s="340">
        <v>58</v>
      </c>
      <c r="F746" s="340">
        <v>4</v>
      </c>
      <c r="G746" s="529">
        <v>978.29</v>
      </c>
      <c r="H746" s="529">
        <f t="shared" si="27"/>
        <v>226963.28</v>
      </c>
      <c r="I746" s="340">
        <v>224</v>
      </c>
      <c r="J746" s="712">
        <f t="shared" si="28"/>
        <v>232</v>
      </c>
      <c r="K746" s="685" t="str">
        <f>UPPER((TEXT(Tabla5[[#This Row],[FECHA]],"MMM")))</f>
        <v>ENE</v>
      </c>
      <c r="L746" s="780">
        <f>YEAR(Tabla5[[#This Row],[FECHA]])</f>
        <v>2025</v>
      </c>
      <c r="M746" s="749">
        <v>361</v>
      </c>
      <c r="N746" s="441" t="s">
        <v>679</v>
      </c>
      <c r="O746" s="441" t="s">
        <v>712</v>
      </c>
      <c r="P746" s="441" t="s">
        <v>110</v>
      </c>
    </row>
    <row r="747" spans="1:16" ht="13.8">
      <c r="A747" s="531">
        <v>45685</v>
      </c>
      <c r="B747" s="340" t="s">
        <v>287</v>
      </c>
      <c r="C747" s="340" t="s">
        <v>290</v>
      </c>
      <c r="D747" s="340" t="s">
        <v>695</v>
      </c>
      <c r="E747" s="340">
        <v>76</v>
      </c>
      <c r="F747" s="340">
        <v>9</v>
      </c>
      <c r="G747" s="529">
        <v>978.29</v>
      </c>
      <c r="H747" s="529">
        <f t="shared" si="27"/>
        <v>669150.36</v>
      </c>
      <c r="I747" s="340">
        <v>1174</v>
      </c>
      <c r="J747" s="712">
        <f t="shared" si="28"/>
        <v>684</v>
      </c>
      <c r="K747" s="685" t="str">
        <f>UPPER((TEXT(Tabla5[[#This Row],[FECHA]],"MMM")))</f>
        <v>ENE</v>
      </c>
      <c r="L747" s="780">
        <f>YEAR(Tabla5[[#This Row],[FECHA]])</f>
        <v>2025</v>
      </c>
      <c r="M747" s="749">
        <v>361</v>
      </c>
      <c r="N747" s="441" t="s">
        <v>676</v>
      </c>
      <c r="O747" s="441" t="s">
        <v>712</v>
      </c>
      <c r="P747" s="441" t="s">
        <v>110</v>
      </c>
    </row>
    <row r="748" spans="1:16" ht="13.8">
      <c r="A748" s="531">
        <v>45685</v>
      </c>
      <c r="B748" s="340" t="s">
        <v>293</v>
      </c>
      <c r="C748" s="340" t="s">
        <v>273</v>
      </c>
      <c r="D748" s="340" t="s">
        <v>260</v>
      </c>
      <c r="E748" s="340">
        <v>58</v>
      </c>
      <c r="F748" s="340">
        <v>4</v>
      </c>
      <c r="G748" s="529">
        <v>978.29</v>
      </c>
      <c r="H748" s="529">
        <f t="shared" si="27"/>
        <v>226963.28</v>
      </c>
      <c r="I748" s="340">
        <v>513</v>
      </c>
      <c r="J748" s="712">
        <f t="shared" si="28"/>
        <v>232</v>
      </c>
      <c r="K748" s="685" t="str">
        <f>UPPER((TEXT(Tabla5[[#This Row],[FECHA]],"MMM")))</f>
        <v>ENE</v>
      </c>
      <c r="L748" s="780">
        <f>YEAR(Tabla5[[#This Row],[FECHA]])</f>
        <v>2025</v>
      </c>
      <c r="M748" s="749">
        <v>361</v>
      </c>
      <c r="N748" s="441" t="s">
        <v>680</v>
      </c>
      <c r="O748" s="441" t="s">
        <v>712</v>
      </c>
      <c r="P748" s="441" t="s">
        <v>110</v>
      </c>
    </row>
    <row r="749" spans="1:16" ht="13.8">
      <c r="A749" s="531">
        <v>45686</v>
      </c>
      <c r="B749" s="340" t="s">
        <v>550</v>
      </c>
      <c r="C749" s="340" t="s">
        <v>266</v>
      </c>
      <c r="D749" s="340" t="s">
        <v>260</v>
      </c>
      <c r="E749" s="340">
        <v>58</v>
      </c>
      <c r="F749" s="340">
        <v>4</v>
      </c>
      <c r="G749" s="529">
        <v>978.29</v>
      </c>
      <c r="H749" s="529">
        <f t="shared" si="27"/>
        <v>226963.28</v>
      </c>
      <c r="I749" s="340">
        <v>235</v>
      </c>
      <c r="J749" s="712">
        <f t="shared" si="28"/>
        <v>232</v>
      </c>
      <c r="K749" s="685" t="str">
        <f>UPPER((TEXT(Tabla5[[#This Row],[FECHA]],"MMM")))</f>
        <v>ENE</v>
      </c>
      <c r="L749" s="780">
        <f>YEAR(Tabla5[[#This Row],[FECHA]])</f>
        <v>2025</v>
      </c>
      <c r="M749" s="749">
        <v>361</v>
      </c>
      <c r="N749" s="441" t="s">
        <v>679</v>
      </c>
      <c r="O749" s="441" t="s">
        <v>712</v>
      </c>
      <c r="P749" s="441" t="s">
        <v>110</v>
      </c>
    </row>
    <row r="750" spans="1:16" ht="13.8">
      <c r="A750" s="531">
        <v>45686</v>
      </c>
      <c r="B750" s="340" t="s">
        <v>287</v>
      </c>
      <c r="C750" s="340" t="s">
        <v>290</v>
      </c>
      <c r="D750" s="340" t="s">
        <v>695</v>
      </c>
      <c r="E750" s="340">
        <v>76</v>
      </c>
      <c r="F750" s="340">
        <v>9</v>
      </c>
      <c r="G750" s="529">
        <v>978.29</v>
      </c>
      <c r="H750" s="529">
        <f t="shared" si="27"/>
        <v>669150.36</v>
      </c>
      <c r="I750" s="340">
        <v>946</v>
      </c>
      <c r="J750" s="712">
        <f t="shared" si="28"/>
        <v>684</v>
      </c>
      <c r="K750" s="685" t="str">
        <f>UPPER((TEXT(Tabla5[[#This Row],[FECHA]],"MMM")))</f>
        <v>ENE</v>
      </c>
      <c r="L750" s="780">
        <f>YEAR(Tabla5[[#This Row],[FECHA]])</f>
        <v>2025</v>
      </c>
      <c r="M750" s="749">
        <v>361</v>
      </c>
      <c r="N750" s="441" t="s">
        <v>676</v>
      </c>
      <c r="O750" s="441" t="s">
        <v>712</v>
      </c>
      <c r="P750" s="441" t="s">
        <v>110</v>
      </c>
    </row>
    <row r="751" spans="1:16" ht="13.8">
      <c r="A751" s="531">
        <v>45686</v>
      </c>
      <c r="B751" s="340" t="s">
        <v>406</v>
      </c>
      <c r="C751" s="340" t="s">
        <v>259</v>
      </c>
      <c r="D751" s="340" t="s">
        <v>260</v>
      </c>
      <c r="E751" s="340">
        <v>58</v>
      </c>
      <c r="F751" s="340">
        <v>6</v>
      </c>
      <c r="G751" s="529">
        <v>978.29</v>
      </c>
      <c r="H751" s="529">
        <f t="shared" si="27"/>
        <v>340444.92</v>
      </c>
      <c r="I751" s="340">
        <v>933</v>
      </c>
      <c r="J751" s="712">
        <f t="shared" si="28"/>
        <v>348</v>
      </c>
      <c r="K751" s="685" t="str">
        <f>UPPER((TEXT(Tabla5[[#This Row],[FECHA]],"MMM")))</f>
        <v>ENE</v>
      </c>
      <c r="L751" s="780">
        <f>YEAR(Tabla5[[#This Row],[FECHA]])</f>
        <v>2025</v>
      </c>
      <c r="M751" s="749">
        <v>361</v>
      </c>
      <c r="N751" s="441" t="s">
        <v>680</v>
      </c>
      <c r="O751" s="441" t="s">
        <v>712</v>
      </c>
      <c r="P751" s="441" t="s">
        <v>110</v>
      </c>
    </row>
    <row r="752" spans="1:16" ht="13.8">
      <c r="A752" s="531">
        <v>45687</v>
      </c>
      <c r="B752" s="340" t="s">
        <v>550</v>
      </c>
      <c r="C752" s="340" t="s">
        <v>266</v>
      </c>
      <c r="D752" s="340" t="s">
        <v>260</v>
      </c>
      <c r="E752" s="340">
        <v>58</v>
      </c>
      <c r="F752" s="340">
        <v>4</v>
      </c>
      <c r="G752" s="529">
        <v>978.29</v>
      </c>
      <c r="H752" s="529">
        <f t="shared" si="27"/>
        <v>226963.28</v>
      </c>
      <c r="I752" s="340">
        <v>224</v>
      </c>
      <c r="J752" s="712">
        <f t="shared" si="28"/>
        <v>232</v>
      </c>
      <c r="K752" s="685" t="str">
        <f>UPPER((TEXT(Tabla5[[#This Row],[FECHA]],"MMM")))</f>
        <v>ENE</v>
      </c>
      <c r="L752" s="780">
        <f>YEAR(Tabla5[[#This Row],[FECHA]])</f>
        <v>2025</v>
      </c>
      <c r="M752" s="749">
        <v>361</v>
      </c>
      <c r="N752" s="441" t="s">
        <v>679</v>
      </c>
      <c r="O752" s="441" t="s">
        <v>712</v>
      </c>
      <c r="P752" s="441" t="s">
        <v>110</v>
      </c>
    </row>
    <row r="753" spans="1:16" ht="13.8">
      <c r="A753" s="531">
        <v>45687</v>
      </c>
      <c r="B753" s="340" t="s">
        <v>287</v>
      </c>
      <c r="C753" s="340" t="s">
        <v>288</v>
      </c>
      <c r="D753" s="340" t="s">
        <v>695</v>
      </c>
      <c r="E753" s="340">
        <v>76</v>
      </c>
      <c r="F753" s="340">
        <v>9</v>
      </c>
      <c r="G753" s="529">
        <v>978.29</v>
      </c>
      <c r="H753" s="529">
        <f t="shared" si="27"/>
        <v>669150.36</v>
      </c>
      <c r="I753" s="340">
        <v>1006</v>
      </c>
      <c r="J753" s="712">
        <f t="shared" si="28"/>
        <v>684</v>
      </c>
      <c r="K753" s="685" t="str">
        <f>UPPER((TEXT(Tabla5[[#This Row],[FECHA]],"MMM")))</f>
        <v>ENE</v>
      </c>
      <c r="L753" s="780">
        <f>YEAR(Tabla5[[#This Row],[FECHA]])</f>
        <v>2025</v>
      </c>
      <c r="M753" s="749">
        <v>361</v>
      </c>
      <c r="N753" s="441" t="s">
        <v>676</v>
      </c>
      <c r="O753" s="441" t="s">
        <v>712</v>
      </c>
      <c r="P753" s="441" t="s">
        <v>110</v>
      </c>
    </row>
    <row r="754" spans="1:16" ht="13.8">
      <c r="A754" s="531">
        <v>45687</v>
      </c>
      <c r="B754" s="340" t="s">
        <v>406</v>
      </c>
      <c r="C754" s="340" t="s">
        <v>259</v>
      </c>
      <c r="D754" s="340" t="s">
        <v>260</v>
      </c>
      <c r="E754" s="340">
        <v>58</v>
      </c>
      <c r="F754" s="340">
        <v>4</v>
      </c>
      <c r="G754" s="529">
        <v>978.29</v>
      </c>
      <c r="H754" s="529">
        <f t="shared" si="27"/>
        <v>226963.28</v>
      </c>
      <c r="I754" s="340">
        <v>546</v>
      </c>
      <c r="J754" s="712">
        <f t="shared" si="28"/>
        <v>232</v>
      </c>
      <c r="K754" s="685" t="str">
        <f>UPPER((TEXT(Tabla5[[#This Row],[FECHA]],"MMM")))</f>
        <v>ENE</v>
      </c>
      <c r="L754" s="780">
        <f>YEAR(Tabla5[[#This Row],[FECHA]])</f>
        <v>2025</v>
      </c>
      <c r="M754" s="749">
        <v>361</v>
      </c>
      <c r="N754" s="441" t="s">
        <v>680</v>
      </c>
      <c r="O754" s="441" t="s">
        <v>712</v>
      </c>
      <c r="P754" s="441" t="s">
        <v>110</v>
      </c>
    </row>
    <row r="755" spans="1:16" ht="13.8">
      <c r="A755" s="531">
        <v>45687</v>
      </c>
      <c r="B755" s="340" t="s">
        <v>698</v>
      </c>
      <c r="C755" s="340" t="s">
        <v>640</v>
      </c>
      <c r="D755" s="340" t="s">
        <v>694</v>
      </c>
      <c r="E755" s="340">
        <v>96</v>
      </c>
      <c r="F755" s="340">
        <v>3</v>
      </c>
      <c r="G755" s="529">
        <v>978.29</v>
      </c>
      <c r="H755" s="529">
        <f t="shared" si="27"/>
        <v>281747.52</v>
      </c>
      <c r="I755" s="340">
        <v>116</v>
      </c>
      <c r="J755" s="712">
        <f t="shared" si="28"/>
        <v>288</v>
      </c>
      <c r="K755" s="685" t="str">
        <f>UPPER((TEXT(Tabla5[[#This Row],[FECHA]],"MMM")))</f>
        <v>ENE</v>
      </c>
      <c r="L755" s="780">
        <f>YEAR(Tabla5[[#This Row],[FECHA]])</f>
        <v>2025</v>
      </c>
      <c r="M755" s="749">
        <v>361</v>
      </c>
      <c r="N755" s="441" t="s">
        <v>678</v>
      </c>
      <c r="O755" s="441" t="s">
        <v>713</v>
      </c>
      <c r="P755" s="441" t="s">
        <v>110</v>
      </c>
    </row>
    <row r="756" spans="1:16" ht="13.8">
      <c r="A756" s="531">
        <v>45688</v>
      </c>
      <c r="B756" s="340" t="s">
        <v>582</v>
      </c>
      <c r="C756" s="340" t="s">
        <v>278</v>
      </c>
      <c r="D756" s="340" t="s">
        <v>260</v>
      </c>
      <c r="E756" s="340">
        <v>58</v>
      </c>
      <c r="F756" s="340">
        <v>4</v>
      </c>
      <c r="G756" s="529">
        <v>978.29</v>
      </c>
      <c r="H756" s="529">
        <f t="shared" si="27"/>
        <v>226963.28</v>
      </c>
      <c r="I756" s="779">
        <v>165</v>
      </c>
      <c r="J756" s="712">
        <f t="shared" si="28"/>
        <v>232</v>
      </c>
      <c r="K756" s="685" t="str">
        <f>UPPER((TEXT(Tabla5[[#This Row],[FECHA]],"MMM")))</f>
        <v>ENE</v>
      </c>
      <c r="L756" s="780">
        <f>YEAR(Tabla5[[#This Row],[FECHA]])</f>
        <v>2025</v>
      </c>
      <c r="M756" s="749">
        <v>361</v>
      </c>
      <c r="N756" s="441" t="s">
        <v>679</v>
      </c>
      <c r="O756" s="441" t="s">
        <v>712</v>
      </c>
      <c r="P756" s="441" t="s">
        <v>110</v>
      </c>
    </row>
    <row r="757" spans="1:16" ht="13.8">
      <c r="A757" s="531">
        <v>45688</v>
      </c>
      <c r="B757" s="340" t="s">
        <v>287</v>
      </c>
      <c r="C757" s="340" t="s">
        <v>288</v>
      </c>
      <c r="D757" s="340" t="s">
        <v>695</v>
      </c>
      <c r="E757" s="340">
        <v>76</v>
      </c>
      <c r="F757" s="340">
        <v>9</v>
      </c>
      <c r="G757" s="529">
        <v>978.29</v>
      </c>
      <c r="H757" s="529">
        <f t="shared" si="27"/>
        <v>669150.36</v>
      </c>
      <c r="I757" s="779">
        <v>1377</v>
      </c>
      <c r="J757" s="712">
        <f t="shared" si="28"/>
        <v>684</v>
      </c>
      <c r="K757" s="685" t="str">
        <f>UPPER((TEXT(Tabla5[[#This Row],[FECHA]],"MMM")))</f>
        <v>ENE</v>
      </c>
      <c r="L757" s="780">
        <f>YEAR(Tabla5[[#This Row],[FECHA]])</f>
        <v>2025</v>
      </c>
      <c r="M757" s="749">
        <v>361</v>
      </c>
      <c r="N757" s="441" t="s">
        <v>676</v>
      </c>
      <c r="O757" s="441" t="s">
        <v>712</v>
      </c>
      <c r="P757" s="441" t="s">
        <v>110</v>
      </c>
    </row>
    <row r="758" spans="1:16" ht="13.8">
      <c r="A758" s="531">
        <v>45688</v>
      </c>
      <c r="B758" s="340" t="s">
        <v>406</v>
      </c>
      <c r="C758" s="340" t="s">
        <v>259</v>
      </c>
      <c r="D758" s="340" t="s">
        <v>260</v>
      </c>
      <c r="E758" s="340">
        <v>58</v>
      </c>
      <c r="F758" s="340">
        <v>5</v>
      </c>
      <c r="G758" s="529">
        <v>978.29</v>
      </c>
      <c r="H758" s="529">
        <f t="shared" si="27"/>
        <v>283704.09999999998</v>
      </c>
      <c r="I758" s="779">
        <v>835</v>
      </c>
      <c r="J758" s="712">
        <f t="shared" si="28"/>
        <v>290</v>
      </c>
      <c r="K758" s="685" t="str">
        <f>UPPER((TEXT(Tabla5[[#This Row],[FECHA]],"MMM")))</f>
        <v>ENE</v>
      </c>
      <c r="L758" s="780">
        <f>YEAR(Tabla5[[#This Row],[FECHA]])</f>
        <v>2025</v>
      </c>
      <c r="M758" s="749">
        <v>361</v>
      </c>
      <c r="N758" s="441" t="s">
        <v>680</v>
      </c>
      <c r="O758" s="441" t="s">
        <v>712</v>
      </c>
      <c r="P758" s="441" t="s">
        <v>110</v>
      </c>
    </row>
    <row r="759" spans="1:16" ht="13.8">
      <c r="A759" s="531">
        <v>45689</v>
      </c>
      <c r="B759" s="340" t="s">
        <v>272</v>
      </c>
      <c r="C759" s="340" t="s">
        <v>282</v>
      </c>
      <c r="D759" s="340" t="s">
        <v>695</v>
      </c>
      <c r="E759" s="340">
        <v>76</v>
      </c>
      <c r="F759" s="340">
        <v>3</v>
      </c>
      <c r="G759" s="529">
        <v>978.29</v>
      </c>
      <c r="H759" s="529">
        <f t="shared" si="27"/>
        <v>223050.12</v>
      </c>
      <c r="I759" s="779">
        <v>472</v>
      </c>
      <c r="J759" s="712">
        <f>E759*F759</f>
        <v>228</v>
      </c>
      <c r="K759" s="685" t="str">
        <f>UPPER((TEXT(Tabla5[[#This Row],[FECHA]],"MMM")))</f>
        <v>FEB</v>
      </c>
      <c r="L759" s="780">
        <f>YEAR(Tabla5[[#This Row],[FECHA]])</f>
        <v>2025</v>
      </c>
      <c r="M759" s="749">
        <v>378</v>
      </c>
      <c r="N759" s="441" t="s">
        <v>676</v>
      </c>
      <c r="O759" s="441" t="s">
        <v>712</v>
      </c>
      <c r="P759" s="441" t="s">
        <v>110</v>
      </c>
    </row>
    <row r="760" spans="1:16" ht="13.8">
      <c r="A760" s="531">
        <v>45689</v>
      </c>
      <c r="B760" s="340" t="s">
        <v>295</v>
      </c>
      <c r="C760" s="340" t="s">
        <v>276</v>
      </c>
      <c r="D760" s="340" t="s">
        <v>694</v>
      </c>
      <c r="E760" s="340">
        <v>96</v>
      </c>
      <c r="F760" s="340">
        <v>12</v>
      </c>
      <c r="G760" s="529">
        <v>978.29</v>
      </c>
      <c r="H760" s="529">
        <f t="shared" si="27"/>
        <v>1126990.08</v>
      </c>
      <c r="I760" s="779">
        <v>804</v>
      </c>
      <c r="J760" s="712">
        <f t="shared" ref="J760:J823" si="29">E760*F760</f>
        <v>1152</v>
      </c>
      <c r="K760" s="685" t="str">
        <f>UPPER((TEXT(Tabla5[[#This Row],[FECHA]],"MMM")))</f>
        <v>FEB</v>
      </c>
      <c r="L760" s="780">
        <f>YEAR(Tabla5[[#This Row],[FECHA]])</f>
        <v>2025</v>
      </c>
      <c r="M760" s="749">
        <v>378</v>
      </c>
      <c r="N760" s="441" t="s">
        <v>678</v>
      </c>
      <c r="O760" s="441" t="s">
        <v>713</v>
      </c>
      <c r="P760" s="441" t="s">
        <v>110</v>
      </c>
    </row>
    <row r="761" spans="1:16" ht="13.8">
      <c r="A761" s="531">
        <v>45690</v>
      </c>
      <c r="B761" s="340" t="s">
        <v>289</v>
      </c>
      <c r="C761" s="340" t="s">
        <v>288</v>
      </c>
      <c r="D761" s="340" t="s">
        <v>694</v>
      </c>
      <c r="E761" s="340">
        <v>96</v>
      </c>
      <c r="F761" s="340">
        <v>14</v>
      </c>
      <c r="G761" s="529">
        <v>978.29</v>
      </c>
      <c r="H761" s="529">
        <f t="shared" si="27"/>
        <v>1314821.76</v>
      </c>
      <c r="I761" s="779">
        <v>1192</v>
      </c>
      <c r="J761" s="712">
        <f t="shared" si="29"/>
        <v>1344</v>
      </c>
      <c r="K761" s="685" t="str">
        <f>UPPER((TEXT(Tabla5[[#This Row],[FECHA]],"MMM")))</f>
        <v>FEB</v>
      </c>
      <c r="L761" s="780">
        <f>YEAR(Tabla5[[#This Row],[FECHA]])</f>
        <v>2025</v>
      </c>
      <c r="M761" s="749">
        <v>378</v>
      </c>
      <c r="N761" s="441" t="s">
        <v>678</v>
      </c>
      <c r="O761" s="441" t="s">
        <v>713</v>
      </c>
      <c r="P761" s="441" t="s">
        <v>110</v>
      </c>
    </row>
    <row r="762" spans="1:16" ht="13.8">
      <c r="A762" s="531">
        <v>45691</v>
      </c>
      <c r="B762" s="340" t="s">
        <v>550</v>
      </c>
      <c r="C762" s="340" t="s">
        <v>262</v>
      </c>
      <c r="D762" s="340" t="s">
        <v>260</v>
      </c>
      <c r="E762" s="340">
        <v>58</v>
      </c>
      <c r="F762" s="340">
        <v>4</v>
      </c>
      <c r="G762" s="529">
        <v>978.29</v>
      </c>
      <c r="H762" s="529">
        <f t="shared" si="27"/>
        <v>226963.28</v>
      </c>
      <c r="I762" s="779">
        <v>205</v>
      </c>
      <c r="J762" s="712">
        <f t="shared" si="29"/>
        <v>232</v>
      </c>
      <c r="K762" s="685" t="str">
        <f>UPPER((TEXT(Tabla5[[#This Row],[FECHA]],"MMM")))</f>
        <v>FEB</v>
      </c>
      <c r="L762" s="780">
        <f>YEAR(Tabla5[[#This Row],[FECHA]])</f>
        <v>2025</v>
      </c>
      <c r="M762" s="749">
        <v>378</v>
      </c>
      <c r="N762" s="441" t="s">
        <v>679</v>
      </c>
      <c r="O762" s="441" t="s">
        <v>712</v>
      </c>
      <c r="P762" s="441" t="s">
        <v>110</v>
      </c>
    </row>
    <row r="763" spans="1:16" ht="13.8">
      <c r="A763" s="531">
        <v>45691</v>
      </c>
      <c r="B763" s="340" t="s">
        <v>287</v>
      </c>
      <c r="C763" s="340" t="s">
        <v>290</v>
      </c>
      <c r="D763" s="340" t="s">
        <v>695</v>
      </c>
      <c r="E763" s="340">
        <v>76</v>
      </c>
      <c r="F763" s="340">
        <v>9</v>
      </c>
      <c r="G763" s="529">
        <v>978.29</v>
      </c>
      <c r="H763" s="529">
        <f t="shared" si="27"/>
        <v>669150.36</v>
      </c>
      <c r="I763" s="779">
        <v>1499</v>
      </c>
      <c r="J763" s="712">
        <f t="shared" si="29"/>
        <v>684</v>
      </c>
      <c r="K763" s="685" t="str">
        <f>UPPER((TEXT(Tabla5[[#This Row],[FECHA]],"MMM")))</f>
        <v>FEB</v>
      </c>
      <c r="L763" s="780">
        <f>YEAR(Tabla5[[#This Row],[FECHA]])</f>
        <v>2025</v>
      </c>
      <c r="M763" s="749">
        <v>378</v>
      </c>
      <c r="N763" s="441" t="s">
        <v>676</v>
      </c>
      <c r="O763" s="441" t="s">
        <v>712</v>
      </c>
      <c r="P763" s="441" t="s">
        <v>110</v>
      </c>
    </row>
    <row r="764" spans="1:16" ht="13.8">
      <c r="A764" s="531">
        <v>45692</v>
      </c>
      <c r="B764" s="340" t="s">
        <v>550</v>
      </c>
      <c r="C764" s="340" t="s">
        <v>266</v>
      </c>
      <c r="D764" s="340" t="s">
        <v>260</v>
      </c>
      <c r="E764" s="340">
        <v>58</v>
      </c>
      <c r="F764" s="340">
        <v>4</v>
      </c>
      <c r="G764" s="529">
        <v>978.29</v>
      </c>
      <c r="H764" s="529">
        <f t="shared" si="27"/>
        <v>226963.28</v>
      </c>
      <c r="I764" s="779">
        <v>253</v>
      </c>
      <c r="J764" s="712">
        <f t="shared" si="29"/>
        <v>232</v>
      </c>
      <c r="K764" s="685" t="str">
        <f>UPPER((TEXT(Tabla5[[#This Row],[FECHA]],"MMM")))</f>
        <v>FEB</v>
      </c>
      <c r="L764" s="780">
        <f>YEAR(Tabla5[[#This Row],[FECHA]])</f>
        <v>2025</v>
      </c>
      <c r="M764" s="749">
        <v>378</v>
      </c>
      <c r="N764" s="441" t="s">
        <v>679</v>
      </c>
      <c r="O764" s="441" t="s">
        <v>712</v>
      </c>
      <c r="P764" s="441" t="s">
        <v>110</v>
      </c>
    </row>
    <row r="765" spans="1:16" ht="13.8">
      <c r="A765" s="531">
        <v>45692</v>
      </c>
      <c r="B765" s="340" t="s">
        <v>271</v>
      </c>
      <c r="C765" s="340" t="s">
        <v>292</v>
      </c>
      <c r="D765" s="340" t="s">
        <v>695</v>
      </c>
      <c r="E765" s="340">
        <v>76</v>
      </c>
      <c r="F765" s="340">
        <v>9</v>
      </c>
      <c r="G765" s="529">
        <v>978.29</v>
      </c>
      <c r="H765" s="529">
        <f t="shared" si="27"/>
        <v>669150.36</v>
      </c>
      <c r="I765" s="779">
        <v>1204</v>
      </c>
      <c r="J765" s="712">
        <f t="shared" si="29"/>
        <v>684</v>
      </c>
      <c r="K765" s="685" t="str">
        <f>UPPER((TEXT(Tabla5[[#This Row],[FECHA]],"MMM")))</f>
        <v>FEB</v>
      </c>
      <c r="L765" s="780">
        <f>YEAR(Tabla5[[#This Row],[FECHA]])</f>
        <v>2025</v>
      </c>
      <c r="M765" s="749">
        <v>378</v>
      </c>
      <c r="N765" s="441" t="s">
        <v>676</v>
      </c>
      <c r="O765" s="441" t="s">
        <v>712</v>
      </c>
      <c r="P765" s="441" t="s">
        <v>110</v>
      </c>
    </row>
    <row r="766" spans="1:16" ht="13.8">
      <c r="A766" s="531">
        <v>45692</v>
      </c>
      <c r="B766" s="340" t="s">
        <v>740</v>
      </c>
      <c r="C766" s="340" t="s">
        <v>741</v>
      </c>
      <c r="D766" s="340" t="s">
        <v>260</v>
      </c>
      <c r="E766" s="340">
        <v>58</v>
      </c>
      <c r="F766" s="340">
        <v>4</v>
      </c>
      <c r="G766" s="529">
        <v>978.29</v>
      </c>
      <c r="H766" s="529">
        <f t="shared" si="27"/>
        <v>226963.28</v>
      </c>
      <c r="I766" s="779">
        <v>512</v>
      </c>
      <c r="J766" s="712">
        <f t="shared" si="29"/>
        <v>232</v>
      </c>
      <c r="K766" s="685" t="str">
        <f>UPPER((TEXT(Tabla5[[#This Row],[FECHA]],"MMM")))</f>
        <v>FEB</v>
      </c>
      <c r="L766" s="780">
        <f>YEAR(Tabla5[[#This Row],[FECHA]])</f>
        <v>2025</v>
      </c>
      <c r="M766" s="749">
        <v>378</v>
      </c>
      <c r="N766" s="441" t="s">
        <v>680</v>
      </c>
      <c r="O766" s="441" t="s">
        <v>712</v>
      </c>
      <c r="P766" s="441" t="s">
        <v>110</v>
      </c>
    </row>
    <row r="767" spans="1:16" ht="13.8">
      <c r="A767" s="531">
        <v>45693</v>
      </c>
      <c r="B767" s="340" t="s">
        <v>550</v>
      </c>
      <c r="C767" s="340" t="s">
        <v>266</v>
      </c>
      <c r="D767" s="340" t="s">
        <v>260</v>
      </c>
      <c r="E767" s="340">
        <v>58</v>
      </c>
      <c r="F767" s="340">
        <v>4</v>
      </c>
      <c r="G767" s="529">
        <v>978.29</v>
      </c>
      <c r="H767" s="529">
        <f t="shared" si="27"/>
        <v>226963.28</v>
      </c>
      <c r="I767" s="779">
        <v>214</v>
      </c>
      <c r="J767" s="712">
        <f t="shared" si="29"/>
        <v>232</v>
      </c>
      <c r="K767" s="685" t="str">
        <f>UPPER((TEXT(Tabla5[[#This Row],[FECHA]],"MMM")))</f>
        <v>FEB</v>
      </c>
      <c r="L767" s="780">
        <f>YEAR(Tabla5[[#This Row],[FECHA]])</f>
        <v>2025</v>
      </c>
      <c r="M767" s="749">
        <v>378</v>
      </c>
      <c r="N767" s="441" t="s">
        <v>679</v>
      </c>
      <c r="O767" s="441" t="s">
        <v>712</v>
      </c>
      <c r="P767" s="441" t="s">
        <v>110</v>
      </c>
    </row>
    <row r="768" spans="1:16" ht="13.8">
      <c r="A768" s="531">
        <v>45693</v>
      </c>
      <c r="B768" s="340" t="s">
        <v>271</v>
      </c>
      <c r="C768" s="340" t="s">
        <v>292</v>
      </c>
      <c r="D768" s="340" t="s">
        <v>695</v>
      </c>
      <c r="E768" s="340">
        <v>76</v>
      </c>
      <c r="F768" s="340">
        <v>9</v>
      </c>
      <c r="G768" s="529">
        <v>978.29</v>
      </c>
      <c r="H768" s="529">
        <f t="shared" si="27"/>
        <v>669150.36</v>
      </c>
      <c r="I768" s="779">
        <v>1106</v>
      </c>
      <c r="J768" s="712">
        <f t="shared" si="29"/>
        <v>684</v>
      </c>
      <c r="K768" s="685" t="str">
        <f>UPPER((TEXT(Tabla5[[#This Row],[FECHA]],"MMM")))</f>
        <v>FEB</v>
      </c>
      <c r="L768" s="780">
        <f>YEAR(Tabla5[[#This Row],[FECHA]])</f>
        <v>2025</v>
      </c>
      <c r="M768" s="749">
        <v>378</v>
      </c>
      <c r="N768" s="441" t="s">
        <v>676</v>
      </c>
      <c r="O768" s="441" t="s">
        <v>712</v>
      </c>
      <c r="P768" s="441" t="s">
        <v>110</v>
      </c>
    </row>
    <row r="769" spans="1:16" ht="13.8">
      <c r="A769" s="531">
        <v>45693</v>
      </c>
      <c r="B769" s="340" t="s">
        <v>403</v>
      </c>
      <c r="C769" s="340" t="s">
        <v>404</v>
      </c>
      <c r="D769" s="340" t="s">
        <v>260</v>
      </c>
      <c r="E769" s="340">
        <v>58</v>
      </c>
      <c r="F769" s="340">
        <v>6</v>
      </c>
      <c r="G769" s="529">
        <v>978.29</v>
      </c>
      <c r="H769" s="529">
        <f t="shared" si="27"/>
        <v>340444.92</v>
      </c>
      <c r="I769" s="779">
        <v>959</v>
      </c>
      <c r="J769" s="712">
        <f t="shared" si="29"/>
        <v>348</v>
      </c>
      <c r="K769" s="685" t="str">
        <f>UPPER((TEXT(Tabla5[[#This Row],[FECHA]],"MMM")))</f>
        <v>FEB</v>
      </c>
      <c r="L769" s="780">
        <f>YEAR(Tabla5[[#This Row],[FECHA]])</f>
        <v>2025</v>
      </c>
      <c r="M769" s="749">
        <v>378</v>
      </c>
      <c r="N769" s="441" t="s">
        <v>680</v>
      </c>
      <c r="O769" s="441" t="s">
        <v>712</v>
      </c>
      <c r="P769" s="441" t="s">
        <v>110</v>
      </c>
    </row>
    <row r="770" spans="1:16" ht="13.8">
      <c r="A770" s="531">
        <v>45694</v>
      </c>
      <c r="B770" s="340" t="s">
        <v>582</v>
      </c>
      <c r="C770" s="340" t="s">
        <v>278</v>
      </c>
      <c r="D770" s="340" t="s">
        <v>260</v>
      </c>
      <c r="E770" s="340">
        <v>58</v>
      </c>
      <c r="F770" s="340">
        <v>4</v>
      </c>
      <c r="G770" s="529">
        <v>978.29</v>
      </c>
      <c r="H770" s="529">
        <f t="shared" si="27"/>
        <v>226963.28</v>
      </c>
      <c r="I770" s="779">
        <v>271</v>
      </c>
      <c r="J770" s="712">
        <f t="shared" si="29"/>
        <v>232</v>
      </c>
      <c r="K770" s="685" t="str">
        <f>UPPER((TEXT(Tabla5[[#This Row],[FECHA]],"MMM")))</f>
        <v>FEB</v>
      </c>
      <c r="L770" s="780">
        <f>YEAR(Tabla5[[#This Row],[FECHA]])</f>
        <v>2025</v>
      </c>
      <c r="M770" s="749">
        <v>378</v>
      </c>
      <c r="N770" s="441" t="s">
        <v>679</v>
      </c>
      <c r="O770" s="441" t="s">
        <v>712</v>
      </c>
      <c r="P770" s="441" t="s">
        <v>110</v>
      </c>
    </row>
    <row r="771" spans="1:16" ht="13.8">
      <c r="A771" s="531">
        <v>45694</v>
      </c>
      <c r="B771" s="340" t="s">
        <v>271</v>
      </c>
      <c r="C771" s="340" t="s">
        <v>292</v>
      </c>
      <c r="D771" s="340" t="s">
        <v>695</v>
      </c>
      <c r="E771" s="340">
        <v>76</v>
      </c>
      <c r="F771" s="340">
        <v>9</v>
      </c>
      <c r="G771" s="529">
        <v>978.29</v>
      </c>
      <c r="H771" s="529">
        <f t="shared" si="27"/>
        <v>669150.36</v>
      </c>
      <c r="I771" s="779">
        <v>945</v>
      </c>
      <c r="J771" s="712">
        <f t="shared" si="29"/>
        <v>684</v>
      </c>
      <c r="K771" s="685" t="str">
        <f>UPPER((TEXT(Tabla5[[#This Row],[FECHA]],"MMM")))</f>
        <v>FEB</v>
      </c>
      <c r="L771" s="780">
        <f>YEAR(Tabla5[[#This Row],[FECHA]])</f>
        <v>2025</v>
      </c>
      <c r="M771" s="749">
        <v>378</v>
      </c>
      <c r="N771" s="441" t="s">
        <v>676</v>
      </c>
      <c r="O771" s="441" t="s">
        <v>712</v>
      </c>
      <c r="P771" s="441" t="s">
        <v>110</v>
      </c>
    </row>
    <row r="772" spans="1:16" ht="13.8">
      <c r="A772" s="531">
        <v>45694</v>
      </c>
      <c r="B772" s="340" t="s">
        <v>403</v>
      </c>
      <c r="C772" s="340" t="s">
        <v>404</v>
      </c>
      <c r="D772" s="340" t="s">
        <v>694</v>
      </c>
      <c r="E772" s="340">
        <v>96</v>
      </c>
      <c r="F772" s="340">
        <v>6</v>
      </c>
      <c r="G772" s="529">
        <v>978.29</v>
      </c>
      <c r="H772" s="529">
        <f t="shared" si="27"/>
        <v>563495.04</v>
      </c>
      <c r="I772" s="779">
        <v>221</v>
      </c>
      <c r="J772" s="712">
        <f t="shared" si="29"/>
        <v>576</v>
      </c>
      <c r="K772" s="685" t="str">
        <f>UPPER((TEXT(Tabla5[[#This Row],[FECHA]],"MMM")))</f>
        <v>FEB</v>
      </c>
      <c r="L772" s="780">
        <f>YEAR(Tabla5[[#This Row],[FECHA]])</f>
        <v>2025</v>
      </c>
      <c r="M772" s="749">
        <v>378</v>
      </c>
      <c r="N772" s="441" t="s">
        <v>678</v>
      </c>
      <c r="O772" s="441" t="s">
        <v>713</v>
      </c>
      <c r="P772" s="441" t="s">
        <v>110</v>
      </c>
    </row>
    <row r="773" spans="1:16" ht="13.8">
      <c r="A773" s="531">
        <v>45695</v>
      </c>
      <c r="B773" s="340" t="s">
        <v>582</v>
      </c>
      <c r="C773" s="340" t="s">
        <v>278</v>
      </c>
      <c r="D773" s="340" t="s">
        <v>260</v>
      </c>
      <c r="E773" s="340">
        <v>58</v>
      </c>
      <c r="F773" s="340">
        <v>4</v>
      </c>
      <c r="G773" s="529">
        <v>978.29</v>
      </c>
      <c r="H773" s="529">
        <f t="shared" si="27"/>
        <v>226963.28</v>
      </c>
      <c r="I773" s="779">
        <v>165</v>
      </c>
      <c r="J773" s="712">
        <f t="shared" si="29"/>
        <v>232</v>
      </c>
      <c r="K773" s="685" t="str">
        <f>UPPER((TEXT(Tabla5[[#This Row],[FECHA]],"MMM")))</f>
        <v>FEB</v>
      </c>
      <c r="L773" s="780">
        <f>YEAR(Tabla5[[#This Row],[FECHA]])</f>
        <v>2025</v>
      </c>
      <c r="M773" s="749">
        <v>378</v>
      </c>
      <c r="N773" s="441" t="s">
        <v>679</v>
      </c>
      <c r="O773" s="441" t="s">
        <v>712</v>
      </c>
      <c r="P773" s="441" t="s">
        <v>110</v>
      </c>
    </row>
    <row r="774" spans="1:16" ht="13.8">
      <c r="A774" s="531">
        <v>45695</v>
      </c>
      <c r="B774" s="340" t="s">
        <v>271</v>
      </c>
      <c r="C774" s="340" t="s">
        <v>292</v>
      </c>
      <c r="D774" s="340" t="s">
        <v>695</v>
      </c>
      <c r="E774" s="340">
        <v>76</v>
      </c>
      <c r="F774" s="340">
        <v>9</v>
      </c>
      <c r="G774" s="529">
        <v>978.29</v>
      </c>
      <c r="H774" s="529">
        <f t="shared" si="27"/>
        <v>669150.36</v>
      </c>
      <c r="I774" s="779">
        <v>1328</v>
      </c>
      <c r="J774" s="712">
        <f t="shared" si="29"/>
        <v>684</v>
      </c>
      <c r="K774" s="685" t="str">
        <f>UPPER((TEXT(Tabla5[[#This Row],[FECHA]],"MMM")))</f>
        <v>FEB</v>
      </c>
      <c r="L774" s="780">
        <f>YEAR(Tabla5[[#This Row],[FECHA]])</f>
        <v>2025</v>
      </c>
      <c r="M774" s="749">
        <v>378</v>
      </c>
      <c r="N774" s="441" t="s">
        <v>676</v>
      </c>
      <c r="O774" s="441" t="s">
        <v>712</v>
      </c>
      <c r="P774" s="441" t="s">
        <v>110</v>
      </c>
    </row>
    <row r="775" spans="1:16" ht="13.8">
      <c r="A775" s="531">
        <v>45695</v>
      </c>
      <c r="B775" s="340" t="s">
        <v>284</v>
      </c>
      <c r="C775" s="340" t="s">
        <v>285</v>
      </c>
      <c r="D775" s="340" t="s">
        <v>260</v>
      </c>
      <c r="E775" s="340">
        <v>58</v>
      </c>
      <c r="F775" s="340">
        <v>6</v>
      </c>
      <c r="G775" s="529">
        <v>978.29</v>
      </c>
      <c r="H775" s="529">
        <f t="shared" si="27"/>
        <v>340444.92</v>
      </c>
      <c r="I775" s="779">
        <v>874</v>
      </c>
      <c r="J775" s="712">
        <f t="shared" si="29"/>
        <v>348</v>
      </c>
      <c r="K775" s="685" t="str">
        <f>UPPER((TEXT(Tabla5[[#This Row],[FECHA]],"MMM")))</f>
        <v>FEB</v>
      </c>
      <c r="L775" s="780">
        <f>YEAR(Tabla5[[#This Row],[FECHA]])</f>
        <v>2025</v>
      </c>
      <c r="M775" s="749">
        <v>378</v>
      </c>
      <c r="N775" s="441" t="s">
        <v>680</v>
      </c>
      <c r="O775" s="441" t="s">
        <v>712</v>
      </c>
      <c r="P775" s="441" t="s">
        <v>110</v>
      </c>
    </row>
    <row r="776" spans="1:16" ht="13.8">
      <c r="A776" s="531">
        <v>45696</v>
      </c>
      <c r="B776" s="340" t="s">
        <v>272</v>
      </c>
      <c r="C776" s="340" t="s">
        <v>282</v>
      </c>
      <c r="D776" s="340" t="s">
        <v>695</v>
      </c>
      <c r="E776" s="340">
        <v>76</v>
      </c>
      <c r="F776" s="340">
        <v>3</v>
      </c>
      <c r="G776" s="529">
        <v>978.29</v>
      </c>
      <c r="H776" s="529">
        <f t="shared" si="27"/>
        <v>223050.12</v>
      </c>
      <c r="I776" s="779">
        <v>391</v>
      </c>
      <c r="J776" s="712">
        <f t="shared" si="29"/>
        <v>228</v>
      </c>
      <c r="K776" s="685" t="str">
        <f>UPPER((TEXT(Tabla5[[#This Row],[FECHA]],"MMM")))</f>
        <v>FEB</v>
      </c>
      <c r="L776" s="780">
        <f>YEAR(Tabla5[[#This Row],[FECHA]])</f>
        <v>2025</v>
      </c>
      <c r="M776" s="749">
        <v>378</v>
      </c>
      <c r="N776" s="441" t="s">
        <v>676</v>
      </c>
      <c r="O776" s="441" t="s">
        <v>712</v>
      </c>
      <c r="P776" s="441" t="s">
        <v>110</v>
      </c>
    </row>
    <row r="777" spans="1:16" ht="13.8">
      <c r="A777" s="531">
        <v>45696</v>
      </c>
      <c r="B777" s="340" t="s">
        <v>295</v>
      </c>
      <c r="C777" s="340" t="s">
        <v>276</v>
      </c>
      <c r="D777" s="340" t="s">
        <v>694</v>
      </c>
      <c r="E777" s="340">
        <v>96</v>
      </c>
      <c r="F777" s="340">
        <v>10</v>
      </c>
      <c r="G777" s="529">
        <v>978.29</v>
      </c>
      <c r="H777" s="529">
        <f t="shared" si="27"/>
        <v>939158.39999999991</v>
      </c>
      <c r="I777" s="779">
        <v>696</v>
      </c>
      <c r="J777" s="712">
        <f t="shared" si="29"/>
        <v>960</v>
      </c>
      <c r="K777" s="685" t="str">
        <f>UPPER((TEXT(Tabla5[[#This Row],[FECHA]],"MMM")))</f>
        <v>FEB</v>
      </c>
      <c r="L777" s="780">
        <f>YEAR(Tabla5[[#This Row],[FECHA]])</f>
        <v>2025</v>
      </c>
      <c r="M777" s="749">
        <v>378</v>
      </c>
      <c r="N777" s="441" t="s">
        <v>678</v>
      </c>
      <c r="O777" s="441" t="s">
        <v>713</v>
      </c>
      <c r="P777" s="441" t="s">
        <v>110</v>
      </c>
    </row>
    <row r="778" spans="1:16" ht="13.8">
      <c r="A778" s="531">
        <v>45697</v>
      </c>
      <c r="B778" s="340" t="s">
        <v>253</v>
      </c>
      <c r="C778" s="340" t="s">
        <v>258</v>
      </c>
      <c r="D778" s="340" t="s">
        <v>694</v>
      </c>
      <c r="E778" s="340">
        <v>96</v>
      </c>
      <c r="F778" s="340">
        <v>13</v>
      </c>
      <c r="G778" s="529">
        <v>978.29</v>
      </c>
      <c r="H778" s="529">
        <f t="shared" si="27"/>
        <v>1220905.92</v>
      </c>
      <c r="I778" s="779">
        <v>930</v>
      </c>
      <c r="J778" s="712">
        <f t="shared" si="29"/>
        <v>1248</v>
      </c>
      <c r="K778" s="685" t="str">
        <f>UPPER((TEXT(Tabla5[[#This Row],[FECHA]],"MMM")))</f>
        <v>FEB</v>
      </c>
      <c r="L778" s="780">
        <f>YEAR(Tabla5[[#This Row],[FECHA]])</f>
        <v>2025</v>
      </c>
      <c r="M778" s="749">
        <v>378</v>
      </c>
      <c r="N778" s="441" t="s">
        <v>678</v>
      </c>
      <c r="O778" s="441" t="s">
        <v>713</v>
      </c>
      <c r="P778" s="441" t="s">
        <v>110</v>
      </c>
    </row>
    <row r="779" spans="1:16" ht="13.8">
      <c r="A779" s="531">
        <v>45698</v>
      </c>
      <c r="B779" s="340" t="s">
        <v>261</v>
      </c>
      <c r="C779" s="340" t="s">
        <v>262</v>
      </c>
      <c r="D779" s="340" t="s">
        <v>260</v>
      </c>
      <c r="E779" s="340">
        <v>58</v>
      </c>
      <c r="F779" s="340">
        <v>4</v>
      </c>
      <c r="G779" s="529">
        <v>978.29</v>
      </c>
      <c r="H779" s="529">
        <f t="shared" ref="H779:H818" si="30">E779*F779*G779</f>
        <v>226963.28</v>
      </c>
      <c r="I779" s="779">
        <v>185</v>
      </c>
      <c r="J779" s="712">
        <f t="shared" si="29"/>
        <v>232</v>
      </c>
      <c r="K779" s="685" t="str">
        <f>UPPER((TEXT(Tabla5[[#This Row],[FECHA]],"MMM")))</f>
        <v>FEB</v>
      </c>
      <c r="L779" s="780">
        <f>YEAR(Tabla5[[#This Row],[FECHA]])</f>
        <v>2025</v>
      </c>
      <c r="M779" s="749">
        <v>378</v>
      </c>
      <c r="N779" s="441" t="s">
        <v>679</v>
      </c>
      <c r="O779" s="441" t="s">
        <v>712</v>
      </c>
      <c r="P779" s="441" t="s">
        <v>110</v>
      </c>
    </row>
    <row r="780" spans="1:16" ht="13.8">
      <c r="A780" s="531">
        <v>45698</v>
      </c>
      <c r="B780" s="340" t="s">
        <v>263</v>
      </c>
      <c r="C780" s="340" t="s">
        <v>264</v>
      </c>
      <c r="D780" s="340" t="s">
        <v>695</v>
      </c>
      <c r="E780" s="340">
        <v>76</v>
      </c>
      <c r="F780" s="340">
        <v>9</v>
      </c>
      <c r="G780" s="529">
        <v>978.29</v>
      </c>
      <c r="H780" s="529">
        <f t="shared" si="30"/>
        <v>669150.36</v>
      </c>
      <c r="I780" s="779">
        <v>1379</v>
      </c>
      <c r="J780" s="712">
        <f t="shared" si="29"/>
        <v>684</v>
      </c>
      <c r="K780" s="685" t="str">
        <f>UPPER((TEXT(Tabla5[[#This Row],[FECHA]],"MMM")))</f>
        <v>FEB</v>
      </c>
      <c r="L780" s="780">
        <f>YEAR(Tabla5[[#This Row],[FECHA]])</f>
        <v>2025</v>
      </c>
      <c r="M780" s="749">
        <v>378</v>
      </c>
      <c r="N780" s="441" t="s">
        <v>676</v>
      </c>
      <c r="O780" s="441" t="s">
        <v>712</v>
      </c>
      <c r="P780" s="441" t="s">
        <v>110</v>
      </c>
    </row>
    <row r="781" spans="1:16" ht="13.8">
      <c r="A781" s="531">
        <v>45699</v>
      </c>
      <c r="B781" s="340" t="s">
        <v>742</v>
      </c>
      <c r="C781" s="340" t="s">
        <v>743</v>
      </c>
      <c r="D781" s="340" t="s">
        <v>260</v>
      </c>
      <c r="E781" s="340">
        <v>58</v>
      </c>
      <c r="F781" s="340">
        <v>4</v>
      </c>
      <c r="G781" s="529">
        <v>978.29</v>
      </c>
      <c r="H781" s="529">
        <f t="shared" si="30"/>
        <v>226963.28</v>
      </c>
      <c r="I781" s="779">
        <v>232</v>
      </c>
      <c r="J781" s="712">
        <f t="shared" si="29"/>
        <v>232</v>
      </c>
      <c r="K781" s="685" t="str">
        <f>UPPER((TEXT(Tabla5[[#This Row],[FECHA]],"MMM")))</f>
        <v>FEB</v>
      </c>
      <c r="L781" s="780">
        <f>YEAR(Tabla5[[#This Row],[FECHA]])</f>
        <v>2025</v>
      </c>
      <c r="M781" s="749">
        <v>378</v>
      </c>
      <c r="N781" s="441" t="s">
        <v>679</v>
      </c>
      <c r="O781" s="441" t="s">
        <v>712</v>
      </c>
      <c r="P781" s="441" t="s">
        <v>110</v>
      </c>
    </row>
    <row r="782" spans="1:16" ht="13.8">
      <c r="A782" s="531">
        <v>45699</v>
      </c>
      <c r="B782" s="340" t="s">
        <v>744</v>
      </c>
      <c r="C782" s="340" t="s">
        <v>745</v>
      </c>
      <c r="D782" s="340" t="s">
        <v>695</v>
      </c>
      <c r="E782" s="340">
        <v>76</v>
      </c>
      <c r="F782" s="340">
        <v>9</v>
      </c>
      <c r="G782" s="529">
        <v>978.29</v>
      </c>
      <c r="H782" s="529">
        <f t="shared" si="30"/>
        <v>669150.36</v>
      </c>
      <c r="I782" s="779">
        <v>1189</v>
      </c>
      <c r="J782" s="712">
        <f t="shared" si="29"/>
        <v>684</v>
      </c>
      <c r="K782" s="685" t="str">
        <f>UPPER((TEXT(Tabla5[[#This Row],[FECHA]],"MMM")))</f>
        <v>FEB</v>
      </c>
      <c r="L782" s="780">
        <f>YEAR(Tabla5[[#This Row],[FECHA]])</f>
        <v>2025</v>
      </c>
      <c r="M782" s="749">
        <v>378</v>
      </c>
      <c r="N782" s="441" t="s">
        <v>676</v>
      </c>
      <c r="O782" s="441" t="s">
        <v>712</v>
      </c>
      <c r="P782" s="441" t="s">
        <v>110</v>
      </c>
    </row>
    <row r="783" spans="1:16" ht="13.8">
      <c r="A783" s="531">
        <v>45699</v>
      </c>
      <c r="B783" s="340" t="s">
        <v>746</v>
      </c>
      <c r="C783" s="340" t="s">
        <v>747</v>
      </c>
      <c r="D783" s="340" t="s">
        <v>260</v>
      </c>
      <c r="E783" s="340">
        <v>58</v>
      </c>
      <c r="F783" s="340">
        <v>4</v>
      </c>
      <c r="G783" s="529">
        <v>978.29</v>
      </c>
      <c r="H783" s="529">
        <f t="shared" si="30"/>
        <v>226963.28</v>
      </c>
      <c r="I783" s="779">
        <v>532</v>
      </c>
      <c r="J783" s="712">
        <f t="shared" si="29"/>
        <v>232</v>
      </c>
      <c r="K783" s="685" t="str">
        <f>UPPER((TEXT(Tabla5[[#This Row],[FECHA]],"MMM")))</f>
        <v>FEB</v>
      </c>
      <c r="L783" s="780">
        <f>YEAR(Tabla5[[#This Row],[FECHA]])</f>
        <v>2025</v>
      </c>
      <c r="M783" s="749">
        <v>378</v>
      </c>
      <c r="N783" s="441" t="s">
        <v>680</v>
      </c>
      <c r="O783" s="441" t="s">
        <v>712</v>
      </c>
      <c r="P783" s="441" t="s">
        <v>110</v>
      </c>
    </row>
    <row r="784" spans="1:16" ht="13.8">
      <c r="A784" s="531">
        <v>45700</v>
      </c>
      <c r="B784" s="340" t="s">
        <v>261</v>
      </c>
      <c r="C784" s="340" t="s">
        <v>266</v>
      </c>
      <c r="D784" s="340" t="s">
        <v>260</v>
      </c>
      <c r="E784" s="340">
        <v>58</v>
      </c>
      <c r="F784" s="340">
        <v>4</v>
      </c>
      <c r="G784" s="529">
        <v>978.29</v>
      </c>
      <c r="H784" s="529">
        <f t="shared" si="30"/>
        <v>226963.28</v>
      </c>
      <c r="I784" s="779">
        <v>212</v>
      </c>
      <c r="J784" s="712">
        <f t="shared" si="29"/>
        <v>232</v>
      </c>
      <c r="K784" s="685" t="str">
        <f>UPPER((TEXT(Tabla5[[#This Row],[FECHA]],"MMM")))</f>
        <v>FEB</v>
      </c>
      <c r="L784" s="780">
        <f>YEAR(Tabla5[[#This Row],[FECHA]])</f>
        <v>2025</v>
      </c>
      <c r="M784" s="749">
        <v>378</v>
      </c>
      <c r="N784" s="441" t="s">
        <v>679</v>
      </c>
      <c r="O784" s="441" t="s">
        <v>712</v>
      </c>
      <c r="P784" s="441" t="s">
        <v>110</v>
      </c>
    </row>
    <row r="785" spans="1:16" ht="13.8">
      <c r="A785" s="531">
        <v>45700</v>
      </c>
      <c r="B785" s="340" t="s">
        <v>263</v>
      </c>
      <c r="C785" s="340" t="s">
        <v>264</v>
      </c>
      <c r="D785" s="340" t="s">
        <v>695</v>
      </c>
      <c r="E785" s="340">
        <v>76</v>
      </c>
      <c r="F785" s="340">
        <v>9</v>
      </c>
      <c r="G785" s="529">
        <v>978.29</v>
      </c>
      <c r="H785" s="529">
        <f t="shared" si="30"/>
        <v>669150.36</v>
      </c>
      <c r="I785" s="779">
        <v>1092</v>
      </c>
      <c r="J785" s="712">
        <f t="shared" si="29"/>
        <v>684</v>
      </c>
      <c r="K785" s="685" t="str">
        <f>UPPER((TEXT(Tabla5[[#This Row],[FECHA]],"MMM")))</f>
        <v>FEB</v>
      </c>
      <c r="L785" s="780">
        <f>YEAR(Tabla5[[#This Row],[FECHA]])</f>
        <v>2025</v>
      </c>
      <c r="M785" s="749">
        <v>378</v>
      </c>
      <c r="N785" s="441" t="s">
        <v>676</v>
      </c>
      <c r="O785" s="441" t="s">
        <v>712</v>
      </c>
      <c r="P785" s="441" t="s">
        <v>110</v>
      </c>
    </row>
    <row r="786" spans="1:16" ht="13.8">
      <c r="A786" s="531">
        <v>45700</v>
      </c>
      <c r="B786" s="340" t="s">
        <v>271</v>
      </c>
      <c r="C786" s="340" t="s">
        <v>259</v>
      </c>
      <c r="D786" s="340" t="s">
        <v>260</v>
      </c>
      <c r="E786" s="340">
        <v>58</v>
      </c>
      <c r="F786" s="340">
        <v>7</v>
      </c>
      <c r="G786" s="529">
        <v>978.29</v>
      </c>
      <c r="H786" s="529">
        <f t="shared" si="30"/>
        <v>397185.74</v>
      </c>
      <c r="I786" s="779">
        <v>937</v>
      </c>
      <c r="J786" s="712">
        <f t="shared" si="29"/>
        <v>406</v>
      </c>
      <c r="K786" s="685" t="str">
        <f>UPPER((TEXT(Tabla5[[#This Row],[FECHA]],"MMM")))</f>
        <v>FEB</v>
      </c>
      <c r="L786" s="780">
        <f>YEAR(Tabla5[[#This Row],[FECHA]])</f>
        <v>2025</v>
      </c>
      <c r="M786" s="749">
        <v>378</v>
      </c>
      <c r="N786" s="441" t="s">
        <v>680</v>
      </c>
      <c r="O786" s="441" t="s">
        <v>712</v>
      </c>
      <c r="P786" s="441" t="s">
        <v>110</v>
      </c>
    </row>
    <row r="787" spans="1:16" ht="13.8">
      <c r="A787" s="531">
        <v>45703</v>
      </c>
      <c r="B787" s="340" t="s">
        <v>261</v>
      </c>
      <c r="C787" s="340" t="s">
        <v>275</v>
      </c>
      <c r="D787" s="340" t="s">
        <v>695</v>
      </c>
      <c r="E787" s="340">
        <v>76</v>
      </c>
      <c r="F787" s="340">
        <v>3</v>
      </c>
      <c r="G787" s="529">
        <v>978.29</v>
      </c>
      <c r="H787" s="529">
        <f t="shared" si="30"/>
        <v>223050.12</v>
      </c>
      <c r="I787" s="779">
        <v>400</v>
      </c>
      <c r="J787" s="712">
        <f t="shared" si="29"/>
        <v>228</v>
      </c>
      <c r="K787" s="685" t="str">
        <f>UPPER((TEXT(Tabla5[[#This Row],[FECHA]],"MMM")))</f>
        <v>FEB</v>
      </c>
      <c r="L787" s="780">
        <f>YEAR(Tabla5[[#This Row],[FECHA]])</f>
        <v>2025</v>
      </c>
      <c r="M787" s="749">
        <v>378</v>
      </c>
      <c r="N787" s="441" t="s">
        <v>676</v>
      </c>
      <c r="O787" s="441" t="s">
        <v>712</v>
      </c>
      <c r="P787" s="441" t="s">
        <v>110</v>
      </c>
    </row>
    <row r="788" spans="1:16" ht="13.8">
      <c r="A788" s="531">
        <v>45703</v>
      </c>
      <c r="B788" s="340" t="s">
        <v>263</v>
      </c>
      <c r="C788" s="340" t="s">
        <v>283</v>
      </c>
      <c r="D788" s="340" t="s">
        <v>694</v>
      </c>
      <c r="E788" s="340">
        <v>96</v>
      </c>
      <c r="F788" s="340">
        <v>14</v>
      </c>
      <c r="G788" s="529">
        <v>978.29</v>
      </c>
      <c r="H788" s="529">
        <f t="shared" si="30"/>
        <v>1314821.76</v>
      </c>
      <c r="I788" s="779">
        <v>898</v>
      </c>
      <c r="J788" s="712">
        <f t="shared" si="29"/>
        <v>1344</v>
      </c>
      <c r="K788" s="685" t="str">
        <f>UPPER((TEXT(Tabla5[[#This Row],[FECHA]],"MMM")))</f>
        <v>FEB</v>
      </c>
      <c r="L788" s="780">
        <f>YEAR(Tabla5[[#This Row],[FECHA]])</f>
        <v>2025</v>
      </c>
      <c r="M788" s="749">
        <v>378</v>
      </c>
      <c r="N788" s="441" t="s">
        <v>678</v>
      </c>
      <c r="O788" s="441" t="s">
        <v>713</v>
      </c>
      <c r="P788" s="441" t="s">
        <v>110</v>
      </c>
    </row>
    <row r="789" spans="1:16" ht="13.8">
      <c r="A789" s="531">
        <v>45705</v>
      </c>
      <c r="B789" s="340" t="s">
        <v>272</v>
      </c>
      <c r="C789" s="340" t="s">
        <v>273</v>
      </c>
      <c r="D789" s="340" t="s">
        <v>260</v>
      </c>
      <c r="E789" s="340">
        <v>58</v>
      </c>
      <c r="F789" s="340">
        <v>4</v>
      </c>
      <c r="G789" s="529">
        <v>978.29</v>
      </c>
      <c r="H789" s="529">
        <f t="shared" si="30"/>
        <v>226963.28</v>
      </c>
      <c r="I789" s="779">
        <v>183</v>
      </c>
      <c r="J789" s="712">
        <f t="shared" si="29"/>
        <v>232</v>
      </c>
      <c r="K789" s="685" t="str">
        <f>UPPER((TEXT(Tabla5[[#This Row],[FECHA]],"MMM")))</f>
        <v>FEB</v>
      </c>
      <c r="L789" s="780">
        <f>YEAR(Tabla5[[#This Row],[FECHA]])</f>
        <v>2025</v>
      </c>
      <c r="M789" s="749">
        <v>378</v>
      </c>
      <c r="N789" s="441" t="s">
        <v>679</v>
      </c>
      <c r="O789" s="441" t="s">
        <v>712</v>
      </c>
      <c r="P789" s="441" t="s">
        <v>110</v>
      </c>
    </row>
    <row r="790" spans="1:16" ht="13.8">
      <c r="A790" s="531">
        <v>45705</v>
      </c>
      <c r="B790" s="340" t="s">
        <v>271</v>
      </c>
      <c r="C790" s="340" t="s">
        <v>257</v>
      </c>
      <c r="D790" s="340" t="s">
        <v>695</v>
      </c>
      <c r="E790" s="340">
        <v>76</v>
      </c>
      <c r="F790" s="340">
        <v>9</v>
      </c>
      <c r="G790" s="529">
        <v>978.29</v>
      </c>
      <c r="H790" s="529">
        <f t="shared" si="30"/>
        <v>669150.36</v>
      </c>
      <c r="I790" s="779">
        <v>1361</v>
      </c>
      <c r="J790" s="712">
        <f t="shared" si="29"/>
        <v>684</v>
      </c>
      <c r="K790" s="685" t="str">
        <f>UPPER((TEXT(Tabla5[[#This Row],[FECHA]],"MMM")))</f>
        <v>FEB</v>
      </c>
      <c r="L790" s="780">
        <f>YEAR(Tabla5[[#This Row],[FECHA]])</f>
        <v>2025</v>
      </c>
      <c r="M790" s="749">
        <v>378</v>
      </c>
      <c r="N790" s="441" t="s">
        <v>676</v>
      </c>
      <c r="O790" s="441" t="s">
        <v>712</v>
      </c>
      <c r="P790" s="441" t="s">
        <v>110</v>
      </c>
    </row>
    <row r="791" spans="1:16" ht="13.8">
      <c r="A791" s="531">
        <v>45706</v>
      </c>
      <c r="B791" s="340" t="s">
        <v>272</v>
      </c>
      <c r="C791" s="340" t="s">
        <v>278</v>
      </c>
      <c r="D791" s="340" t="s">
        <v>260</v>
      </c>
      <c r="E791" s="340">
        <v>58</v>
      </c>
      <c r="F791" s="340">
        <v>4</v>
      </c>
      <c r="G791" s="529">
        <v>978.29</v>
      </c>
      <c r="H791" s="529">
        <f t="shared" si="30"/>
        <v>226963.28</v>
      </c>
      <c r="I791" s="779">
        <v>339</v>
      </c>
      <c r="J791" s="712">
        <f t="shared" si="29"/>
        <v>232</v>
      </c>
      <c r="K791" s="685" t="str">
        <f>UPPER((TEXT(Tabla5[[#This Row],[FECHA]],"MMM")))</f>
        <v>FEB</v>
      </c>
      <c r="L791" s="780">
        <f>YEAR(Tabla5[[#This Row],[FECHA]])</f>
        <v>2025</v>
      </c>
      <c r="M791" s="749">
        <v>378</v>
      </c>
      <c r="N791" s="441" t="s">
        <v>679</v>
      </c>
      <c r="O791" s="441" t="s">
        <v>712</v>
      </c>
      <c r="P791" s="441" t="s">
        <v>110</v>
      </c>
    </row>
    <row r="792" spans="1:16" ht="13.8">
      <c r="A792" s="531">
        <v>45706</v>
      </c>
      <c r="B792" s="340" t="s">
        <v>287</v>
      </c>
      <c r="C792" s="340" t="s">
        <v>290</v>
      </c>
      <c r="D792" s="340" t="s">
        <v>695</v>
      </c>
      <c r="E792" s="340">
        <v>76</v>
      </c>
      <c r="F792" s="340">
        <v>9</v>
      </c>
      <c r="G792" s="529">
        <v>978.29</v>
      </c>
      <c r="H792" s="529">
        <f t="shared" si="30"/>
        <v>669150.36</v>
      </c>
      <c r="I792" s="779">
        <v>1182</v>
      </c>
      <c r="J792" s="712">
        <f t="shared" si="29"/>
        <v>684</v>
      </c>
      <c r="K792" s="685" t="str">
        <f>UPPER((TEXT(Tabla5[[#This Row],[FECHA]],"MMM")))</f>
        <v>FEB</v>
      </c>
      <c r="L792" s="780">
        <f>YEAR(Tabla5[[#This Row],[FECHA]])</f>
        <v>2025</v>
      </c>
      <c r="M792" s="749">
        <v>378</v>
      </c>
      <c r="N792" s="441" t="s">
        <v>676</v>
      </c>
      <c r="O792" s="441" t="s">
        <v>712</v>
      </c>
      <c r="P792" s="441" t="s">
        <v>110</v>
      </c>
    </row>
    <row r="793" spans="1:16" ht="13.8">
      <c r="A793" s="531">
        <v>45706</v>
      </c>
      <c r="B793" s="340" t="s">
        <v>441</v>
      </c>
      <c r="C793" s="340" t="s">
        <v>262</v>
      </c>
      <c r="D793" s="340" t="s">
        <v>260</v>
      </c>
      <c r="E793" s="340">
        <v>58</v>
      </c>
      <c r="F793" s="340">
        <v>4</v>
      </c>
      <c r="G793" s="529">
        <v>978.29</v>
      </c>
      <c r="H793" s="529">
        <f t="shared" si="30"/>
        <v>226963.28</v>
      </c>
      <c r="I793" s="779">
        <v>510</v>
      </c>
      <c r="J793" s="712">
        <f t="shared" si="29"/>
        <v>232</v>
      </c>
      <c r="K793" s="685" t="str">
        <f>UPPER((TEXT(Tabla5[[#This Row],[FECHA]],"MMM")))</f>
        <v>FEB</v>
      </c>
      <c r="L793" s="780">
        <f>YEAR(Tabla5[[#This Row],[FECHA]])</f>
        <v>2025</v>
      </c>
      <c r="M793" s="749">
        <v>378</v>
      </c>
      <c r="N793" s="441" t="s">
        <v>680</v>
      </c>
      <c r="O793" s="441" t="s">
        <v>712</v>
      </c>
      <c r="P793" s="441" t="s">
        <v>110</v>
      </c>
    </row>
    <row r="794" spans="1:16" ht="13.8">
      <c r="A794" s="531">
        <v>45707</v>
      </c>
      <c r="B794" s="340" t="s">
        <v>272</v>
      </c>
      <c r="C794" s="340" t="s">
        <v>278</v>
      </c>
      <c r="D794" s="340" t="s">
        <v>260</v>
      </c>
      <c r="E794" s="340">
        <v>58</v>
      </c>
      <c r="F794" s="340">
        <v>4</v>
      </c>
      <c r="G794" s="529">
        <v>978.29</v>
      </c>
      <c r="H794" s="529">
        <f t="shared" si="30"/>
        <v>226963.28</v>
      </c>
      <c r="I794" s="779">
        <v>235</v>
      </c>
      <c r="J794" s="712">
        <f t="shared" si="29"/>
        <v>232</v>
      </c>
      <c r="K794" s="685" t="str">
        <f>UPPER((TEXT(Tabla5[[#This Row],[FECHA]],"MMM")))</f>
        <v>FEB</v>
      </c>
      <c r="L794" s="780">
        <f>YEAR(Tabla5[[#This Row],[FECHA]])</f>
        <v>2025</v>
      </c>
      <c r="M794" s="749">
        <v>378</v>
      </c>
      <c r="N794" s="441" t="s">
        <v>679</v>
      </c>
      <c r="O794" s="441" t="s">
        <v>712</v>
      </c>
      <c r="P794" s="441" t="s">
        <v>110</v>
      </c>
    </row>
    <row r="795" spans="1:16" ht="13.8">
      <c r="A795" s="531">
        <v>45707</v>
      </c>
      <c r="B795" s="340" t="s">
        <v>271</v>
      </c>
      <c r="C795" s="340" t="s">
        <v>257</v>
      </c>
      <c r="D795" s="340" t="s">
        <v>695</v>
      </c>
      <c r="E795" s="340">
        <v>76</v>
      </c>
      <c r="F795" s="340">
        <v>9</v>
      </c>
      <c r="G795" s="529">
        <v>978.29</v>
      </c>
      <c r="H795" s="529">
        <f t="shared" si="30"/>
        <v>669150.36</v>
      </c>
      <c r="I795" s="779">
        <v>1080</v>
      </c>
      <c r="J795" s="712">
        <f t="shared" si="29"/>
        <v>684</v>
      </c>
      <c r="K795" s="685" t="str">
        <f>UPPER((TEXT(Tabla5[[#This Row],[FECHA]],"MMM")))</f>
        <v>FEB</v>
      </c>
      <c r="L795" s="780">
        <f>YEAR(Tabla5[[#This Row],[FECHA]])</f>
        <v>2025</v>
      </c>
      <c r="M795" s="749">
        <v>378</v>
      </c>
      <c r="N795" s="441" t="s">
        <v>676</v>
      </c>
      <c r="O795" s="441" t="s">
        <v>712</v>
      </c>
      <c r="P795" s="441" t="s">
        <v>110</v>
      </c>
    </row>
    <row r="796" spans="1:16" ht="13.8">
      <c r="A796" s="531">
        <v>45707</v>
      </c>
      <c r="B796" s="340" t="s">
        <v>403</v>
      </c>
      <c r="C796" s="340" t="s">
        <v>404</v>
      </c>
      <c r="D796" s="340" t="s">
        <v>260</v>
      </c>
      <c r="E796" s="340">
        <v>58</v>
      </c>
      <c r="F796" s="340">
        <v>7</v>
      </c>
      <c r="G796" s="529">
        <v>978.29</v>
      </c>
      <c r="H796" s="529">
        <f t="shared" si="30"/>
        <v>397185.74</v>
      </c>
      <c r="I796" s="779">
        <v>939</v>
      </c>
      <c r="J796" s="712">
        <f t="shared" si="29"/>
        <v>406</v>
      </c>
      <c r="K796" s="685" t="str">
        <f>UPPER((TEXT(Tabla5[[#This Row],[FECHA]],"MMM")))</f>
        <v>FEB</v>
      </c>
      <c r="L796" s="780">
        <f>YEAR(Tabla5[[#This Row],[FECHA]])</f>
        <v>2025</v>
      </c>
      <c r="M796" s="749">
        <v>378</v>
      </c>
      <c r="N796" s="441" t="s">
        <v>680</v>
      </c>
      <c r="O796" s="441" t="s">
        <v>712</v>
      </c>
      <c r="P796" s="441" t="s">
        <v>110</v>
      </c>
    </row>
    <row r="797" spans="1:16" ht="13.8">
      <c r="A797" s="531">
        <v>45708</v>
      </c>
      <c r="B797" s="340" t="s">
        <v>272</v>
      </c>
      <c r="C797" s="340" t="s">
        <v>278</v>
      </c>
      <c r="D797" s="340" t="s">
        <v>260</v>
      </c>
      <c r="E797" s="340">
        <v>58</v>
      </c>
      <c r="F797" s="340">
        <v>4</v>
      </c>
      <c r="G797" s="529">
        <v>978.29</v>
      </c>
      <c r="H797" s="529">
        <f t="shared" si="30"/>
        <v>226963.28</v>
      </c>
      <c r="I797" s="779">
        <v>236</v>
      </c>
      <c r="J797" s="712">
        <f t="shared" si="29"/>
        <v>232</v>
      </c>
      <c r="K797" s="685" t="str">
        <f>UPPER((TEXT(Tabla5[[#This Row],[FECHA]],"MMM")))</f>
        <v>FEB</v>
      </c>
      <c r="L797" s="780">
        <f>YEAR(Tabla5[[#This Row],[FECHA]])</f>
        <v>2025</v>
      </c>
      <c r="M797" s="749">
        <v>378</v>
      </c>
      <c r="N797" s="441" t="s">
        <v>679</v>
      </c>
      <c r="O797" s="441" t="s">
        <v>712</v>
      </c>
      <c r="P797" s="441" t="s">
        <v>110</v>
      </c>
    </row>
    <row r="798" spans="1:16" ht="13.8">
      <c r="A798" s="531">
        <v>45708</v>
      </c>
      <c r="B798" s="340" t="s">
        <v>271</v>
      </c>
      <c r="C798" s="340" t="s">
        <v>257</v>
      </c>
      <c r="D798" s="340" t="s">
        <v>695</v>
      </c>
      <c r="E798" s="340">
        <v>76</v>
      </c>
      <c r="F798" s="340">
        <v>9</v>
      </c>
      <c r="G798" s="529">
        <v>978.29</v>
      </c>
      <c r="H798" s="529">
        <f t="shared" si="30"/>
        <v>669150.36</v>
      </c>
      <c r="I798" s="779">
        <v>1077</v>
      </c>
      <c r="J798" s="712">
        <f t="shared" si="29"/>
        <v>684</v>
      </c>
      <c r="K798" s="685" t="str">
        <f>UPPER((TEXT(Tabla5[[#This Row],[FECHA]],"MMM")))</f>
        <v>FEB</v>
      </c>
      <c r="L798" s="780">
        <f>YEAR(Tabla5[[#This Row],[FECHA]])</f>
        <v>2025</v>
      </c>
      <c r="M798" s="749">
        <v>378</v>
      </c>
      <c r="N798" s="441" t="s">
        <v>676</v>
      </c>
      <c r="O798" s="441" t="s">
        <v>712</v>
      </c>
      <c r="P798" s="441" t="s">
        <v>110</v>
      </c>
    </row>
    <row r="799" spans="1:16" ht="13.8">
      <c r="A799" s="531">
        <v>45708</v>
      </c>
      <c r="B799" s="340" t="s">
        <v>441</v>
      </c>
      <c r="C799" s="340" t="s">
        <v>262</v>
      </c>
      <c r="D799" s="340" t="s">
        <v>260</v>
      </c>
      <c r="E799" s="340">
        <v>58</v>
      </c>
      <c r="F799" s="340">
        <v>4</v>
      </c>
      <c r="G799" s="529">
        <v>978.29</v>
      </c>
      <c r="H799" s="529">
        <f t="shared" si="30"/>
        <v>226963.28</v>
      </c>
      <c r="I799" s="779">
        <v>493</v>
      </c>
      <c r="J799" s="712">
        <f t="shared" si="29"/>
        <v>232</v>
      </c>
      <c r="K799" s="685" t="str">
        <f>UPPER((TEXT(Tabla5[[#This Row],[FECHA]],"MMM")))</f>
        <v>FEB</v>
      </c>
      <c r="L799" s="780">
        <f>YEAR(Tabla5[[#This Row],[FECHA]])</f>
        <v>2025</v>
      </c>
      <c r="M799" s="749">
        <v>378</v>
      </c>
      <c r="N799" s="441" t="s">
        <v>680</v>
      </c>
      <c r="O799" s="441" t="s">
        <v>712</v>
      </c>
      <c r="P799" s="441" t="s">
        <v>110</v>
      </c>
    </row>
    <row r="800" spans="1:16" ht="13.8">
      <c r="A800" s="531">
        <v>45709</v>
      </c>
      <c r="B800" s="340" t="s">
        <v>261</v>
      </c>
      <c r="C800" s="340" t="s">
        <v>266</v>
      </c>
      <c r="D800" s="340" t="s">
        <v>260</v>
      </c>
      <c r="E800" s="340">
        <v>58</v>
      </c>
      <c r="F800" s="340">
        <v>4</v>
      </c>
      <c r="G800" s="529">
        <v>978.29</v>
      </c>
      <c r="H800" s="529">
        <f t="shared" si="30"/>
        <v>226963.28</v>
      </c>
      <c r="I800" s="779">
        <v>202</v>
      </c>
      <c r="J800" s="712">
        <f t="shared" si="29"/>
        <v>232</v>
      </c>
      <c r="K800" s="685" t="str">
        <f>UPPER((TEXT(Tabla5[[#This Row],[FECHA]],"MMM")))</f>
        <v>FEB</v>
      </c>
      <c r="L800" s="780">
        <f>YEAR(Tabla5[[#This Row],[FECHA]])</f>
        <v>2025</v>
      </c>
      <c r="M800" s="749">
        <v>378</v>
      </c>
      <c r="N800" s="441" t="s">
        <v>679</v>
      </c>
      <c r="O800" s="441" t="s">
        <v>712</v>
      </c>
      <c r="P800" s="441" t="s">
        <v>110</v>
      </c>
    </row>
    <row r="801" spans="1:16" ht="13.8">
      <c r="A801" s="531">
        <v>45709</v>
      </c>
      <c r="B801" s="340" t="s">
        <v>271</v>
      </c>
      <c r="C801" s="340" t="s">
        <v>257</v>
      </c>
      <c r="D801" s="340" t="s">
        <v>695</v>
      </c>
      <c r="E801" s="340">
        <v>76</v>
      </c>
      <c r="F801" s="340">
        <v>9</v>
      </c>
      <c r="G801" s="529">
        <v>978.29</v>
      </c>
      <c r="H801" s="529">
        <f t="shared" si="30"/>
        <v>669150.36</v>
      </c>
      <c r="I801" s="779">
        <v>1349</v>
      </c>
      <c r="J801" s="712">
        <f t="shared" si="29"/>
        <v>684</v>
      </c>
      <c r="K801" s="685" t="str">
        <f>UPPER((TEXT(Tabla5[[#This Row],[FECHA]],"MMM")))</f>
        <v>FEB</v>
      </c>
      <c r="L801" s="780">
        <f>YEAR(Tabla5[[#This Row],[FECHA]])</f>
        <v>2025</v>
      </c>
      <c r="M801" s="749">
        <v>378</v>
      </c>
      <c r="N801" s="441" t="s">
        <v>676</v>
      </c>
      <c r="O801" s="441" t="s">
        <v>712</v>
      </c>
      <c r="P801" s="441" t="s">
        <v>110</v>
      </c>
    </row>
    <row r="802" spans="1:16" ht="13.8">
      <c r="A802" s="531">
        <v>45709</v>
      </c>
      <c r="B802" s="340" t="s">
        <v>403</v>
      </c>
      <c r="C802" s="340" t="s">
        <v>404</v>
      </c>
      <c r="D802" s="340" t="s">
        <v>260</v>
      </c>
      <c r="E802" s="340">
        <v>58</v>
      </c>
      <c r="F802" s="340">
        <v>7</v>
      </c>
      <c r="G802" s="529">
        <v>978.29</v>
      </c>
      <c r="H802" s="529">
        <f t="shared" si="30"/>
        <v>397185.74</v>
      </c>
      <c r="I802" s="779">
        <v>900</v>
      </c>
      <c r="J802" s="712">
        <f t="shared" si="29"/>
        <v>406</v>
      </c>
      <c r="K802" s="685" t="str">
        <f>UPPER((TEXT(Tabla5[[#This Row],[FECHA]],"MMM")))</f>
        <v>FEB</v>
      </c>
      <c r="L802" s="780">
        <f>YEAR(Tabla5[[#This Row],[FECHA]])</f>
        <v>2025</v>
      </c>
      <c r="M802" s="749">
        <v>378</v>
      </c>
      <c r="N802" s="441" t="s">
        <v>680</v>
      </c>
      <c r="O802" s="441" t="s">
        <v>712</v>
      </c>
      <c r="P802" s="441" t="s">
        <v>110</v>
      </c>
    </row>
    <row r="803" spans="1:16" ht="13.8">
      <c r="A803" s="531">
        <v>45710</v>
      </c>
      <c r="B803" s="340" t="s">
        <v>272</v>
      </c>
      <c r="C803" s="340" t="s">
        <v>282</v>
      </c>
      <c r="D803" s="340" t="s">
        <v>695</v>
      </c>
      <c r="E803" s="340">
        <v>76</v>
      </c>
      <c r="F803" s="340">
        <v>3</v>
      </c>
      <c r="G803" s="529">
        <v>978.29</v>
      </c>
      <c r="H803" s="529">
        <f t="shared" si="30"/>
        <v>223050.12</v>
      </c>
      <c r="I803" s="779">
        <v>437</v>
      </c>
      <c r="J803" s="712">
        <f t="shared" si="29"/>
        <v>228</v>
      </c>
      <c r="K803" s="685" t="str">
        <f>UPPER((TEXT(Tabla5[[#This Row],[FECHA]],"MMM")))</f>
        <v>FEB</v>
      </c>
      <c r="L803" s="780">
        <f>YEAR(Tabla5[[#This Row],[FECHA]])</f>
        <v>2025</v>
      </c>
      <c r="M803" s="749">
        <v>378</v>
      </c>
      <c r="N803" s="441" t="s">
        <v>676</v>
      </c>
      <c r="O803" s="441" t="s">
        <v>712</v>
      </c>
      <c r="P803" s="441" t="s">
        <v>110</v>
      </c>
    </row>
    <row r="804" spans="1:16" ht="13.8">
      <c r="A804" s="531">
        <v>45710</v>
      </c>
      <c r="B804" s="340" t="s">
        <v>295</v>
      </c>
      <c r="C804" s="340" t="s">
        <v>292</v>
      </c>
      <c r="D804" s="340" t="s">
        <v>694</v>
      </c>
      <c r="E804" s="340">
        <v>96</v>
      </c>
      <c r="F804" s="340">
        <v>11</v>
      </c>
      <c r="G804" s="529">
        <v>978.29</v>
      </c>
      <c r="H804" s="529">
        <f t="shared" si="30"/>
        <v>1033074.24</v>
      </c>
      <c r="I804" s="779">
        <v>710</v>
      </c>
      <c r="J804" s="712">
        <f t="shared" si="29"/>
        <v>1056</v>
      </c>
      <c r="K804" s="685" t="str">
        <f>UPPER((TEXT(Tabla5[[#This Row],[FECHA]],"MMM")))</f>
        <v>FEB</v>
      </c>
      <c r="L804" s="780">
        <f>YEAR(Tabla5[[#This Row],[FECHA]])</f>
        <v>2025</v>
      </c>
      <c r="M804" s="749">
        <v>378</v>
      </c>
      <c r="N804" s="441" t="s">
        <v>678</v>
      </c>
      <c r="O804" s="441" t="s">
        <v>713</v>
      </c>
      <c r="P804" s="441" t="s">
        <v>110</v>
      </c>
    </row>
    <row r="805" spans="1:16" ht="13.8">
      <c r="A805" s="531">
        <v>45711</v>
      </c>
      <c r="B805" s="340" t="s">
        <v>289</v>
      </c>
      <c r="C805" s="340" t="s">
        <v>748</v>
      </c>
      <c r="D805" s="340" t="s">
        <v>694</v>
      </c>
      <c r="E805" s="340">
        <v>96</v>
      </c>
      <c r="F805" s="340">
        <v>12</v>
      </c>
      <c r="G805" s="529">
        <v>978.29</v>
      </c>
      <c r="H805" s="529">
        <f t="shared" si="30"/>
        <v>1126990.08</v>
      </c>
      <c r="I805" s="779">
        <v>784</v>
      </c>
      <c r="J805" s="712">
        <f t="shared" si="29"/>
        <v>1152</v>
      </c>
      <c r="K805" s="685" t="str">
        <f>UPPER((TEXT(Tabla5[[#This Row],[FECHA]],"MMM")))</f>
        <v>FEB</v>
      </c>
      <c r="L805" s="780">
        <f>YEAR(Tabla5[[#This Row],[FECHA]])</f>
        <v>2025</v>
      </c>
      <c r="M805" s="749">
        <v>378</v>
      </c>
      <c r="N805" s="441" t="s">
        <v>678</v>
      </c>
      <c r="O805" s="441" t="s">
        <v>713</v>
      </c>
      <c r="P805" s="441" t="s">
        <v>110</v>
      </c>
    </row>
    <row r="806" spans="1:16" ht="13.8">
      <c r="A806" s="531">
        <v>45712</v>
      </c>
      <c r="B806" s="340" t="s">
        <v>272</v>
      </c>
      <c r="C806" s="340" t="s">
        <v>273</v>
      </c>
      <c r="D806" s="340" t="s">
        <v>260</v>
      </c>
      <c r="E806" s="340">
        <v>58</v>
      </c>
      <c r="F806" s="340">
        <v>4</v>
      </c>
      <c r="G806" s="529">
        <v>978.29</v>
      </c>
      <c r="H806" s="529">
        <f t="shared" si="30"/>
        <v>226963.28</v>
      </c>
      <c r="I806" s="779">
        <v>185</v>
      </c>
      <c r="J806" s="712">
        <f t="shared" si="29"/>
        <v>232</v>
      </c>
      <c r="K806" s="685" t="str">
        <f>UPPER((TEXT(Tabla5[[#This Row],[FECHA]],"MMM")))</f>
        <v>FEB</v>
      </c>
      <c r="L806" s="780">
        <f>YEAR(Tabla5[[#This Row],[FECHA]])</f>
        <v>2025</v>
      </c>
      <c r="M806" s="749">
        <v>378</v>
      </c>
      <c r="N806" s="441" t="s">
        <v>679</v>
      </c>
      <c r="O806" s="441" t="s">
        <v>712</v>
      </c>
      <c r="P806" s="441" t="s">
        <v>110</v>
      </c>
    </row>
    <row r="807" spans="1:16" ht="13.8">
      <c r="A807" s="531">
        <v>45712</v>
      </c>
      <c r="B807" s="340" t="s">
        <v>271</v>
      </c>
      <c r="C807" s="340" t="s">
        <v>257</v>
      </c>
      <c r="D807" s="340" t="s">
        <v>695</v>
      </c>
      <c r="E807" s="340">
        <v>76</v>
      </c>
      <c r="F807" s="340">
        <v>9</v>
      </c>
      <c r="G807" s="529">
        <v>978.29</v>
      </c>
      <c r="H807" s="529">
        <f t="shared" si="30"/>
        <v>669150.36</v>
      </c>
      <c r="I807" s="779">
        <v>1305</v>
      </c>
      <c r="J807" s="712">
        <f t="shared" si="29"/>
        <v>684</v>
      </c>
      <c r="K807" s="685" t="str">
        <f>UPPER((TEXT(Tabla5[[#This Row],[FECHA]],"MMM")))</f>
        <v>FEB</v>
      </c>
      <c r="L807" s="780">
        <f>YEAR(Tabla5[[#This Row],[FECHA]])</f>
        <v>2025</v>
      </c>
      <c r="M807" s="749">
        <v>378</v>
      </c>
      <c r="N807" s="441" t="s">
        <v>676</v>
      </c>
      <c r="O807" s="441" t="s">
        <v>712</v>
      </c>
      <c r="P807" s="441" t="s">
        <v>110</v>
      </c>
    </row>
    <row r="808" spans="1:16" ht="13.8">
      <c r="A808" s="531">
        <v>45713</v>
      </c>
      <c r="B808" s="340" t="s">
        <v>272</v>
      </c>
      <c r="C808" s="340" t="s">
        <v>278</v>
      </c>
      <c r="D808" s="340" t="s">
        <v>260</v>
      </c>
      <c r="E808" s="340">
        <v>58</v>
      </c>
      <c r="F808" s="340">
        <v>4</v>
      </c>
      <c r="G808" s="529">
        <v>978.29</v>
      </c>
      <c r="H808" s="529">
        <f t="shared" si="30"/>
        <v>226963.28</v>
      </c>
      <c r="I808" s="779">
        <v>268</v>
      </c>
      <c r="J808" s="712">
        <f t="shared" si="29"/>
        <v>232</v>
      </c>
      <c r="K808" s="685" t="str">
        <f>UPPER((TEXT(Tabla5[[#This Row],[FECHA]],"MMM")))</f>
        <v>FEB</v>
      </c>
      <c r="L808" s="780">
        <f>YEAR(Tabla5[[#This Row],[FECHA]])</f>
        <v>2025</v>
      </c>
      <c r="M808" s="749">
        <v>378</v>
      </c>
      <c r="N808" s="441" t="s">
        <v>679</v>
      </c>
      <c r="O808" s="441" t="s">
        <v>712</v>
      </c>
      <c r="P808" s="441" t="s">
        <v>110</v>
      </c>
    </row>
    <row r="809" spans="1:16" ht="13.8">
      <c r="A809" s="531">
        <v>45713</v>
      </c>
      <c r="B809" s="340" t="s">
        <v>271</v>
      </c>
      <c r="C809" s="340" t="s">
        <v>257</v>
      </c>
      <c r="D809" s="340" t="s">
        <v>695</v>
      </c>
      <c r="E809" s="340">
        <v>76</v>
      </c>
      <c r="F809" s="340">
        <v>9</v>
      </c>
      <c r="G809" s="529">
        <v>978.29</v>
      </c>
      <c r="H809" s="529">
        <f t="shared" si="30"/>
        <v>669150.36</v>
      </c>
      <c r="I809" s="779">
        <v>1217</v>
      </c>
      <c r="J809" s="712">
        <f t="shared" si="29"/>
        <v>684</v>
      </c>
      <c r="K809" s="685" t="str">
        <f>UPPER((TEXT(Tabla5[[#This Row],[FECHA]],"MMM")))</f>
        <v>FEB</v>
      </c>
      <c r="L809" s="780">
        <f>YEAR(Tabla5[[#This Row],[FECHA]])</f>
        <v>2025</v>
      </c>
      <c r="M809" s="749">
        <v>378</v>
      </c>
      <c r="N809" s="441" t="s">
        <v>676</v>
      </c>
      <c r="O809" s="441" t="s">
        <v>712</v>
      </c>
      <c r="P809" s="441" t="s">
        <v>110</v>
      </c>
    </row>
    <row r="810" spans="1:16" ht="13.8">
      <c r="A810" s="531">
        <v>45713</v>
      </c>
      <c r="B810" s="340" t="s">
        <v>441</v>
      </c>
      <c r="C810" s="340" t="s">
        <v>262</v>
      </c>
      <c r="D810" s="340" t="s">
        <v>260</v>
      </c>
      <c r="E810" s="340">
        <v>58</v>
      </c>
      <c r="F810" s="340">
        <v>4</v>
      </c>
      <c r="G810" s="529">
        <v>978.29</v>
      </c>
      <c r="H810" s="529">
        <f t="shared" si="30"/>
        <v>226963.28</v>
      </c>
      <c r="I810" s="779">
        <v>464</v>
      </c>
      <c r="J810" s="712">
        <f t="shared" si="29"/>
        <v>232</v>
      </c>
      <c r="K810" s="685" t="str">
        <f>UPPER((TEXT(Tabla5[[#This Row],[FECHA]],"MMM")))</f>
        <v>FEB</v>
      </c>
      <c r="L810" s="780">
        <f>YEAR(Tabla5[[#This Row],[FECHA]])</f>
        <v>2025</v>
      </c>
      <c r="M810" s="749">
        <v>378</v>
      </c>
      <c r="N810" s="441" t="s">
        <v>680</v>
      </c>
      <c r="O810" s="441" t="s">
        <v>712</v>
      </c>
      <c r="P810" s="441" t="s">
        <v>110</v>
      </c>
    </row>
    <row r="811" spans="1:16" ht="13.8">
      <c r="A811" s="531">
        <v>45714</v>
      </c>
      <c r="B811" s="340" t="s">
        <v>261</v>
      </c>
      <c r="C811" s="340" t="s">
        <v>266</v>
      </c>
      <c r="D811" s="340" t="s">
        <v>260</v>
      </c>
      <c r="E811" s="340">
        <v>58</v>
      </c>
      <c r="F811" s="340">
        <v>4</v>
      </c>
      <c r="G811" s="529">
        <v>978.29</v>
      </c>
      <c r="H811" s="529">
        <f t="shared" si="30"/>
        <v>226963.28</v>
      </c>
      <c r="I811" s="779">
        <v>218</v>
      </c>
      <c r="J811" s="712">
        <f t="shared" si="29"/>
        <v>232</v>
      </c>
      <c r="K811" s="685" t="str">
        <f>UPPER((TEXT(Tabla5[[#This Row],[FECHA]],"MMM")))</f>
        <v>FEB</v>
      </c>
      <c r="L811" s="780">
        <f>YEAR(Tabla5[[#This Row],[FECHA]])</f>
        <v>2025</v>
      </c>
      <c r="M811" s="749">
        <v>378</v>
      </c>
      <c r="N811" s="441" t="s">
        <v>679</v>
      </c>
      <c r="O811" s="441" t="s">
        <v>712</v>
      </c>
      <c r="P811" s="441" t="s">
        <v>110</v>
      </c>
    </row>
    <row r="812" spans="1:16" ht="13.8">
      <c r="A812" s="531">
        <v>45714</v>
      </c>
      <c r="B812" s="340" t="s">
        <v>271</v>
      </c>
      <c r="C812" s="340" t="s">
        <v>257</v>
      </c>
      <c r="D812" s="340" t="s">
        <v>695</v>
      </c>
      <c r="E812" s="340">
        <v>76</v>
      </c>
      <c r="F812" s="340">
        <v>10</v>
      </c>
      <c r="G812" s="529">
        <v>978.29</v>
      </c>
      <c r="H812" s="529">
        <f t="shared" si="30"/>
        <v>743500.4</v>
      </c>
      <c r="I812" s="779">
        <v>1045</v>
      </c>
      <c r="J812" s="712">
        <f t="shared" si="29"/>
        <v>760</v>
      </c>
      <c r="K812" s="685" t="str">
        <f>UPPER((TEXT(Tabla5[[#This Row],[FECHA]],"MMM")))</f>
        <v>FEB</v>
      </c>
      <c r="L812" s="780">
        <f>YEAR(Tabla5[[#This Row],[FECHA]])</f>
        <v>2025</v>
      </c>
      <c r="M812" s="749">
        <v>378</v>
      </c>
      <c r="N812" s="441" t="s">
        <v>676</v>
      </c>
      <c r="O812" s="441" t="s">
        <v>712</v>
      </c>
      <c r="P812" s="441" t="s">
        <v>110</v>
      </c>
    </row>
    <row r="813" spans="1:16" ht="13.8">
      <c r="A813" s="531">
        <v>45714</v>
      </c>
      <c r="B813" s="340" t="s">
        <v>403</v>
      </c>
      <c r="C813" s="340" t="s">
        <v>404</v>
      </c>
      <c r="D813" s="340" t="s">
        <v>260</v>
      </c>
      <c r="E813" s="340">
        <v>58</v>
      </c>
      <c r="F813" s="340">
        <v>7</v>
      </c>
      <c r="G813" s="529">
        <v>978.29</v>
      </c>
      <c r="H813" s="529">
        <f t="shared" si="30"/>
        <v>397185.74</v>
      </c>
      <c r="I813" s="779">
        <v>937</v>
      </c>
      <c r="J813" s="712">
        <f t="shared" si="29"/>
        <v>406</v>
      </c>
      <c r="K813" s="685" t="str">
        <f>UPPER((TEXT(Tabla5[[#This Row],[FECHA]],"MMM")))</f>
        <v>FEB</v>
      </c>
      <c r="L813" s="780">
        <f>YEAR(Tabla5[[#This Row],[FECHA]])</f>
        <v>2025</v>
      </c>
      <c r="M813" s="749">
        <v>378</v>
      </c>
      <c r="N813" s="441" t="s">
        <v>680</v>
      </c>
      <c r="O813" s="441" t="s">
        <v>712</v>
      </c>
      <c r="P813" s="441" t="s">
        <v>110</v>
      </c>
    </row>
    <row r="814" spans="1:16" ht="13.8">
      <c r="A814" s="531">
        <v>45715</v>
      </c>
      <c r="B814" s="340" t="s">
        <v>261</v>
      </c>
      <c r="C814" s="340" t="s">
        <v>266</v>
      </c>
      <c r="D814" s="340" t="s">
        <v>260</v>
      </c>
      <c r="E814" s="340">
        <v>58</v>
      </c>
      <c r="F814" s="340">
        <v>4</v>
      </c>
      <c r="G814" s="529">
        <v>978.29</v>
      </c>
      <c r="H814" s="529">
        <f t="shared" si="30"/>
        <v>226963.28</v>
      </c>
      <c r="I814" s="779">
        <v>243</v>
      </c>
      <c r="J814" s="712">
        <f t="shared" si="29"/>
        <v>232</v>
      </c>
      <c r="K814" s="685" t="str">
        <f>UPPER((TEXT(Tabla5[[#This Row],[FECHA]],"MMM")))</f>
        <v>FEB</v>
      </c>
      <c r="L814" s="780">
        <f>YEAR(Tabla5[[#This Row],[FECHA]])</f>
        <v>2025</v>
      </c>
      <c r="M814" s="749">
        <v>378</v>
      </c>
      <c r="N814" s="441" t="s">
        <v>679</v>
      </c>
      <c r="O814" s="441" t="s">
        <v>712</v>
      </c>
      <c r="P814" s="441" t="s">
        <v>110</v>
      </c>
    </row>
    <row r="815" spans="1:16" ht="13.8">
      <c r="A815" s="531">
        <v>45715</v>
      </c>
      <c r="B815" s="340" t="s">
        <v>271</v>
      </c>
      <c r="C815" s="340" t="s">
        <v>257</v>
      </c>
      <c r="D815" s="340" t="s">
        <v>695</v>
      </c>
      <c r="E815" s="340">
        <v>76</v>
      </c>
      <c r="F815" s="340">
        <v>9</v>
      </c>
      <c r="G815" s="529">
        <v>978.29</v>
      </c>
      <c r="H815" s="529">
        <f t="shared" si="30"/>
        <v>669150.36</v>
      </c>
      <c r="I815" s="779">
        <v>1079</v>
      </c>
      <c r="J815" s="712">
        <f t="shared" si="29"/>
        <v>684</v>
      </c>
      <c r="K815" s="685" t="str">
        <f>UPPER((TEXT(Tabla5[[#This Row],[FECHA]],"MMM")))</f>
        <v>FEB</v>
      </c>
      <c r="L815" s="780">
        <f>YEAR(Tabla5[[#This Row],[FECHA]])</f>
        <v>2025</v>
      </c>
      <c r="M815" s="749">
        <v>378</v>
      </c>
      <c r="N815" s="441" t="s">
        <v>676</v>
      </c>
      <c r="O815" s="441" t="s">
        <v>712</v>
      </c>
      <c r="P815" s="441" t="s">
        <v>110</v>
      </c>
    </row>
    <row r="816" spans="1:16" ht="13.8">
      <c r="A816" s="531">
        <v>45715</v>
      </c>
      <c r="B816" s="340" t="s">
        <v>293</v>
      </c>
      <c r="C816" s="340" t="s">
        <v>273</v>
      </c>
      <c r="D816" s="340" t="s">
        <v>260</v>
      </c>
      <c r="E816" s="340">
        <v>58</v>
      </c>
      <c r="F816" s="340">
        <v>4</v>
      </c>
      <c r="G816" s="529">
        <v>978.29</v>
      </c>
      <c r="H816" s="529">
        <f t="shared" si="30"/>
        <v>226963.28</v>
      </c>
      <c r="I816" s="779">
        <v>586</v>
      </c>
      <c r="J816" s="712">
        <f t="shared" si="29"/>
        <v>232</v>
      </c>
      <c r="K816" s="685" t="str">
        <f>UPPER((TEXT(Tabla5[[#This Row],[FECHA]],"MMM")))</f>
        <v>FEB</v>
      </c>
      <c r="L816" s="780">
        <f>YEAR(Tabla5[[#This Row],[FECHA]])</f>
        <v>2025</v>
      </c>
      <c r="M816" s="749">
        <v>378</v>
      </c>
      <c r="N816" s="441" t="s">
        <v>680</v>
      </c>
      <c r="O816" s="441" t="s">
        <v>712</v>
      </c>
      <c r="P816" s="441" t="s">
        <v>110</v>
      </c>
    </row>
    <row r="817" spans="1:16" ht="13.8">
      <c r="A817" s="531">
        <v>45716</v>
      </c>
      <c r="B817" s="340" t="s">
        <v>261</v>
      </c>
      <c r="C817" s="340" t="s">
        <v>266</v>
      </c>
      <c r="D817" s="340" t="s">
        <v>260</v>
      </c>
      <c r="E817" s="340">
        <v>58</v>
      </c>
      <c r="F817" s="340">
        <v>3</v>
      </c>
      <c r="G817" s="529">
        <v>978.29</v>
      </c>
      <c r="H817" s="529">
        <f t="shared" si="30"/>
        <v>170222.46</v>
      </c>
      <c r="I817" s="779">
        <v>189</v>
      </c>
      <c r="J817" s="712">
        <f t="shared" si="29"/>
        <v>174</v>
      </c>
      <c r="K817" s="685" t="str">
        <f>UPPER((TEXT(Tabla5[[#This Row],[FECHA]],"MMM")))</f>
        <v>FEB</v>
      </c>
      <c r="L817" s="780">
        <f>YEAR(Tabla5[[#This Row],[FECHA]])</f>
        <v>2025</v>
      </c>
      <c r="M817" s="749">
        <v>378</v>
      </c>
      <c r="N817" s="441" t="s">
        <v>679</v>
      </c>
      <c r="O817" s="441" t="s">
        <v>712</v>
      </c>
      <c r="P817" s="441" t="s">
        <v>110</v>
      </c>
    </row>
    <row r="818" spans="1:16" ht="13.8">
      <c r="A818" s="531">
        <v>45716</v>
      </c>
      <c r="B818" s="340" t="s">
        <v>271</v>
      </c>
      <c r="C818" s="340" t="s">
        <v>257</v>
      </c>
      <c r="D818" s="340" t="s">
        <v>695</v>
      </c>
      <c r="E818" s="340">
        <v>76</v>
      </c>
      <c r="F818" s="340">
        <v>9</v>
      </c>
      <c r="G818" s="529">
        <v>978.29</v>
      </c>
      <c r="H818" s="529">
        <f t="shared" si="30"/>
        <v>669150.36</v>
      </c>
      <c r="I818" s="779">
        <v>1294</v>
      </c>
      <c r="J818" s="712">
        <f t="shared" si="29"/>
        <v>684</v>
      </c>
      <c r="K818" s="685" t="str">
        <f>UPPER((TEXT(Tabla5[[#This Row],[FECHA]],"MMM")))</f>
        <v>FEB</v>
      </c>
      <c r="L818" s="780">
        <f>YEAR(Tabla5[[#This Row],[FECHA]])</f>
        <v>2025</v>
      </c>
      <c r="M818" s="749">
        <v>378</v>
      </c>
      <c r="N818" s="441" t="s">
        <v>676</v>
      </c>
      <c r="O818" s="441" t="s">
        <v>712</v>
      </c>
      <c r="P818" s="441" t="s">
        <v>110</v>
      </c>
    </row>
    <row r="819" spans="1:16" ht="13.8">
      <c r="A819" s="531">
        <v>45716</v>
      </c>
      <c r="B819" s="340" t="s">
        <v>293</v>
      </c>
      <c r="C819" s="340" t="s">
        <v>273</v>
      </c>
      <c r="D819" s="340" t="s">
        <v>260</v>
      </c>
      <c r="E819" s="340">
        <v>58</v>
      </c>
      <c r="F819" s="340">
        <v>7</v>
      </c>
      <c r="G819" s="529">
        <v>978.29</v>
      </c>
      <c r="H819" s="529">
        <f>E819*F819*G819</f>
        <v>397185.74</v>
      </c>
      <c r="I819" s="779">
        <v>597</v>
      </c>
      <c r="J819" s="712">
        <f t="shared" si="29"/>
        <v>406</v>
      </c>
      <c r="K819" s="685" t="str">
        <f>UPPER((TEXT(Tabla5[[#This Row],[FECHA]],"MMM")))</f>
        <v>FEB</v>
      </c>
      <c r="L819" s="780">
        <f>YEAR(Tabla5[[#This Row],[FECHA]])</f>
        <v>2025</v>
      </c>
      <c r="M819" s="749">
        <v>378</v>
      </c>
      <c r="N819" s="441" t="s">
        <v>680</v>
      </c>
      <c r="O819" s="441" t="s">
        <v>712</v>
      </c>
      <c r="P819" s="441" t="s">
        <v>110</v>
      </c>
    </row>
    <row r="820" spans="1:16" ht="13.8">
      <c r="A820" s="531">
        <v>45717</v>
      </c>
      <c r="B820" s="340" t="s">
        <v>272</v>
      </c>
      <c r="C820" s="340" t="s">
        <v>282</v>
      </c>
      <c r="D820" s="340" t="s">
        <v>695</v>
      </c>
      <c r="E820" s="340">
        <v>76</v>
      </c>
      <c r="F820" s="340">
        <v>3</v>
      </c>
      <c r="G820" s="529">
        <v>978.29</v>
      </c>
      <c r="H820" s="529">
        <f t="shared" ref="H820:H883" si="31">E820*F820*G820</f>
        <v>223050.12</v>
      </c>
      <c r="I820" s="779">
        <v>104</v>
      </c>
      <c r="J820" s="712">
        <f t="shared" si="29"/>
        <v>228</v>
      </c>
      <c r="K820" s="685" t="str">
        <f>UPPER((TEXT(Tabla5[[#This Row],[FECHA]],"MMM")))</f>
        <v>MAR</v>
      </c>
      <c r="L820" s="780">
        <f>YEAR(Tabla5[[#This Row],[FECHA]])</f>
        <v>2025</v>
      </c>
      <c r="M820" s="749">
        <v>396</v>
      </c>
      <c r="N820" s="441" t="s">
        <v>676</v>
      </c>
      <c r="O820" s="441" t="s">
        <v>712</v>
      </c>
      <c r="P820" s="441" t="s">
        <v>110</v>
      </c>
    </row>
    <row r="821" spans="1:16" ht="13.8">
      <c r="A821" s="531">
        <v>45717</v>
      </c>
      <c r="B821" s="340" t="s">
        <v>287</v>
      </c>
      <c r="C821" s="340" t="s">
        <v>770</v>
      </c>
      <c r="D821" s="340" t="s">
        <v>694</v>
      </c>
      <c r="E821" s="340">
        <v>96</v>
      </c>
      <c r="F821" s="340">
        <v>12</v>
      </c>
      <c r="G821" s="529">
        <v>978.29</v>
      </c>
      <c r="H821" s="529">
        <f t="shared" si="31"/>
        <v>1126990.08</v>
      </c>
      <c r="I821" s="779">
        <v>854</v>
      </c>
      <c r="J821" s="712">
        <f t="shared" si="29"/>
        <v>1152</v>
      </c>
      <c r="K821" s="685" t="str">
        <f>UPPER((TEXT(Tabla5[[#This Row],[FECHA]],"MMM")))</f>
        <v>MAR</v>
      </c>
      <c r="L821" s="780">
        <f>YEAR(Tabla5[[#This Row],[FECHA]])</f>
        <v>2025</v>
      </c>
      <c r="M821" s="749">
        <v>396</v>
      </c>
      <c r="N821" s="441" t="s">
        <v>678</v>
      </c>
      <c r="O821" s="441" t="s">
        <v>713</v>
      </c>
      <c r="P821" s="441" t="s">
        <v>110</v>
      </c>
    </row>
    <row r="822" spans="1:16" ht="13.8">
      <c r="A822" s="531">
        <v>45718</v>
      </c>
      <c r="B822" s="340" t="s">
        <v>289</v>
      </c>
      <c r="C822" s="340" t="s">
        <v>288</v>
      </c>
      <c r="D822" s="340" t="s">
        <v>694</v>
      </c>
      <c r="E822" s="340">
        <v>96</v>
      </c>
      <c r="F822" s="340">
        <v>13</v>
      </c>
      <c r="G822" s="529">
        <v>978.29</v>
      </c>
      <c r="H822" s="529">
        <f t="shared" si="31"/>
        <v>1220905.92</v>
      </c>
      <c r="I822" s="779">
        <v>1088</v>
      </c>
      <c r="J822" s="712">
        <f t="shared" si="29"/>
        <v>1248</v>
      </c>
      <c r="K822" s="685" t="str">
        <f>UPPER((TEXT(Tabla5[[#This Row],[FECHA]],"MMM")))</f>
        <v>MAR</v>
      </c>
      <c r="L822" s="780">
        <f>YEAR(Tabla5[[#This Row],[FECHA]])</f>
        <v>2025</v>
      </c>
      <c r="M822" s="749">
        <v>396</v>
      </c>
      <c r="N822" s="441" t="s">
        <v>678</v>
      </c>
      <c r="O822" s="441" t="s">
        <v>713</v>
      </c>
      <c r="P822" s="441" t="s">
        <v>110</v>
      </c>
    </row>
    <row r="823" spans="1:16" ht="13.8">
      <c r="A823" s="531">
        <v>45719</v>
      </c>
      <c r="B823" s="340" t="s">
        <v>272</v>
      </c>
      <c r="C823" s="340" t="s">
        <v>273</v>
      </c>
      <c r="D823" s="340" t="s">
        <v>260</v>
      </c>
      <c r="E823" s="340">
        <v>58</v>
      </c>
      <c r="F823" s="340">
        <v>4</v>
      </c>
      <c r="G823" s="529">
        <v>978.29</v>
      </c>
      <c r="H823" s="529">
        <f t="shared" si="31"/>
        <v>226963.28</v>
      </c>
      <c r="I823" s="779">
        <v>185</v>
      </c>
      <c r="J823" s="712">
        <f t="shared" si="29"/>
        <v>232</v>
      </c>
      <c r="K823" s="685" t="str">
        <f>UPPER((TEXT(Tabla5[[#This Row],[FECHA]],"MMM")))</f>
        <v>MAR</v>
      </c>
      <c r="L823" s="780">
        <f>YEAR(Tabla5[[#This Row],[FECHA]])</f>
        <v>2025</v>
      </c>
      <c r="M823" s="749">
        <v>396</v>
      </c>
      <c r="N823" s="441" t="s">
        <v>679</v>
      </c>
      <c r="O823" s="441" t="s">
        <v>712</v>
      </c>
      <c r="P823" s="441" t="s">
        <v>110</v>
      </c>
    </row>
    <row r="824" spans="1:16" ht="13.8">
      <c r="A824" s="531">
        <v>45719</v>
      </c>
      <c r="B824" s="340" t="s">
        <v>271</v>
      </c>
      <c r="C824" s="340" t="s">
        <v>257</v>
      </c>
      <c r="D824" s="340" t="s">
        <v>695</v>
      </c>
      <c r="E824" s="340">
        <v>76</v>
      </c>
      <c r="F824" s="340">
        <v>9</v>
      </c>
      <c r="G824" s="529">
        <v>978.29</v>
      </c>
      <c r="H824" s="529">
        <f t="shared" si="31"/>
        <v>669150.36</v>
      </c>
      <c r="I824" s="779">
        <v>881</v>
      </c>
      <c r="J824" s="712">
        <f t="shared" ref="J824:J887" si="32">E824*F824</f>
        <v>684</v>
      </c>
      <c r="K824" s="685" t="str">
        <f>UPPER((TEXT(Tabla5[[#This Row],[FECHA]],"MMM")))</f>
        <v>MAR</v>
      </c>
      <c r="L824" s="780">
        <f>YEAR(Tabla5[[#This Row],[FECHA]])</f>
        <v>2025</v>
      </c>
      <c r="M824" s="749">
        <v>396</v>
      </c>
      <c r="N824" s="441" t="s">
        <v>676</v>
      </c>
      <c r="O824" s="441" t="s">
        <v>712</v>
      </c>
      <c r="P824" s="441" t="s">
        <v>110</v>
      </c>
    </row>
    <row r="825" spans="1:16" ht="13.8">
      <c r="A825" s="531">
        <v>45720</v>
      </c>
      <c r="B825" s="340" t="s">
        <v>272</v>
      </c>
      <c r="C825" s="340" t="s">
        <v>278</v>
      </c>
      <c r="D825" s="340" t="s">
        <v>260</v>
      </c>
      <c r="E825" s="340">
        <v>58</v>
      </c>
      <c r="F825" s="340">
        <v>4</v>
      </c>
      <c r="G825" s="529">
        <v>978.29</v>
      </c>
      <c r="H825" s="529">
        <f t="shared" si="31"/>
        <v>226963.28</v>
      </c>
      <c r="I825" s="779">
        <v>244</v>
      </c>
      <c r="J825" s="712">
        <f t="shared" si="32"/>
        <v>232</v>
      </c>
      <c r="K825" s="685" t="str">
        <f>UPPER((TEXT(Tabla5[[#This Row],[FECHA]],"MMM")))</f>
        <v>MAR</v>
      </c>
      <c r="L825" s="780">
        <f>YEAR(Tabla5[[#This Row],[FECHA]])</f>
        <v>2025</v>
      </c>
      <c r="M825" s="749">
        <v>396</v>
      </c>
      <c r="N825" s="441" t="s">
        <v>679</v>
      </c>
      <c r="O825" s="441" t="s">
        <v>712</v>
      </c>
      <c r="P825" s="441" t="s">
        <v>110</v>
      </c>
    </row>
    <row r="826" spans="1:16" ht="13.8">
      <c r="A826" s="531">
        <v>45720</v>
      </c>
      <c r="B826" s="340" t="s">
        <v>271</v>
      </c>
      <c r="C826" s="340" t="s">
        <v>257</v>
      </c>
      <c r="D826" s="340" t="s">
        <v>695</v>
      </c>
      <c r="E826" s="340">
        <v>76</v>
      </c>
      <c r="F826" s="340">
        <v>9</v>
      </c>
      <c r="G826" s="529">
        <v>978.29</v>
      </c>
      <c r="H826" s="529">
        <f t="shared" si="31"/>
        <v>669150.36</v>
      </c>
      <c r="I826" s="779">
        <v>1125</v>
      </c>
      <c r="J826" s="712">
        <f t="shared" si="32"/>
        <v>684</v>
      </c>
      <c r="K826" s="685" t="str">
        <f>UPPER((TEXT(Tabla5[[#This Row],[FECHA]],"MMM")))</f>
        <v>MAR</v>
      </c>
      <c r="L826" s="780">
        <f>YEAR(Tabla5[[#This Row],[FECHA]])</f>
        <v>2025</v>
      </c>
      <c r="M826" s="749">
        <v>396</v>
      </c>
      <c r="N826" s="441" t="s">
        <v>676</v>
      </c>
      <c r="O826" s="441" t="s">
        <v>712</v>
      </c>
      <c r="P826" s="441" t="s">
        <v>110</v>
      </c>
    </row>
    <row r="827" spans="1:16" ht="13.8">
      <c r="A827" s="531">
        <v>45720</v>
      </c>
      <c r="B827" s="340" t="s">
        <v>441</v>
      </c>
      <c r="C827" s="340" t="s">
        <v>262</v>
      </c>
      <c r="D827" s="340" t="s">
        <v>260</v>
      </c>
      <c r="E827" s="340">
        <v>58</v>
      </c>
      <c r="F827" s="340">
        <v>4</v>
      </c>
      <c r="G827" s="529">
        <v>978.29</v>
      </c>
      <c r="H827" s="529">
        <f t="shared" si="31"/>
        <v>226963.28</v>
      </c>
      <c r="I827" s="779">
        <v>513</v>
      </c>
      <c r="J827" s="712">
        <f t="shared" si="32"/>
        <v>232</v>
      </c>
      <c r="K827" s="685" t="str">
        <f>UPPER((TEXT(Tabla5[[#This Row],[FECHA]],"MMM")))</f>
        <v>MAR</v>
      </c>
      <c r="L827" s="780">
        <f>YEAR(Tabla5[[#This Row],[FECHA]])</f>
        <v>2025</v>
      </c>
      <c r="M827" s="749">
        <v>396</v>
      </c>
      <c r="N827" s="441" t="s">
        <v>680</v>
      </c>
      <c r="O827" s="441" t="s">
        <v>712</v>
      </c>
      <c r="P827" s="441" t="s">
        <v>110</v>
      </c>
    </row>
    <row r="828" spans="1:16" ht="13.8">
      <c r="A828" s="531">
        <v>45721</v>
      </c>
      <c r="B828" s="340" t="s">
        <v>261</v>
      </c>
      <c r="C828" s="340" t="s">
        <v>266</v>
      </c>
      <c r="D828" s="340" t="s">
        <v>260</v>
      </c>
      <c r="E828" s="340">
        <v>58</v>
      </c>
      <c r="F828" s="340">
        <v>4</v>
      </c>
      <c r="G828" s="529">
        <v>978.29</v>
      </c>
      <c r="H828" s="529">
        <f t="shared" si="31"/>
        <v>226963.28</v>
      </c>
      <c r="I828" s="779">
        <v>212</v>
      </c>
      <c r="J828" s="712">
        <f t="shared" si="32"/>
        <v>232</v>
      </c>
      <c r="K828" s="685" t="str">
        <f>UPPER((TEXT(Tabla5[[#This Row],[FECHA]],"MMM")))</f>
        <v>MAR</v>
      </c>
      <c r="L828" s="780">
        <f>YEAR(Tabla5[[#This Row],[FECHA]])</f>
        <v>2025</v>
      </c>
      <c r="M828" s="749">
        <v>396</v>
      </c>
      <c r="N828" s="441" t="s">
        <v>679</v>
      </c>
      <c r="O828" s="441" t="s">
        <v>712</v>
      </c>
      <c r="P828" s="441" t="s">
        <v>110</v>
      </c>
    </row>
    <row r="829" spans="1:16" ht="13.8">
      <c r="A829" s="531">
        <v>45721</v>
      </c>
      <c r="B829" s="340" t="s">
        <v>271</v>
      </c>
      <c r="C829" s="340" t="s">
        <v>257</v>
      </c>
      <c r="D829" s="340" t="s">
        <v>695</v>
      </c>
      <c r="E829" s="340">
        <v>76</v>
      </c>
      <c r="F829" s="340">
        <v>9</v>
      </c>
      <c r="G829" s="529">
        <v>978.29</v>
      </c>
      <c r="H829" s="529">
        <f t="shared" si="31"/>
        <v>669150.36</v>
      </c>
      <c r="I829" s="779">
        <v>1029</v>
      </c>
      <c r="J829" s="712">
        <f t="shared" si="32"/>
        <v>684</v>
      </c>
      <c r="K829" s="685" t="str">
        <f>UPPER((TEXT(Tabla5[[#This Row],[FECHA]],"MMM")))</f>
        <v>MAR</v>
      </c>
      <c r="L829" s="780">
        <f>YEAR(Tabla5[[#This Row],[FECHA]])</f>
        <v>2025</v>
      </c>
      <c r="M829" s="749">
        <v>396</v>
      </c>
      <c r="N829" s="441" t="s">
        <v>676</v>
      </c>
      <c r="O829" s="441" t="s">
        <v>712</v>
      </c>
      <c r="P829" s="441" t="s">
        <v>110</v>
      </c>
    </row>
    <row r="830" spans="1:16" ht="13.8">
      <c r="A830" s="531">
        <v>45721</v>
      </c>
      <c r="B830" s="340" t="s">
        <v>284</v>
      </c>
      <c r="C830" s="340" t="s">
        <v>285</v>
      </c>
      <c r="D830" s="340" t="s">
        <v>260</v>
      </c>
      <c r="E830" s="340">
        <v>58</v>
      </c>
      <c r="F830" s="340">
        <v>7</v>
      </c>
      <c r="G830" s="529">
        <v>978.29</v>
      </c>
      <c r="H830" s="529">
        <f t="shared" si="31"/>
        <v>397185.74</v>
      </c>
      <c r="I830" s="779">
        <v>899</v>
      </c>
      <c r="J830" s="712">
        <f t="shared" si="32"/>
        <v>406</v>
      </c>
      <c r="K830" s="685" t="str">
        <f>UPPER((TEXT(Tabla5[[#This Row],[FECHA]],"MMM")))</f>
        <v>MAR</v>
      </c>
      <c r="L830" s="780">
        <f>YEAR(Tabla5[[#This Row],[FECHA]])</f>
        <v>2025</v>
      </c>
      <c r="M830" s="749">
        <v>396</v>
      </c>
      <c r="N830" s="441" t="s">
        <v>680</v>
      </c>
      <c r="O830" s="441" t="s">
        <v>712</v>
      </c>
      <c r="P830" s="441" t="s">
        <v>110</v>
      </c>
    </row>
    <row r="831" spans="1:16" ht="13.8">
      <c r="A831" s="531">
        <v>45722</v>
      </c>
      <c r="B831" s="340" t="s">
        <v>261</v>
      </c>
      <c r="C831" s="340" t="s">
        <v>266</v>
      </c>
      <c r="D831" s="340" t="s">
        <v>260</v>
      </c>
      <c r="E831" s="340">
        <v>58</v>
      </c>
      <c r="F831" s="340">
        <v>4</v>
      </c>
      <c r="G831" s="529">
        <v>978.29</v>
      </c>
      <c r="H831" s="529">
        <f t="shared" si="31"/>
        <v>226963.28</v>
      </c>
      <c r="I831" s="779">
        <v>237</v>
      </c>
      <c r="J831" s="712">
        <f t="shared" si="32"/>
        <v>232</v>
      </c>
      <c r="K831" s="685" t="str">
        <f>UPPER((TEXT(Tabla5[[#This Row],[FECHA]],"MMM")))</f>
        <v>MAR</v>
      </c>
      <c r="L831" s="780">
        <f>YEAR(Tabla5[[#This Row],[FECHA]])</f>
        <v>2025</v>
      </c>
      <c r="M831" s="749">
        <v>396</v>
      </c>
      <c r="N831" s="441" t="s">
        <v>679</v>
      </c>
      <c r="O831" s="441" t="s">
        <v>712</v>
      </c>
      <c r="P831" s="441" t="s">
        <v>110</v>
      </c>
    </row>
    <row r="832" spans="1:16" ht="13.8">
      <c r="A832" s="531">
        <v>45722</v>
      </c>
      <c r="B832" s="340" t="s">
        <v>271</v>
      </c>
      <c r="C832" s="340" t="s">
        <v>257</v>
      </c>
      <c r="D832" s="340" t="s">
        <v>695</v>
      </c>
      <c r="E832" s="340">
        <v>76</v>
      </c>
      <c r="F832" s="340">
        <v>9</v>
      </c>
      <c r="G832" s="529">
        <v>978.29</v>
      </c>
      <c r="H832" s="529">
        <f t="shared" si="31"/>
        <v>669150.36</v>
      </c>
      <c r="I832" s="779">
        <v>1100</v>
      </c>
      <c r="J832" s="712">
        <f t="shared" si="32"/>
        <v>684</v>
      </c>
      <c r="K832" s="685" t="str">
        <f>UPPER((TEXT(Tabla5[[#This Row],[FECHA]],"MMM")))</f>
        <v>MAR</v>
      </c>
      <c r="L832" s="780">
        <f>YEAR(Tabla5[[#This Row],[FECHA]])</f>
        <v>2025</v>
      </c>
      <c r="M832" s="749">
        <v>396</v>
      </c>
      <c r="N832" s="441" t="s">
        <v>676</v>
      </c>
      <c r="O832" s="441" t="s">
        <v>712</v>
      </c>
      <c r="P832" s="441" t="s">
        <v>110</v>
      </c>
    </row>
    <row r="833" spans="1:16" ht="13.8">
      <c r="A833" s="531">
        <v>45722</v>
      </c>
      <c r="B833" s="340" t="s">
        <v>284</v>
      </c>
      <c r="C833" s="340" t="s">
        <v>285</v>
      </c>
      <c r="D833" s="340" t="s">
        <v>260</v>
      </c>
      <c r="E833" s="340">
        <v>58</v>
      </c>
      <c r="F833" s="340">
        <v>4</v>
      </c>
      <c r="G833" s="529">
        <v>978.29</v>
      </c>
      <c r="H833" s="529">
        <f t="shared" si="31"/>
        <v>226963.28</v>
      </c>
      <c r="I833" s="779">
        <v>623</v>
      </c>
      <c r="J833" s="712">
        <f t="shared" si="32"/>
        <v>232</v>
      </c>
      <c r="K833" s="685" t="str">
        <f>UPPER((TEXT(Tabla5[[#This Row],[FECHA]],"MMM")))</f>
        <v>MAR</v>
      </c>
      <c r="L833" s="780">
        <f>YEAR(Tabla5[[#This Row],[FECHA]])</f>
        <v>2025</v>
      </c>
      <c r="M833" s="749">
        <v>396</v>
      </c>
      <c r="N833" s="441" t="s">
        <v>680</v>
      </c>
      <c r="O833" s="441" t="s">
        <v>712</v>
      </c>
      <c r="P833" s="441" t="s">
        <v>110</v>
      </c>
    </row>
    <row r="834" spans="1:16" ht="13.8">
      <c r="A834" s="531">
        <v>45723</v>
      </c>
      <c r="B834" s="340" t="s">
        <v>272</v>
      </c>
      <c r="C834" s="340" t="s">
        <v>278</v>
      </c>
      <c r="D834" s="340" t="s">
        <v>260</v>
      </c>
      <c r="E834" s="340">
        <v>58</v>
      </c>
      <c r="F834" s="340">
        <v>4</v>
      </c>
      <c r="G834" s="529">
        <v>978.29</v>
      </c>
      <c r="H834" s="529">
        <f t="shared" si="31"/>
        <v>226963.28</v>
      </c>
      <c r="I834" s="779">
        <v>165</v>
      </c>
      <c r="J834" s="712">
        <f t="shared" si="32"/>
        <v>232</v>
      </c>
      <c r="K834" s="685" t="str">
        <f>UPPER((TEXT(Tabla5[[#This Row],[FECHA]],"MMM")))</f>
        <v>MAR</v>
      </c>
      <c r="L834" s="780">
        <f>YEAR(Tabla5[[#This Row],[FECHA]])</f>
        <v>2025</v>
      </c>
      <c r="M834" s="749">
        <v>396</v>
      </c>
      <c r="N834" s="441" t="s">
        <v>679</v>
      </c>
      <c r="O834" s="441" t="s">
        <v>712</v>
      </c>
      <c r="P834" s="441" t="s">
        <v>110</v>
      </c>
    </row>
    <row r="835" spans="1:16" ht="13.8">
      <c r="A835" s="531">
        <v>45723</v>
      </c>
      <c r="B835" s="340" t="s">
        <v>271</v>
      </c>
      <c r="C835" s="340" t="s">
        <v>257</v>
      </c>
      <c r="D835" s="340" t="s">
        <v>695</v>
      </c>
      <c r="E835" s="340">
        <v>76</v>
      </c>
      <c r="F835" s="340">
        <v>9</v>
      </c>
      <c r="G835" s="529">
        <v>978.29</v>
      </c>
      <c r="H835" s="529">
        <f t="shared" si="31"/>
        <v>669150.36</v>
      </c>
      <c r="I835" s="779">
        <v>1353</v>
      </c>
      <c r="J835" s="712">
        <f t="shared" si="32"/>
        <v>684</v>
      </c>
      <c r="K835" s="685" t="str">
        <f>UPPER((TEXT(Tabla5[[#This Row],[FECHA]],"MMM")))</f>
        <v>MAR</v>
      </c>
      <c r="L835" s="780">
        <f>YEAR(Tabla5[[#This Row],[FECHA]])</f>
        <v>2025</v>
      </c>
      <c r="M835" s="749">
        <v>396</v>
      </c>
      <c r="N835" s="441" t="s">
        <v>676</v>
      </c>
      <c r="O835" s="441" t="s">
        <v>712</v>
      </c>
      <c r="P835" s="441" t="s">
        <v>110</v>
      </c>
    </row>
    <row r="836" spans="1:16" ht="13.8">
      <c r="A836" s="531">
        <v>45723</v>
      </c>
      <c r="B836" s="340" t="s">
        <v>284</v>
      </c>
      <c r="C836" s="340" t="s">
        <v>285</v>
      </c>
      <c r="D836" s="340" t="s">
        <v>260</v>
      </c>
      <c r="E836" s="340">
        <v>58</v>
      </c>
      <c r="F836" s="340">
        <v>7</v>
      </c>
      <c r="G836" s="529">
        <v>978.29</v>
      </c>
      <c r="H836" s="529">
        <f t="shared" si="31"/>
        <v>397185.74</v>
      </c>
      <c r="I836" s="779">
        <v>755</v>
      </c>
      <c r="J836" s="712">
        <f t="shared" si="32"/>
        <v>406</v>
      </c>
      <c r="K836" s="685" t="str">
        <f>UPPER((TEXT(Tabla5[[#This Row],[FECHA]],"MMM")))</f>
        <v>MAR</v>
      </c>
      <c r="L836" s="780">
        <f>YEAR(Tabla5[[#This Row],[FECHA]])</f>
        <v>2025</v>
      </c>
      <c r="M836" s="749">
        <v>396</v>
      </c>
      <c r="N836" s="441" t="s">
        <v>680</v>
      </c>
      <c r="O836" s="441" t="s">
        <v>712</v>
      </c>
      <c r="P836" s="441" t="s">
        <v>110</v>
      </c>
    </row>
    <row r="837" spans="1:16" ht="13.8">
      <c r="A837" s="531">
        <v>45724</v>
      </c>
      <c r="B837" s="340" t="s">
        <v>272</v>
      </c>
      <c r="C837" s="340" t="s">
        <v>282</v>
      </c>
      <c r="D837" s="340" t="s">
        <v>695</v>
      </c>
      <c r="E837" s="340">
        <v>76</v>
      </c>
      <c r="F837" s="340">
        <v>3</v>
      </c>
      <c r="G837" s="529">
        <v>978.29</v>
      </c>
      <c r="H837" s="529">
        <f t="shared" si="31"/>
        <v>223050.12</v>
      </c>
      <c r="I837" s="779">
        <v>446</v>
      </c>
      <c r="J837" s="712">
        <f t="shared" si="32"/>
        <v>228</v>
      </c>
      <c r="K837" s="685" t="str">
        <f>UPPER((TEXT(Tabla5[[#This Row],[FECHA]],"MMM")))</f>
        <v>MAR</v>
      </c>
      <c r="L837" s="780">
        <f>YEAR(Tabla5[[#This Row],[FECHA]])</f>
        <v>2025</v>
      </c>
      <c r="M837" s="749">
        <v>396</v>
      </c>
      <c r="N837" s="441" t="s">
        <v>676</v>
      </c>
      <c r="O837" s="441" t="s">
        <v>712</v>
      </c>
      <c r="P837" s="441" t="s">
        <v>110</v>
      </c>
    </row>
    <row r="838" spans="1:16" ht="13.8">
      <c r="A838" s="531">
        <v>45724</v>
      </c>
      <c r="B838" s="340" t="s">
        <v>263</v>
      </c>
      <c r="C838" s="340" t="s">
        <v>264</v>
      </c>
      <c r="D838" s="340" t="s">
        <v>694</v>
      </c>
      <c r="E838" s="340">
        <v>96</v>
      </c>
      <c r="F838" s="340">
        <v>10</v>
      </c>
      <c r="G838" s="529">
        <v>978.29</v>
      </c>
      <c r="H838" s="529">
        <f t="shared" si="31"/>
        <v>939158.39999999991</v>
      </c>
      <c r="I838" s="779">
        <v>618</v>
      </c>
      <c r="J838" s="712">
        <f t="shared" si="32"/>
        <v>960</v>
      </c>
      <c r="K838" s="685" t="str">
        <f>UPPER((TEXT(Tabla5[[#This Row],[FECHA]],"MMM")))</f>
        <v>MAR</v>
      </c>
      <c r="L838" s="780">
        <f>YEAR(Tabla5[[#This Row],[FECHA]])</f>
        <v>2025</v>
      </c>
      <c r="M838" s="749">
        <v>396</v>
      </c>
      <c r="N838" s="441" t="s">
        <v>678</v>
      </c>
      <c r="O838" s="441" t="s">
        <v>713</v>
      </c>
      <c r="P838" s="441" t="s">
        <v>110</v>
      </c>
    </row>
    <row r="839" spans="1:16" ht="13.8">
      <c r="A839" s="531">
        <v>45725</v>
      </c>
      <c r="B839" s="340" t="s">
        <v>277</v>
      </c>
      <c r="C839" s="340" t="s">
        <v>264</v>
      </c>
      <c r="D839" s="340" t="s">
        <v>694</v>
      </c>
      <c r="E839" s="340">
        <v>96</v>
      </c>
      <c r="F839" s="340">
        <v>12</v>
      </c>
      <c r="G839" s="529">
        <v>978.29</v>
      </c>
      <c r="H839" s="529">
        <f t="shared" si="31"/>
        <v>1126990.08</v>
      </c>
      <c r="I839" s="779">
        <v>948</v>
      </c>
      <c r="J839" s="712">
        <f t="shared" si="32"/>
        <v>1152</v>
      </c>
      <c r="K839" s="685" t="str">
        <f>UPPER((TEXT(Tabla5[[#This Row],[FECHA]],"MMM")))</f>
        <v>MAR</v>
      </c>
      <c r="L839" s="780">
        <f>YEAR(Tabla5[[#This Row],[FECHA]])</f>
        <v>2025</v>
      </c>
      <c r="M839" s="749">
        <v>396</v>
      </c>
      <c r="N839" s="441" t="s">
        <v>678</v>
      </c>
      <c r="O839" s="441" t="s">
        <v>713</v>
      </c>
      <c r="P839" s="441" t="s">
        <v>110</v>
      </c>
    </row>
    <row r="840" spans="1:16" ht="13.8">
      <c r="A840" s="531">
        <v>45726</v>
      </c>
      <c r="B840" s="340" t="s">
        <v>261</v>
      </c>
      <c r="C840" s="340" t="s">
        <v>266</v>
      </c>
      <c r="D840" s="340" t="s">
        <v>260</v>
      </c>
      <c r="E840" s="340">
        <v>58</v>
      </c>
      <c r="F840" s="340">
        <v>4</v>
      </c>
      <c r="G840" s="529">
        <v>978.29</v>
      </c>
      <c r="H840" s="529">
        <f t="shared" si="31"/>
        <v>226963.28</v>
      </c>
      <c r="I840" s="779">
        <v>189</v>
      </c>
      <c r="J840" s="712">
        <f t="shared" si="32"/>
        <v>232</v>
      </c>
      <c r="K840" s="685" t="str">
        <f>UPPER((TEXT(Tabla5[[#This Row],[FECHA]],"MMM")))</f>
        <v>MAR</v>
      </c>
      <c r="L840" s="780">
        <f>YEAR(Tabla5[[#This Row],[FECHA]])</f>
        <v>2025</v>
      </c>
      <c r="M840" s="749">
        <v>396</v>
      </c>
      <c r="N840" s="441" t="s">
        <v>679</v>
      </c>
      <c r="O840" s="441" t="s">
        <v>712</v>
      </c>
      <c r="P840" s="441" t="s">
        <v>110</v>
      </c>
    </row>
    <row r="841" spans="1:16" ht="13.8">
      <c r="A841" s="531">
        <v>45726</v>
      </c>
      <c r="B841" s="340" t="s">
        <v>271</v>
      </c>
      <c r="C841" s="340" t="s">
        <v>257</v>
      </c>
      <c r="D841" s="340" t="s">
        <v>695</v>
      </c>
      <c r="E841" s="340">
        <v>76</v>
      </c>
      <c r="F841" s="340">
        <v>9</v>
      </c>
      <c r="G841" s="529">
        <v>978.29</v>
      </c>
      <c r="H841" s="529">
        <f t="shared" si="31"/>
        <v>669150.36</v>
      </c>
      <c r="I841" s="779">
        <v>1242</v>
      </c>
      <c r="J841" s="712">
        <f t="shared" si="32"/>
        <v>684</v>
      </c>
      <c r="K841" s="685" t="str">
        <f>UPPER((TEXT(Tabla5[[#This Row],[FECHA]],"MMM")))</f>
        <v>MAR</v>
      </c>
      <c r="L841" s="780">
        <f>YEAR(Tabla5[[#This Row],[FECHA]])</f>
        <v>2025</v>
      </c>
      <c r="M841" s="749">
        <v>396</v>
      </c>
      <c r="N841" s="441" t="s">
        <v>676</v>
      </c>
      <c r="O841" s="441" t="s">
        <v>712</v>
      </c>
      <c r="P841" s="441" t="s">
        <v>110</v>
      </c>
    </row>
    <row r="842" spans="1:16" ht="13.8">
      <c r="A842" s="531">
        <v>45727</v>
      </c>
      <c r="B842" s="340" t="s">
        <v>261</v>
      </c>
      <c r="C842" s="340" t="s">
        <v>266</v>
      </c>
      <c r="D842" s="340" t="s">
        <v>260</v>
      </c>
      <c r="E842" s="340">
        <v>58</v>
      </c>
      <c r="F842" s="340">
        <v>4</v>
      </c>
      <c r="G842" s="529">
        <v>978.29</v>
      </c>
      <c r="H842" s="529">
        <f t="shared" si="31"/>
        <v>226963.28</v>
      </c>
      <c r="I842" s="779">
        <v>232</v>
      </c>
      <c r="J842" s="712">
        <f t="shared" si="32"/>
        <v>232</v>
      </c>
      <c r="K842" s="685" t="str">
        <f>UPPER((TEXT(Tabla5[[#This Row],[FECHA]],"MMM")))</f>
        <v>MAR</v>
      </c>
      <c r="L842" s="780">
        <f>YEAR(Tabla5[[#This Row],[FECHA]])</f>
        <v>2025</v>
      </c>
      <c r="M842" s="749">
        <v>396</v>
      </c>
      <c r="N842" s="441" t="s">
        <v>679</v>
      </c>
      <c r="O842" s="441" t="s">
        <v>712</v>
      </c>
      <c r="P842" s="441" t="s">
        <v>110</v>
      </c>
    </row>
    <row r="843" spans="1:16" ht="13.8">
      <c r="A843" s="531">
        <v>45727</v>
      </c>
      <c r="B843" s="340" t="s">
        <v>271</v>
      </c>
      <c r="C843" s="340" t="s">
        <v>257</v>
      </c>
      <c r="D843" s="340" t="s">
        <v>695</v>
      </c>
      <c r="E843" s="340">
        <v>76</v>
      </c>
      <c r="F843" s="340">
        <v>9</v>
      </c>
      <c r="G843" s="529">
        <v>978.29</v>
      </c>
      <c r="H843" s="529">
        <f t="shared" si="31"/>
        <v>669150.36</v>
      </c>
      <c r="I843" s="779">
        <v>1151</v>
      </c>
      <c r="J843" s="712">
        <f t="shared" si="32"/>
        <v>684</v>
      </c>
      <c r="K843" s="685" t="str">
        <f>UPPER((TEXT(Tabla5[[#This Row],[FECHA]],"MMM")))</f>
        <v>MAR</v>
      </c>
      <c r="L843" s="780">
        <f>YEAR(Tabla5[[#This Row],[FECHA]])</f>
        <v>2025</v>
      </c>
      <c r="M843" s="749">
        <v>396</v>
      </c>
      <c r="N843" s="441" t="s">
        <v>676</v>
      </c>
      <c r="O843" s="441" t="s">
        <v>712</v>
      </c>
      <c r="P843" s="441" t="s">
        <v>110</v>
      </c>
    </row>
    <row r="844" spans="1:16" ht="13.8">
      <c r="A844" s="531">
        <v>45727</v>
      </c>
      <c r="B844" s="340" t="s">
        <v>293</v>
      </c>
      <c r="C844" s="340" t="s">
        <v>273</v>
      </c>
      <c r="D844" s="340" t="s">
        <v>260</v>
      </c>
      <c r="E844" s="340">
        <v>58</v>
      </c>
      <c r="F844" s="340">
        <v>4</v>
      </c>
      <c r="G844" s="529">
        <v>978.29</v>
      </c>
      <c r="H844" s="529">
        <f t="shared" si="31"/>
        <v>226963.28</v>
      </c>
      <c r="I844" s="779">
        <v>469</v>
      </c>
      <c r="J844" s="712">
        <f t="shared" si="32"/>
        <v>232</v>
      </c>
      <c r="K844" s="685" t="str">
        <f>UPPER((TEXT(Tabla5[[#This Row],[FECHA]],"MMM")))</f>
        <v>MAR</v>
      </c>
      <c r="L844" s="780">
        <f>YEAR(Tabla5[[#This Row],[FECHA]])</f>
        <v>2025</v>
      </c>
      <c r="M844" s="749">
        <v>396</v>
      </c>
      <c r="N844" s="441" t="s">
        <v>680</v>
      </c>
      <c r="O844" s="441" t="s">
        <v>712</v>
      </c>
      <c r="P844" s="441" t="s">
        <v>110</v>
      </c>
    </row>
    <row r="845" spans="1:16" ht="13.8">
      <c r="A845" s="531">
        <v>45728</v>
      </c>
      <c r="B845" s="340" t="s">
        <v>272</v>
      </c>
      <c r="C845" s="340" t="s">
        <v>278</v>
      </c>
      <c r="D845" s="340" t="s">
        <v>260</v>
      </c>
      <c r="E845" s="340">
        <v>58</v>
      </c>
      <c r="F845" s="340">
        <v>4</v>
      </c>
      <c r="G845" s="529">
        <v>978.29</v>
      </c>
      <c r="H845" s="529">
        <f t="shared" si="31"/>
        <v>226963.28</v>
      </c>
      <c r="I845" s="779">
        <v>226</v>
      </c>
      <c r="J845" s="712">
        <f t="shared" si="32"/>
        <v>232</v>
      </c>
      <c r="K845" s="685" t="str">
        <f>UPPER((TEXT(Tabla5[[#This Row],[FECHA]],"MMM")))</f>
        <v>MAR</v>
      </c>
      <c r="L845" s="780">
        <f>YEAR(Tabla5[[#This Row],[FECHA]])</f>
        <v>2025</v>
      </c>
      <c r="M845" s="749">
        <v>396</v>
      </c>
      <c r="N845" s="441" t="s">
        <v>679</v>
      </c>
      <c r="O845" s="441" t="s">
        <v>712</v>
      </c>
      <c r="P845" s="441" t="s">
        <v>110</v>
      </c>
    </row>
    <row r="846" spans="1:16" ht="13.8">
      <c r="A846" s="531">
        <v>45728</v>
      </c>
      <c r="B846" s="340" t="s">
        <v>271</v>
      </c>
      <c r="C846" s="340" t="s">
        <v>257</v>
      </c>
      <c r="D846" s="340" t="s">
        <v>695</v>
      </c>
      <c r="E846" s="340">
        <v>76</v>
      </c>
      <c r="F846" s="340">
        <v>9</v>
      </c>
      <c r="G846" s="529">
        <v>978.29</v>
      </c>
      <c r="H846" s="529">
        <f t="shared" si="31"/>
        <v>669150.36</v>
      </c>
      <c r="I846" s="779">
        <v>1102</v>
      </c>
      <c r="J846" s="712">
        <f t="shared" si="32"/>
        <v>684</v>
      </c>
      <c r="K846" s="685" t="str">
        <f>UPPER((TEXT(Tabla5[[#This Row],[FECHA]],"MMM")))</f>
        <v>MAR</v>
      </c>
      <c r="L846" s="780">
        <f>YEAR(Tabla5[[#This Row],[FECHA]])</f>
        <v>2025</v>
      </c>
      <c r="M846" s="749">
        <v>396</v>
      </c>
      <c r="N846" s="441" t="s">
        <v>676</v>
      </c>
      <c r="O846" s="441" t="s">
        <v>712</v>
      </c>
      <c r="P846" s="441" t="s">
        <v>110</v>
      </c>
    </row>
    <row r="847" spans="1:16" ht="13.8">
      <c r="A847" s="531">
        <v>45728</v>
      </c>
      <c r="B847" s="340" t="s">
        <v>284</v>
      </c>
      <c r="C847" s="340" t="s">
        <v>285</v>
      </c>
      <c r="D847" s="340" t="s">
        <v>260</v>
      </c>
      <c r="E847" s="340">
        <v>58</v>
      </c>
      <c r="F847" s="340">
        <v>7</v>
      </c>
      <c r="G847" s="529">
        <v>978.29</v>
      </c>
      <c r="H847" s="529">
        <f t="shared" si="31"/>
        <v>397185.74</v>
      </c>
      <c r="I847" s="779">
        <v>812</v>
      </c>
      <c r="J847" s="712">
        <f t="shared" si="32"/>
        <v>406</v>
      </c>
      <c r="K847" s="685" t="str">
        <f>UPPER((TEXT(Tabla5[[#This Row],[FECHA]],"MMM")))</f>
        <v>MAR</v>
      </c>
      <c r="L847" s="780">
        <f>YEAR(Tabla5[[#This Row],[FECHA]])</f>
        <v>2025</v>
      </c>
      <c r="M847" s="749">
        <v>396</v>
      </c>
      <c r="N847" s="441" t="s">
        <v>680</v>
      </c>
      <c r="O847" s="441" t="s">
        <v>712</v>
      </c>
      <c r="P847" s="441" t="s">
        <v>110</v>
      </c>
    </row>
    <row r="848" spans="1:16" ht="13.8">
      <c r="A848" s="531">
        <v>45729</v>
      </c>
      <c r="B848" s="340" t="s">
        <v>272</v>
      </c>
      <c r="C848" s="340" t="s">
        <v>278</v>
      </c>
      <c r="D848" s="340" t="s">
        <v>260</v>
      </c>
      <c r="E848" s="340">
        <v>58</v>
      </c>
      <c r="F848" s="340">
        <v>4</v>
      </c>
      <c r="G848" s="529">
        <v>978.29</v>
      </c>
      <c r="H848" s="529">
        <f t="shared" si="31"/>
        <v>226963.28</v>
      </c>
      <c r="I848" s="779">
        <v>240</v>
      </c>
      <c r="J848" s="712">
        <f t="shared" si="32"/>
        <v>232</v>
      </c>
      <c r="K848" s="685" t="str">
        <f>UPPER((TEXT(Tabla5[[#This Row],[FECHA]],"MMM")))</f>
        <v>MAR</v>
      </c>
      <c r="L848" s="780">
        <f>YEAR(Tabla5[[#This Row],[FECHA]])</f>
        <v>2025</v>
      </c>
      <c r="M848" s="749">
        <v>396</v>
      </c>
      <c r="N848" s="441" t="s">
        <v>679</v>
      </c>
      <c r="O848" s="441" t="s">
        <v>712</v>
      </c>
      <c r="P848" s="441" t="s">
        <v>110</v>
      </c>
    </row>
    <row r="849" spans="1:16" ht="13.8">
      <c r="A849" s="531">
        <v>45729</v>
      </c>
      <c r="B849" s="340" t="s">
        <v>271</v>
      </c>
      <c r="C849" s="340" t="s">
        <v>257</v>
      </c>
      <c r="D849" s="340" t="s">
        <v>695</v>
      </c>
      <c r="E849" s="340">
        <v>76</v>
      </c>
      <c r="F849" s="340">
        <v>9</v>
      </c>
      <c r="G849" s="529">
        <v>978.29</v>
      </c>
      <c r="H849" s="529">
        <f t="shared" si="31"/>
        <v>669150.36</v>
      </c>
      <c r="I849" s="779">
        <v>981</v>
      </c>
      <c r="J849" s="712">
        <f t="shared" si="32"/>
        <v>684</v>
      </c>
      <c r="K849" s="685" t="str">
        <f>UPPER((TEXT(Tabla5[[#This Row],[FECHA]],"MMM")))</f>
        <v>MAR</v>
      </c>
      <c r="L849" s="780">
        <f>YEAR(Tabla5[[#This Row],[FECHA]])</f>
        <v>2025</v>
      </c>
      <c r="M849" s="749">
        <v>396</v>
      </c>
      <c r="N849" s="441" t="s">
        <v>676</v>
      </c>
      <c r="O849" s="441" t="s">
        <v>712</v>
      </c>
      <c r="P849" s="441" t="s">
        <v>110</v>
      </c>
    </row>
    <row r="850" spans="1:16" ht="13.8">
      <c r="A850" s="531">
        <v>45729</v>
      </c>
      <c r="B850" s="340" t="s">
        <v>284</v>
      </c>
      <c r="C850" s="340" t="s">
        <v>285</v>
      </c>
      <c r="D850" s="340" t="s">
        <v>260</v>
      </c>
      <c r="E850" s="340">
        <v>58</v>
      </c>
      <c r="F850" s="340">
        <v>4</v>
      </c>
      <c r="G850" s="529">
        <v>978.29</v>
      </c>
      <c r="H850" s="529">
        <f t="shared" si="31"/>
        <v>226963.28</v>
      </c>
      <c r="I850" s="779">
        <v>580</v>
      </c>
      <c r="J850" s="712">
        <f t="shared" si="32"/>
        <v>232</v>
      </c>
      <c r="K850" s="685" t="str">
        <f>UPPER((TEXT(Tabla5[[#This Row],[FECHA]],"MMM")))</f>
        <v>MAR</v>
      </c>
      <c r="L850" s="780">
        <f>YEAR(Tabla5[[#This Row],[FECHA]])</f>
        <v>2025</v>
      </c>
      <c r="M850" s="749">
        <v>396</v>
      </c>
      <c r="N850" s="441" t="s">
        <v>680</v>
      </c>
      <c r="O850" s="441" t="s">
        <v>712</v>
      </c>
      <c r="P850" s="441" t="s">
        <v>110</v>
      </c>
    </row>
    <row r="851" spans="1:16" ht="13.8">
      <c r="A851" s="531">
        <v>45730</v>
      </c>
      <c r="B851" s="340" t="s">
        <v>261</v>
      </c>
      <c r="C851" s="340" t="s">
        <v>266</v>
      </c>
      <c r="D851" s="340" t="s">
        <v>260</v>
      </c>
      <c r="E851" s="340">
        <v>58</v>
      </c>
      <c r="F851" s="340">
        <v>4</v>
      </c>
      <c r="G851" s="529">
        <v>978.29</v>
      </c>
      <c r="H851" s="529">
        <f t="shared" si="31"/>
        <v>226963.28</v>
      </c>
      <c r="I851" s="779">
        <v>178</v>
      </c>
      <c r="J851" s="712">
        <f t="shared" si="32"/>
        <v>232</v>
      </c>
      <c r="K851" s="685" t="str">
        <f>UPPER((TEXT(Tabla5[[#This Row],[FECHA]],"MMM")))</f>
        <v>MAR</v>
      </c>
      <c r="L851" s="780">
        <f>YEAR(Tabla5[[#This Row],[FECHA]])</f>
        <v>2025</v>
      </c>
      <c r="M851" s="749">
        <v>396</v>
      </c>
      <c r="N851" s="441" t="s">
        <v>679</v>
      </c>
      <c r="O851" s="441" t="s">
        <v>712</v>
      </c>
      <c r="P851" s="441" t="s">
        <v>110</v>
      </c>
    </row>
    <row r="852" spans="1:16" ht="13.8">
      <c r="A852" s="531">
        <v>45730</v>
      </c>
      <c r="B852" s="340" t="s">
        <v>271</v>
      </c>
      <c r="C852" s="340" t="s">
        <v>257</v>
      </c>
      <c r="D852" s="340" t="s">
        <v>695</v>
      </c>
      <c r="E852" s="340">
        <v>76</v>
      </c>
      <c r="F852" s="340">
        <v>9</v>
      </c>
      <c r="G852" s="529">
        <v>978.29</v>
      </c>
      <c r="H852" s="529">
        <f t="shared" si="31"/>
        <v>669150.36</v>
      </c>
      <c r="I852" s="779">
        <v>1405</v>
      </c>
      <c r="J852" s="712">
        <f t="shared" si="32"/>
        <v>684</v>
      </c>
      <c r="K852" s="685" t="str">
        <f>UPPER((TEXT(Tabla5[[#This Row],[FECHA]],"MMM")))</f>
        <v>MAR</v>
      </c>
      <c r="L852" s="780">
        <f>YEAR(Tabla5[[#This Row],[FECHA]])</f>
        <v>2025</v>
      </c>
      <c r="M852" s="749">
        <v>396</v>
      </c>
      <c r="N852" s="441" t="s">
        <v>676</v>
      </c>
      <c r="O852" s="441" t="s">
        <v>712</v>
      </c>
      <c r="P852" s="441" t="s">
        <v>110</v>
      </c>
    </row>
    <row r="853" spans="1:16" ht="13.8">
      <c r="A853" s="531">
        <v>45730</v>
      </c>
      <c r="B853" s="340" t="s">
        <v>284</v>
      </c>
      <c r="C853" s="340" t="s">
        <v>285</v>
      </c>
      <c r="D853" s="340" t="s">
        <v>260</v>
      </c>
      <c r="E853" s="340">
        <v>58</v>
      </c>
      <c r="F853" s="340">
        <v>7</v>
      </c>
      <c r="G853" s="529">
        <v>978.29</v>
      </c>
      <c r="H853" s="529">
        <f t="shared" si="31"/>
        <v>397185.74</v>
      </c>
      <c r="I853" s="779">
        <v>808</v>
      </c>
      <c r="J853" s="712">
        <f t="shared" si="32"/>
        <v>406</v>
      </c>
      <c r="K853" s="685" t="str">
        <f>UPPER((TEXT(Tabla5[[#This Row],[FECHA]],"MMM")))</f>
        <v>MAR</v>
      </c>
      <c r="L853" s="780">
        <f>YEAR(Tabla5[[#This Row],[FECHA]])</f>
        <v>2025</v>
      </c>
      <c r="M853" s="749">
        <v>396</v>
      </c>
      <c r="N853" s="441" t="s">
        <v>680</v>
      </c>
      <c r="O853" s="441" t="s">
        <v>712</v>
      </c>
      <c r="P853" s="441" t="s">
        <v>110</v>
      </c>
    </row>
    <row r="854" spans="1:16" ht="13.8">
      <c r="A854" s="531">
        <v>45731</v>
      </c>
      <c r="B854" s="340" t="s">
        <v>272</v>
      </c>
      <c r="C854" s="340" t="s">
        <v>282</v>
      </c>
      <c r="D854" s="340" t="s">
        <v>695</v>
      </c>
      <c r="E854" s="340">
        <v>76</v>
      </c>
      <c r="F854" s="340">
        <v>3</v>
      </c>
      <c r="G854" s="529">
        <v>978.29</v>
      </c>
      <c r="H854" s="529">
        <f t="shared" si="31"/>
        <v>223050.12</v>
      </c>
      <c r="I854" s="779">
        <v>331</v>
      </c>
      <c r="J854" s="712">
        <f t="shared" si="32"/>
        <v>228</v>
      </c>
      <c r="K854" s="685" t="str">
        <f>UPPER((TEXT(Tabla5[[#This Row],[FECHA]],"MMM")))</f>
        <v>MAR</v>
      </c>
      <c r="L854" s="780">
        <f>YEAR(Tabla5[[#This Row],[FECHA]])</f>
        <v>2025</v>
      </c>
      <c r="M854" s="749">
        <v>396</v>
      </c>
      <c r="N854" s="441" t="s">
        <v>676</v>
      </c>
      <c r="O854" s="441" t="s">
        <v>712</v>
      </c>
      <c r="P854" s="441" t="s">
        <v>110</v>
      </c>
    </row>
    <row r="855" spans="1:16" ht="13.8">
      <c r="A855" s="531">
        <v>45731</v>
      </c>
      <c r="B855" s="340" t="s">
        <v>263</v>
      </c>
      <c r="C855" s="340" t="s">
        <v>283</v>
      </c>
      <c r="D855" s="340" t="s">
        <v>694</v>
      </c>
      <c r="E855" s="340">
        <v>96</v>
      </c>
      <c r="F855" s="340">
        <v>12</v>
      </c>
      <c r="G855" s="529">
        <v>978.29</v>
      </c>
      <c r="H855" s="529">
        <f t="shared" si="31"/>
        <v>1126990.08</v>
      </c>
      <c r="I855" s="779">
        <v>710</v>
      </c>
      <c r="J855" s="712">
        <f t="shared" si="32"/>
        <v>1152</v>
      </c>
      <c r="K855" s="685" t="str">
        <f>UPPER((TEXT(Tabla5[[#This Row],[FECHA]],"MMM")))</f>
        <v>MAR</v>
      </c>
      <c r="L855" s="780">
        <f>YEAR(Tabla5[[#This Row],[FECHA]])</f>
        <v>2025</v>
      </c>
      <c r="M855" s="749">
        <v>396</v>
      </c>
      <c r="N855" s="441" t="s">
        <v>678</v>
      </c>
      <c r="O855" s="441" t="s">
        <v>713</v>
      </c>
      <c r="P855" s="441" t="s">
        <v>110</v>
      </c>
    </row>
    <row r="856" spans="1:16" ht="13.8">
      <c r="A856" s="531">
        <v>45732</v>
      </c>
      <c r="B856" s="340" t="s">
        <v>771</v>
      </c>
      <c r="C856" s="340" t="s">
        <v>257</v>
      </c>
      <c r="D856" s="340" t="s">
        <v>694</v>
      </c>
      <c r="E856" s="340">
        <v>96</v>
      </c>
      <c r="F856" s="340">
        <v>15</v>
      </c>
      <c r="G856" s="529">
        <v>978.29</v>
      </c>
      <c r="H856" s="529">
        <f t="shared" si="31"/>
        <v>1408737.5999999999</v>
      </c>
      <c r="I856" s="779">
        <v>1182</v>
      </c>
      <c r="J856" s="712">
        <f t="shared" si="32"/>
        <v>1440</v>
      </c>
      <c r="K856" s="685" t="str">
        <f>UPPER((TEXT(Tabla5[[#This Row],[FECHA]],"MMM")))</f>
        <v>MAR</v>
      </c>
      <c r="L856" s="780">
        <f>YEAR(Tabla5[[#This Row],[FECHA]])</f>
        <v>2025</v>
      </c>
      <c r="M856" s="749">
        <v>396</v>
      </c>
      <c r="N856" s="441" t="s">
        <v>678</v>
      </c>
      <c r="O856" s="441" t="s">
        <v>713</v>
      </c>
      <c r="P856" s="441" t="s">
        <v>110</v>
      </c>
    </row>
    <row r="857" spans="1:16" ht="13.8">
      <c r="A857" s="531">
        <v>45733</v>
      </c>
      <c r="B857" s="340" t="s">
        <v>261</v>
      </c>
      <c r="C857" s="340" t="s">
        <v>262</v>
      </c>
      <c r="D857" s="340" t="s">
        <v>260</v>
      </c>
      <c r="E857" s="340">
        <v>58</v>
      </c>
      <c r="F857" s="340">
        <v>4</v>
      </c>
      <c r="G857" s="529">
        <v>978.29</v>
      </c>
      <c r="H857" s="529">
        <f t="shared" si="31"/>
        <v>226963.28</v>
      </c>
      <c r="I857" s="779">
        <v>191</v>
      </c>
      <c r="J857" s="712">
        <f t="shared" si="32"/>
        <v>232</v>
      </c>
      <c r="K857" s="685" t="str">
        <f>UPPER((TEXT(Tabla5[[#This Row],[FECHA]],"MMM")))</f>
        <v>MAR</v>
      </c>
      <c r="L857" s="780">
        <f>YEAR(Tabla5[[#This Row],[FECHA]])</f>
        <v>2025</v>
      </c>
      <c r="M857" s="749">
        <v>396</v>
      </c>
      <c r="N857" s="441" t="s">
        <v>679</v>
      </c>
      <c r="O857" s="441" t="s">
        <v>712</v>
      </c>
      <c r="P857" s="441" t="s">
        <v>110</v>
      </c>
    </row>
    <row r="858" spans="1:16" ht="13.8">
      <c r="A858" s="531">
        <v>45733</v>
      </c>
      <c r="B858" s="340" t="s">
        <v>263</v>
      </c>
      <c r="C858" s="340" t="s">
        <v>264</v>
      </c>
      <c r="D858" s="340" t="s">
        <v>695</v>
      </c>
      <c r="E858" s="340">
        <v>76</v>
      </c>
      <c r="F858" s="340">
        <v>9</v>
      </c>
      <c r="G858" s="529">
        <v>978.29</v>
      </c>
      <c r="H858" s="529">
        <f t="shared" si="31"/>
        <v>669150.36</v>
      </c>
      <c r="I858" s="779">
        <v>1328</v>
      </c>
      <c r="J858" s="712">
        <f t="shared" si="32"/>
        <v>684</v>
      </c>
      <c r="K858" s="685" t="str">
        <f>UPPER((TEXT(Tabla5[[#This Row],[FECHA]],"MMM")))</f>
        <v>MAR</v>
      </c>
      <c r="L858" s="780">
        <f>YEAR(Tabla5[[#This Row],[FECHA]])</f>
        <v>2025</v>
      </c>
      <c r="M858" s="749">
        <v>396</v>
      </c>
      <c r="N858" s="441" t="s">
        <v>676</v>
      </c>
      <c r="O858" s="441" t="s">
        <v>712</v>
      </c>
      <c r="P858" s="441" t="s">
        <v>110</v>
      </c>
    </row>
    <row r="859" spans="1:16" ht="13.8">
      <c r="A859" s="531">
        <v>45734</v>
      </c>
      <c r="B859" s="340" t="s">
        <v>261</v>
      </c>
      <c r="C859" s="340" t="s">
        <v>266</v>
      </c>
      <c r="D859" s="340" t="s">
        <v>260</v>
      </c>
      <c r="E859" s="340">
        <v>58</v>
      </c>
      <c r="F859" s="340">
        <v>4</v>
      </c>
      <c r="G859" s="529">
        <v>978.29</v>
      </c>
      <c r="H859" s="529">
        <f t="shared" si="31"/>
        <v>226963.28</v>
      </c>
      <c r="I859" s="779">
        <v>248</v>
      </c>
      <c r="J859" s="712">
        <f t="shared" si="32"/>
        <v>232</v>
      </c>
      <c r="K859" s="685" t="str">
        <f>UPPER((TEXT(Tabla5[[#This Row],[FECHA]],"MMM")))</f>
        <v>MAR</v>
      </c>
      <c r="L859" s="780">
        <f>YEAR(Tabla5[[#This Row],[FECHA]])</f>
        <v>2025</v>
      </c>
      <c r="M859" s="749">
        <v>396</v>
      </c>
      <c r="N859" s="441" t="s">
        <v>679</v>
      </c>
      <c r="O859" s="441" t="s">
        <v>712</v>
      </c>
      <c r="P859" s="441" t="s">
        <v>110</v>
      </c>
    </row>
    <row r="860" spans="1:16" ht="13.8">
      <c r="A860" s="531">
        <v>45734</v>
      </c>
      <c r="B860" s="340" t="s">
        <v>772</v>
      </c>
      <c r="C860" s="340" t="s">
        <v>273</v>
      </c>
      <c r="D860" s="340" t="s">
        <v>260</v>
      </c>
      <c r="E860" s="340">
        <v>58</v>
      </c>
      <c r="F860" s="340">
        <v>4</v>
      </c>
      <c r="G860" s="529">
        <v>978.29</v>
      </c>
      <c r="H860" s="529">
        <f t="shared" si="31"/>
        <v>226963.28</v>
      </c>
      <c r="I860" s="779">
        <v>506</v>
      </c>
      <c r="J860" s="712">
        <f t="shared" si="32"/>
        <v>232</v>
      </c>
      <c r="K860" s="685" t="str">
        <f>UPPER((TEXT(Tabla5[[#This Row],[FECHA]],"MMM")))</f>
        <v>MAR</v>
      </c>
      <c r="L860" s="780">
        <f>YEAR(Tabla5[[#This Row],[FECHA]])</f>
        <v>2025</v>
      </c>
      <c r="M860" s="749">
        <v>396</v>
      </c>
      <c r="N860" s="441" t="s">
        <v>680</v>
      </c>
      <c r="O860" s="441" t="s">
        <v>712</v>
      </c>
      <c r="P860" s="441" t="s">
        <v>110</v>
      </c>
    </row>
    <row r="861" spans="1:16" ht="13.8">
      <c r="A861" s="531">
        <v>45735</v>
      </c>
      <c r="B861" s="340" t="s">
        <v>261</v>
      </c>
      <c r="C861" s="340" t="s">
        <v>266</v>
      </c>
      <c r="D861" s="340" t="s">
        <v>260</v>
      </c>
      <c r="E861" s="340">
        <v>58</v>
      </c>
      <c r="F861" s="340">
        <v>4</v>
      </c>
      <c r="G861" s="529">
        <v>978.29</v>
      </c>
      <c r="H861" s="529">
        <f t="shared" si="31"/>
        <v>226963.28</v>
      </c>
      <c r="I861" s="779">
        <v>226</v>
      </c>
      <c r="J861" s="712">
        <f t="shared" si="32"/>
        <v>232</v>
      </c>
      <c r="K861" s="685" t="str">
        <f>UPPER((TEXT(Tabla5[[#This Row],[FECHA]],"MMM")))</f>
        <v>MAR</v>
      </c>
      <c r="L861" s="780">
        <f>YEAR(Tabla5[[#This Row],[FECHA]])</f>
        <v>2025</v>
      </c>
      <c r="M861" s="749">
        <v>396</v>
      </c>
      <c r="N861" s="441" t="s">
        <v>679</v>
      </c>
      <c r="O861" s="441" t="s">
        <v>712</v>
      </c>
      <c r="P861" s="441" t="s">
        <v>110</v>
      </c>
    </row>
    <row r="862" spans="1:16" ht="13.8">
      <c r="A862" s="531">
        <v>45735</v>
      </c>
      <c r="B862" s="340" t="s">
        <v>263</v>
      </c>
      <c r="C862" s="340" t="s">
        <v>264</v>
      </c>
      <c r="D862" s="340" t="s">
        <v>695</v>
      </c>
      <c r="E862" s="340">
        <v>76</v>
      </c>
      <c r="F862" s="340">
        <v>9</v>
      </c>
      <c r="G862" s="529">
        <v>978.29</v>
      </c>
      <c r="H862" s="529">
        <f t="shared" si="31"/>
        <v>669150.36</v>
      </c>
      <c r="I862" s="779">
        <v>1211</v>
      </c>
      <c r="J862" s="712">
        <f t="shared" si="32"/>
        <v>684</v>
      </c>
      <c r="K862" s="685" t="str">
        <f>UPPER((TEXT(Tabla5[[#This Row],[FECHA]],"MMM")))</f>
        <v>MAR</v>
      </c>
      <c r="L862" s="780">
        <f>YEAR(Tabla5[[#This Row],[FECHA]])</f>
        <v>2025</v>
      </c>
      <c r="M862" s="749">
        <v>396</v>
      </c>
      <c r="N862" s="441" t="s">
        <v>676</v>
      </c>
      <c r="O862" s="441" t="s">
        <v>712</v>
      </c>
      <c r="P862" s="441" t="s">
        <v>110</v>
      </c>
    </row>
    <row r="863" spans="1:16" ht="13.8">
      <c r="A863" s="531">
        <v>45735</v>
      </c>
      <c r="B863" s="340" t="s">
        <v>267</v>
      </c>
      <c r="C863" s="340" t="s">
        <v>268</v>
      </c>
      <c r="D863" s="340" t="s">
        <v>260</v>
      </c>
      <c r="E863" s="340">
        <v>58</v>
      </c>
      <c r="F863" s="340">
        <v>7</v>
      </c>
      <c r="G863" s="529">
        <v>978.29</v>
      </c>
      <c r="H863" s="529">
        <f t="shared" si="31"/>
        <v>397185.74</v>
      </c>
      <c r="I863" s="779">
        <v>858</v>
      </c>
      <c r="J863" s="712">
        <f t="shared" si="32"/>
        <v>406</v>
      </c>
      <c r="K863" s="685" t="str">
        <f>UPPER((TEXT(Tabla5[[#This Row],[FECHA]],"MMM")))</f>
        <v>MAR</v>
      </c>
      <c r="L863" s="780">
        <f>YEAR(Tabla5[[#This Row],[FECHA]])</f>
        <v>2025</v>
      </c>
      <c r="M863" s="749">
        <v>396</v>
      </c>
      <c r="N863" s="441" t="s">
        <v>680</v>
      </c>
      <c r="O863" s="441" t="s">
        <v>712</v>
      </c>
      <c r="P863" s="441" t="s">
        <v>110</v>
      </c>
    </row>
    <row r="864" spans="1:16" ht="13.8">
      <c r="A864" s="531">
        <v>45736</v>
      </c>
      <c r="B864" s="340" t="s">
        <v>261</v>
      </c>
      <c r="C864" s="340" t="s">
        <v>266</v>
      </c>
      <c r="D864" s="340" t="s">
        <v>260</v>
      </c>
      <c r="E864" s="340">
        <v>58</v>
      </c>
      <c r="F864" s="340">
        <v>4</v>
      </c>
      <c r="G864" s="529">
        <v>978.29</v>
      </c>
      <c r="H864" s="529">
        <f t="shared" si="31"/>
        <v>226963.28</v>
      </c>
      <c r="I864" s="779">
        <v>233</v>
      </c>
      <c r="J864" s="712">
        <f t="shared" si="32"/>
        <v>232</v>
      </c>
      <c r="K864" s="685" t="str">
        <f>UPPER((TEXT(Tabla5[[#This Row],[FECHA]],"MMM")))</f>
        <v>MAR</v>
      </c>
      <c r="L864" s="780">
        <f>YEAR(Tabla5[[#This Row],[FECHA]])</f>
        <v>2025</v>
      </c>
      <c r="M864" s="749">
        <v>396</v>
      </c>
      <c r="N864" s="441" t="s">
        <v>679</v>
      </c>
      <c r="O864" s="441" t="s">
        <v>712</v>
      </c>
      <c r="P864" s="441" t="s">
        <v>110</v>
      </c>
    </row>
    <row r="865" spans="1:16" ht="13.8">
      <c r="A865" s="531">
        <v>45736</v>
      </c>
      <c r="B865" s="340" t="s">
        <v>263</v>
      </c>
      <c r="C865" s="340" t="s">
        <v>264</v>
      </c>
      <c r="D865" s="340" t="s">
        <v>695</v>
      </c>
      <c r="E865" s="340">
        <v>76</v>
      </c>
      <c r="F865" s="340">
        <v>9</v>
      </c>
      <c r="G865" s="529">
        <v>978.29</v>
      </c>
      <c r="H865" s="529">
        <f t="shared" si="31"/>
        <v>669150.36</v>
      </c>
      <c r="I865" s="779">
        <v>1053</v>
      </c>
      <c r="J865" s="712">
        <f t="shared" si="32"/>
        <v>684</v>
      </c>
      <c r="K865" s="685" t="str">
        <f>UPPER((TEXT(Tabla5[[#This Row],[FECHA]],"MMM")))</f>
        <v>MAR</v>
      </c>
      <c r="L865" s="780">
        <f>YEAR(Tabla5[[#This Row],[FECHA]])</f>
        <v>2025</v>
      </c>
      <c r="M865" s="749">
        <v>396</v>
      </c>
      <c r="N865" s="441" t="s">
        <v>676</v>
      </c>
      <c r="O865" s="441" t="s">
        <v>712</v>
      </c>
      <c r="P865" s="441" t="s">
        <v>110</v>
      </c>
    </row>
    <row r="866" spans="1:16" ht="13.8">
      <c r="A866" s="531">
        <v>45736</v>
      </c>
      <c r="B866" s="340" t="s">
        <v>293</v>
      </c>
      <c r="C866" s="340" t="s">
        <v>273</v>
      </c>
      <c r="D866" s="340" t="s">
        <v>260</v>
      </c>
      <c r="E866" s="340">
        <v>58</v>
      </c>
      <c r="F866" s="340">
        <v>4</v>
      </c>
      <c r="G866" s="529">
        <v>978.29</v>
      </c>
      <c r="H866" s="529">
        <f t="shared" si="31"/>
        <v>226963.28</v>
      </c>
      <c r="I866" s="779">
        <v>547</v>
      </c>
      <c r="J866" s="712">
        <f t="shared" si="32"/>
        <v>232</v>
      </c>
      <c r="K866" s="685" t="str">
        <f>UPPER((TEXT(Tabla5[[#This Row],[FECHA]],"MMM")))</f>
        <v>MAR</v>
      </c>
      <c r="L866" s="780">
        <f>YEAR(Tabla5[[#This Row],[FECHA]])</f>
        <v>2025</v>
      </c>
      <c r="M866" s="749">
        <v>396</v>
      </c>
      <c r="N866" s="441" t="s">
        <v>680</v>
      </c>
      <c r="O866" s="441" t="s">
        <v>712</v>
      </c>
      <c r="P866" s="441" t="s">
        <v>110</v>
      </c>
    </row>
    <row r="867" spans="1:16" ht="13.8">
      <c r="A867" s="531">
        <v>45737</v>
      </c>
      <c r="B867" s="340" t="s">
        <v>272</v>
      </c>
      <c r="C867" s="340" t="s">
        <v>278</v>
      </c>
      <c r="D867" s="340" t="s">
        <v>260</v>
      </c>
      <c r="E867" s="340">
        <v>58</v>
      </c>
      <c r="F867" s="340">
        <v>4</v>
      </c>
      <c r="G867" s="529">
        <v>978.29</v>
      </c>
      <c r="H867" s="529">
        <f t="shared" si="31"/>
        <v>226963.28</v>
      </c>
      <c r="I867" s="779">
        <v>179</v>
      </c>
      <c r="J867" s="712">
        <f t="shared" si="32"/>
        <v>232</v>
      </c>
      <c r="K867" s="685" t="str">
        <f>UPPER((TEXT(Tabla5[[#This Row],[FECHA]],"MMM")))</f>
        <v>MAR</v>
      </c>
      <c r="L867" s="780">
        <f>YEAR(Tabla5[[#This Row],[FECHA]])</f>
        <v>2025</v>
      </c>
      <c r="M867" s="749">
        <v>396</v>
      </c>
      <c r="N867" s="441" t="s">
        <v>679</v>
      </c>
      <c r="O867" s="441" t="s">
        <v>712</v>
      </c>
      <c r="P867" s="441" t="s">
        <v>110</v>
      </c>
    </row>
    <row r="868" spans="1:16" ht="13.8">
      <c r="A868" s="531">
        <v>45737</v>
      </c>
      <c r="B868" s="340" t="s">
        <v>263</v>
      </c>
      <c r="C868" s="340" t="s">
        <v>264</v>
      </c>
      <c r="D868" s="340" t="s">
        <v>695</v>
      </c>
      <c r="E868" s="340">
        <v>76</v>
      </c>
      <c r="F868" s="340">
        <v>9</v>
      </c>
      <c r="G868" s="529">
        <v>978.29</v>
      </c>
      <c r="H868" s="529">
        <f t="shared" si="31"/>
        <v>669150.36</v>
      </c>
      <c r="I868" s="779">
        <v>1275</v>
      </c>
      <c r="J868" s="712">
        <f t="shared" si="32"/>
        <v>684</v>
      </c>
      <c r="K868" s="685" t="str">
        <f>UPPER((TEXT(Tabla5[[#This Row],[FECHA]],"MMM")))</f>
        <v>MAR</v>
      </c>
      <c r="L868" s="780">
        <f>YEAR(Tabla5[[#This Row],[FECHA]])</f>
        <v>2025</v>
      </c>
      <c r="M868" s="749">
        <v>396</v>
      </c>
      <c r="N868" s="441" t="s">
        <v>676</v>
      </c>
      <c r="O868" s="441" t="s">
        <v>712</v>
      </c>
      <c r="P868" s="441" t="s">
        <v>110</v>
      </c>
    </row>
    <row r="869" spans="1:16" ht="13.8">
      <c r="A869" s="531">
        <v>45737</v>
      </c>
      <c r="B869" s="340" t="s">
        <v>284</v>
      </c>
      <c r="C869" s="340" t="s">
        <v>285</v>
      </c>
      <c r="D869" s="340" t="s">
        <v>260</v>
      </c>
      <c r="E869" s="340">
        <v>58</v>
      </c>
      <c r="F869" s="340">
        <v>7</v>
      </c>
      <c r="G869" s="529">
        <v>978.29</v>
      </c>
      <c r="H869" s="529">
        <f t="shared" si="31"/>
        <v>397185.74</v>
      </c>
      <c r="I869" s="779">
        <v>819</v>
      </c>
      <c r="J869" s="712">
        <f t="shared" si="32"/>
        <v>406</v>
      </c>
      <c r="K869" s="685" t="str">
        <f>UPPER((TEXT(Tabla5[[#This Row],[FECHA]],"MMM")))</f>
        <v>MAR</v>
      </c>
      <c r="L869" s="780">
        <f>YEAR(Tabla5[[#This Row],[FECHA]])</f>
        <v>2025</v>
      </c>
      <c r="M869" s="749">
        <v>396</v>
      </c>
      <c r="N869" s="441" t="s">
        <v>680</v>
      </c>
      <c r="O869" s="441" t="s">
        <v>712</v>
      </c>
      <c r="P869" s="441" t="s">
        <v>110</v>
      </c>
    </row>
    <row r="870" spans="1:16" ht="13.8">
      <c r="A870" s="531">
        <v>45738</v>
      </c>
      <c r="B870" s="340" t="s">
        <v>261</v>
      </c>
      <c r="C870" s="340" t="s">
        <v>773</v>
      </c>
      <c r="D870" s="340" t="s">
        <v>695</v>
      </c>
      <c r="E870" s="340">
        <v>78</v>
      </c>
      <c r="F870" s="340">
        <v>3</v>
      </c>
      <c r="G870" s="529">
        <v>978.29</v>
      </c>
      <c r="H870" s="529">
        <f t="shared" si="31"/>
        <v>228919.86</v>
      </c>
      <c r="I870" s="779">
        <v>410</v>
      </c>
      <c r="J870" s="712">
        <f t="shared" si="32"/>
        <v>234</v>
      </c>
      <c r="K870" s="685" t="str">
        <f>UPPER((TEXT(Tabla5[[#This Row],[FECHA]],"MMM")))</f>
        <v>MAR</v>
      </c>
      <c r="L870" s="780">
        <f>YEAR(Tabla5[[#This Row],[FECHA]])</f>
        <v>2025</v>
      </c>
      <c r="M870" s="749">
        <v>396</v>
      </c>
      <c r="N870" s="441" t="s">
        <v>676</v>
      </c>
      <c r="O870" s="441" t="s">
        <v>712</v>
      </c>
      <c r="P870" s="441" t="s">
        <v>110</v>
      </c>
    </row>
    <row r="871" spans="1:16" ht="13.8">
      <c r="A871" s="531">
        <v>45738</v>
      </c>
      <c r="B871" s="340" t="s">
        <v>287</v>
      </c>
      <c r="C871" s="340" t="s">
        <v>288</v>
      </c>
      <c r="D871" s="340" t="s">
        <v>694</v>
      </c>
      <c r="E871" s="340">
        <v>96</v>
      </c>
      <c r="F871" s="340">
        <v>15</v>
      </c>
      <c r="G871" s="529">
        <v>978.29</v>
      </c>
      <c r="H871" s="529">
        <f t="shared" si="31"/>
        <v>1408737.5999999999</v>
      </c>
      <c r="I871" s="779">
        <v>990</v>
      </c>
      <c r="J871" s="712">
        <f t="shared" si="32"/>
        <v>1440</v>
      </c>
      <c r="K871" s="685" t="str">
        <f>UPPER((TEXT(Tabla5[[#This Row],[FECHA]],"MMM")))</f>
        <v>MAR</v>
      </c>
      <c r="L871" s="780">
        <f>YEAR(Tabla5[[#This Row],[FECHA]])</f>
        <v>2025</v>
      </c>
      <c r="M871" s="749">
        <v>396</v>
      </c>
      <c r="N871" s="441" t="s">
        <v>678</v>
      </c>
      <c r="O871" s="441" t="s">
        <v>713</v>
      </c>
      <c r="P871" s="441" t="s">
        <v>110</v>
      </c>
    </row>
    <row r="872" spans="1:16" ht="13.8">
      <c r="A872" s="531">
        <v>45739</v>
      </c>
      <c r="B872" s="340" t="s">
        <v>289</v>
      </c>
      <c r="C872" s="340" t="s">
        <v>290</v>
      </c>
      <c r="D872" s="340" t="s">
        <v>694</v>
      </c>
      <c r="E872" s="340">
        <v>96</v>
      </c>
      <c r="F872" s="340">
        <v>18</v>
      </c>
      <c r="G872" s="529">
        <v>978.29</v>
      </c>
      <c r="H872" s="529">
        <f t="shared" si="31"/>
        <v>1690485.1199999999</v>
      </c>
      <c r="I872" s="779">
        <v>1600</v>
      </c>
      <c r="J872" s="712">
        <f t="shared" si="32"/>
        <v>1728</v>
      </c>
      <c r="K872" s="685" t="str">
        <f>UPPER((TEXT(Tabla5[[#This Row],[FECHA]],"MMM")))</f>
        <v>MAR</v>
      </c>
      <c r="L872" s="780">
        <f>YEAR(Tabla5[[#This Row],[FECHA]])</f>
        <v>2025</v>
      </c>
      <c r="M872" s="749">
        <v>396</v>
      </c>
      <c r="N872" s="441" t="s">
        <v>678</v>
      </c>
      <c r="O872" s="441" t="s">
        <v>713</v>
      </c>
      <c r="P872" s="441" t="s">
        <v>110</v>
      </c>
    </row>
    <row r="873" spans="1:16" ht="13.8">
      <c r="A873" s="531">
        <v>45740</v>
      </c>
      <c r="B873" s="340" t="s">
        <v>289</v>
      </c>
      <c r="C873" s="340" t="s">
        <v>290</v>
      </c>
      <c r="D873" s="340" t="s">
        <v>694</v>
      </c>
      <c r="E873" s="340">
        <v>96</v>
      </c>
      <c r="F873" s="340">
        <v>12</v>
      </c>
      <c r="G873" s="529">
        <v>978.29</v>
      </c>
      <c r="H873" s="529">
        <f t="shared" si="31"/>
        <v>1126990.08</v>
      </c>
      <c r="I873" s="779">
        <v>874</v>
      </c>
      <c r="J873" s="712">
        <f t="shared" si="32"/>
        <v>1152</v>
      </c>
      <c r="K873" s="685" t="str">
        <f>UPPER((TEXT(Tabla5[[#This Row],[FECHA]],"MMM")))</f>
        <v>MAR</v>
      </c>
      <c r="L873" s="780">
        <f>YEAR(Tabla5[[#This Row],[FECHA]])</f>
        <v>2025</v>
      </c>
      <c r="M873" s="749">
        <v>396</v>
      </c>
      <c r="N873" s="441" t="s">
        <v>678</v>
      </c>
      <c r="O873" s="441" t="s">
        <v>713</v>
      </c>
      <c r="P873" s="441" t="s">
        <v>110</v>
      </c>
    </row>
    <row r="874" spans="1:16" ht="13.8">
      <c r="A874" s="531">
        <v>45741</v>
      </c>
      <c r="B874" s="340" t="s">
        <v>696</v>
      </c>
      <c r="C874" s="340" t="s">
        <v>774</v>
      </c>
      <c r="D874" s="340" t="s">
        <v>260</v>
      </c>
      <c r="E874" s="340">
        <v>58</v>
      </c>
      <c r="F874" s="340">
        <v>4</v>
      </c>
      <c r="G874" s="529">
        <v>978.29</v>
      </c>
      <c r="H874" s="529">
        <f t="shared" si="31"/>
        <v>226963.28</v>
      </c>
      <c r="I874" s="779">
        <v>285</v>
      </c>
      <c r="J874" s="712">
        <f t="shared" si="32"/>
        <v>232</v>
      </c>
      <c r="K874" s="685" t="str">
        <f>UPPER((TEXT(Tabla5[[#This Row],[FECHA]],"MMM")))</f>
        <v>MAR</v>
      </c>
      <c r="L874" s="780">
        <f>YEAR(Tabla5[[#This Row],[FECHA]])</f>
        <v>2025</v>
      </c>
      <c r="M874" s="749">
        <v>396</v>
      </c>
      <c r="N874" s="441" t="s">
        <v>679</v>
      </c>
      <c r="O874" s="441" t="s">
        <v>712</v>
      </c>
      <c r="P874" s="441" t="s">
        <v>110</v>
      </c>
    </row>
    <row r="875" spans="1:16" ht="13.8">
      <c r="A875" s="531">
        <v>45741</v>
      </c>
      <c r="B875" s="340" t="s">
        <v>263</v>
      </c>
      <c r="C875" s="340" t="s">
        <v>264</v>
      </c>
      <c r="D875" s="340" t="s">
        <v>695</v>
      </c>
      <c r="E875" s="340">
        <v>78</v>
      </c>
      <c r="F875" s="340">
        <v>9</v>
      </c>
      <c r="G875" s="529">
        <v>978.29</v>
      </c>
      <c r="H875" s="529">
        <f t="shared" si="31"/>
        <v>686759.58</v>
      </c>
      <c r="I875" s="779">
        <v>1183</v>
      </c>
      <c r="J875" s="712">
        <f t="shared" si="32"/>
        <v>702</v>
      </c>
      <c r="K875" s="685" t="str">
        <f>UPPER((TEXT(Tabla5[[#This Row],[FECHA]],"MMM")))</f>
        <v>MAR</v>
      </c>
      <c r="L875" s="780">
        <f>YEAR(Tabla5[[#This Row],[FECHA]])</f>
        <v>2025</v>
      </c>
      <c r="M875" s="749">
        <v>396</v>
      </c>
      <c r="N875" s="441" t="s">
        <v>676</v>
      </c>
      <c r="O875" s="441" t="s">
        <v>712</v>
      </c>
      <c r="P875" s="441" t="s">
        <v>110</v>
      </c>
    </row>
    <row r="876" spans="1:16" ht="13.8">
      <c r="A876" s="531">
        <v>45741</v>
      </c>
      <c r="B876" s="340" t="s">
        <v>403</v>
      </c>
      <c r="C876" s="340" t="s">
        <v>404</v>
      </c>
      <c r="D876" s="340" t="s">
        <v>260</v>
      </c>
      <c r="E876" s="340">
        <v>58</v>
      </c>
      <c r="F876" s="340">
        <v>4</v>
      </c>
      <c r="G876" s="529">
        <v>978.29</v>
      </c>
      <c r="H876" s="529">
        <f t="shared" si="31"/>
        <v>226963.28</v>
      </c>
      <c r="I876" s="779">
        <v>395</v>
      </c>
      <c r="J876" s="712">
        <f t="shared" si="32"/>
        <v>232</v>
      </c>
      <c r="K876" s="685" t="str">
        <f>UPPER((TEXT(Tabla5[[#This Row],[FECHA]],"MMM")))</f>
        <v>MAR</v>
      </c>
      <c r="L876" s="780">
        <f>YEAR(Tabla5[[#This Row],[FECHA]])</f>
        <v>2025</v>
      </c>
      <c r="M876" s="749">
        <v>396</v>
      </c>
      <c r="N876" s="441" t="s">
        <v>680</v>
      </c>
      <c r="O876" s="441" t="s">
        <v>712</v>
      </c>
      <c r="P876" s="441" t="s">
        <v>110</v>
      </c>
    </row>
    <row r="877" spans="1:16" ht="13.8">
      <c r="A877" s="531">
        <v>45742</v>
      </c>
      <c r="B877" s="340" t="s">
        <v>696</v>
      </c>
      <c r="C877" s="340" t="s">
        <v>774</v>
      </c>
      <c r="D877" s="340" t="s">
        <v>260</v>
      </c>
      <c r="E877" s="340">
        <v>58</v>
      </c>
      <c r="F877" s="340">
        <v>4</v>
      </c>
      <c r="G877" s="529">
        <v>978.29</v>
      </c>
      <c r="H877" s="529">
        <f t="shared" si="31"/>
        <v>226963.28</v>
      </c>
      <c r="I877" s="779">
        <v>231</v>
      </c>
      <c r="J877" s="712">
        <f t="shared" si="32"/>
        <v>232</v>
      </c>
      <c r="K877" s="685" t="str">
        <f>UPPER((TEXT(Tabla5[[#This Row],[FECHA]],"MMM")))</f>
        <v>MAR</v>
      </c>
      <c r="L877" s="780">
        <f>YEAR(Tabla5[[#This Row],[FECHA]])</f>
        <v>2025</v>
      </c>
      <c r="M877" s="749">
        <v>396</v>
      </c>
      <c r="N877" s="441" t="s">
        <v>679</v>
      </c>
      <c r="O877" s="441" t="s">
        <v>712</v>
      </c>
      <c r="P877" s="441" t="s">
        <v>110</v>
      </c>
    </row>
    <row r="878" spans="1:16" ht="13.8">
      <c r="A878" s="531">
        <v>45742</v>
      </c>
      <c r="B878" s="340" t="s">
        <v>263</v>
      </c>
      <c r="C878" s="340" t="s">
        <v>264</v>
      </c>
      <c r="D878" s="340" t="s">
        <v>695</v>
      </c>
      <c r="E878" s="340">
        <v>78</v>
      </c>
      <c r="F878" s="340">
        <v>9</v>
      </c>
      <c r="G878" s="529">
        <v>978.29</v>
      </c>
      <c r="H878" s="529">
        <f t="shared" si="31"/>
        <v>686759.58</v>
      </c>
      <c r="I878" s="779">
        <v>1081</v>
      </c>
      <c r="J878" s="712">
        <f t="shared" si="32"/>
        <v>702</v>
      </c>
      <c r="K878" s="685" t="str">
        <f>UPPER((TEXT(Tabla5[[#This Row],[FECHA]],"MMM")))</f>
        <v>MAR</v>
      </c>
      <c r="L878" s="780">
        <f>YEAR(Tabla5[[#This Row],[FECHA]])</f>
        <v>2025</v>
      </c>
      <c r="M878" s="749">
        <v>396</v>
      </c>
      <c r="N878" s="441" t="s">
        <v>676</v>
      </c>
      <c r="O878" s="441" t="s">
        <v>712</v>
      </c>
      <c r="P878" s="441" t="s">
        <v>110</v>
      </c>
    </row>
    <row r="879" spans="1:16" ht="13.8">
      <c r="A879" s="531">
        <v>45742</v>
      </c>
      <c r="B879" s="340" t="s">
        <v>403</v>
      </c>
      <c r="C879" s="340" t="s">
        <v>404</v>
      </c>
      <c r="D879" s="340" t="s">
        <v>260</v>
      </c>
      <c r="E879" s="340">
        <v>58</v>
      </c>
      <c r="F879" s="340">
        <v>7</v>
      </c>
      <c r="G879" s="529">
        <v>978.29</v>
      </c>
      <c r="H879" s="529">
        <f t="shared" si="31"/>
        <v>397185.74</v>
      </c>
      <c r="I879" s="779">
        <v>869</v>
      </c>
      <c r="J879" s="712">
        <f t="shared" si="32"/>
        <v>406</v>
      </c>
      <c r="K879" s="685" t="str">
        <f>UPPER((TEXT(Tabla5[[#This Row],[FECHA]],"MMM")))</f>
        <v>MAR</v>
      </c>
      <c r="L879" s="780">
        <f>YEAR(Tabla5[[#This Row],[FECHA]])</f>
        <v>2025</v>
      </c>
      <c r="M879" s="749">
        <v>396</v>
      </c>
      <c r="N879" s="441" t="s">
        <v>680</v>
      </c>
      <c r="O879" s="441" t="s">
        <v>712</v>
      </c>
      <c r="P879" s="441" t="s">
        <v>110</v>
      </c>
    </row>
    <row r="880" spans="1:16" ht="13.8">
      <c r="A880" s="531">
        <v>45743</v>
      </c>
      <c r="B880" s="340" t="s">
        <v>696</v>
      </c>
      <c r="C880" s="340" t="s">
        <v>774</v>
      </c>
      <c r="D880" s="340" t="s">
        <v>260</v>
      </c>
      <c r="E880" s="340">
        <v>58</v>
      </c>
      <c r="F880" s="340">
        <v>4</v>
      </c>
      <c r="G880" s="529">
        <v>978.29</v>
      </c>
      <c r="H880" s="529">
        <f t="shared" si="31"/>
        <v>226963.28</v>
      </c>
      <c r="I880" s="779">
        <v>278</v>
      </c>
      <c r="J880" s="712">
        <f t="shared" si="32"/>
        <v>232</v>
      </c>
      <c r="K880" s="685" t="str">
        <f>UPPER((TEXT(Tabla5[[#This Row],[FECHA]],"MMM")))</f>
        <v>MAR</v>
      </c>
      <c r="L880" s="780">
        <f>YEAR(Tabla5[[#This Row],[FECHA]])</f>
        <v>2025</v>
      </c>
      <c r="M880" s="749">
        <v>396</v>
      </c>
      <c r="N880" s="441" t="s">
        <v>679</v>
      </c>
      <c r="O880" s="441" t="s">
        <v>712</v>
      </c>
      <c r="P880" s="441" t="s">
        <v>110</v>
      </c>
    </row>
    <row r="881" spans="1:16" ht="13.8">
      <c r="A881" s="531">
        <v>45743</v>
      </c>
      <c r="B881" s="340" t="s">
        <v>263</v>
      </c>
      <c r="C881" s="340" t="s">
        <v>264</v>
      </c>
      <c r="D881" s="340" t="s">
        <v>695</v>
      </c>
      <c r="E881" s="340">
        <v>78</v>
      </c>
      <c r="F881" s="340">
        <v>9</v>
      </c>
      <c r="G881" s="529">
        <v>978.29</v>
      </c>
      <c r="H881" s="529">
        <f t="shared" si="31"/>
        <v>686759.58</v>
      </c>
      <c r="I881" s="779">
        <v>1060</v>
      </c>
      <c r="J881" s="712">
        <f t="shared" si="32"/>
        <v>702</v>
      </c>
      <c r="K881" s="685" t="str">
        <f>UPPER((TEXT(Tabla5[[#This Row],[FECHA]],"MMM")))</f>
        <v>MAR</v>
      </c>
      <c r="L881" s="780">
        <f>YEAR(Tabla5[[#This Row],[FECHA]])</f>
        <v>2025</v>
      </c>
      <c r="M881" s="749">
        <v>396</v>
      </c>
      <c r="N881" s="441" t="s">
        <v>676</v>
      </c>
      <c r="O881" s="441" t="s">
        <v>712</v>
      </c>
      <c r="P881" s="441" t="s">
        <v>110</v>
      </c>
    </row>
    <row r="882" spans="1:16" ht="13.8">
      <c r="A882" s="531">
        <v>45743</v>
      </c>
      <c r="B882" s="340" t="s">
        <v>293</v>
      </c>
      <c r="C882" s="340" t="s">
        <v>273</v>
      </c>
      <c r="D882" s="340" t="s">
        <v>260</v>
      </c>
      <c r="E882" s="340">
        <v>58</v>
      </c>
      <c r="F882" s="340">
        <v>4</v>
      </c>
      <c r="G882" s="529">
        <v>978.29</v>
      </c>
      <c r="H882" s="529">
        <f t="shared" si="31"/>
        <v>226963.28</v>
      </c>
      <c r="I882" s="779">
        <v>626</v>
      </c>
      <c r="J882" s="712">
        <f t="shared" si="32"/>
        <v>232</v>
      </c>
      <c r="K882" s="685" t="str">
        <f>UPPER((TEXT(Tabla5[[#This Row],[FECHA]],"MMM")))</f>
        <v>MAR</v>
      </c>
      <c r="L882" s="780">
        <f>YEAR(Tabla5[[#This Row],[FECHA]])</f>
        <v>2025</v>
      </c>
      <c r="M882" s="749">
        <v>396</v>
      </c>
      <c r="N882" s="441" t="s">
        <v>680</v>
      </c>
      <c r="O882" s="441" t="s">
        <v>712</v>
      </c>
      <c r="P882" s="441" t="s">
        <v>110</v>
      </c>
    </row>
    <row r="883" spans="1:16" ht="13.8">
      <c r="A883" s="531">
        <v>45744</v>
      </c>
      <c r="B883" s="340" t="s">
        <v>775</v>
      </c>
      <c r="C883" s="340" t="s">
        <v>776</v>
      </c>
      <c r="D883" s="340" t="s">
        <v>260</v>
      </c>
      <c r="E883" s="340">
        <v>58</v>
      </c>
      <c r="F883" s="340">
        <v>4</v>
      </c>
      <c r="G883" s="529">
        <v>978.29</v>
      </c>
      <c r="H883" s="529">
        <f t="shared" si="31"/>
        <v>226963.28</v>
      </c>
      <c r="I883" s="779">
        <v>187</v>
      </c>
      <c r="J883" s="712">
        <f t="shared" si="32"/>
        <v>232</v>
      </c>
      <c r="K883" s="685" t="str">
        <f>UPPER((TEXT(Tabla5[[#This Row],[FECHA]],"MMM")))</f>
        <v>MAR</v>
      </c>
      <c r="L883" s="780">
        <f>YEAR(Tabla5[[#This Row],[FECHA]])</f>
        <v>2025</v>
      </c>
      <c r="M883" s="749">
        <v>396</v>
      </c>
      <c r="N883" s="441" t="s">
        <v>679</v>
      </c>
      <c r="O883" s="441" t="s">
        <v>712</v>
      </c>
      <c r="P883" s="441" t="s">
        <v>110</v>
      </c>
    </row>
    <row r="884" spans="1:16" ht="13.8">
      <c r="A884" s="531">
        <v>45744</v>
      </c>
      <c r="B884" s="340" t="s">
        <v>263</v>
      </c>
      <c r="C884" s="340" t="s">
        <v>264</v>
      </c>
      <c r="D884" s="340" t="s">
        <v>695</v>
      </c>
      <c r="E884" s="340">
        <v>78</v>
      </c>
      <c r="F884" s="340">
        <v>9</v>
      </c>
      <c r="G884" s="529">
        <v>978.29</v>
      </c>
      <c r="H884" s="529">
        <f t="shared" ref="H884:H947" si="33">E884*F884*G884</f>
        <v>686759.58</v>
      </c>
      <c r="I884" s="779">
        <v>1326</v>
      </c>
      <c r="J884" s="712">
        <f t="shared" si="32"/>
        <v>702</v>
      </c>
      <c r="K884" s="685" t="str">
        <f>UPPER((TEXT(Tabla5[[#This Row],[FECHA]],"MMM")))</f>
        <v>MAR</v>
      </c>
      <c r="L884" s="780">
        <f>YEAR(Tabla5[[#This Row],[FECHA]])</f>
        <v>2025</v>
      </c>
      <c r="M884" s="749">
        <v>396</v>
      </c>
      <c r="N884" s="441" t="s">
        <v>676</v>
      </c>
      <c r="O884" s="441" t="s">
        <v>712</v>
      </c>
      <c r="P884" s="441" t="s">
        <v>110</v>
      </c>
    </row>
    <row r="885" spans="1:16" ht="13.8">
      <c r="A885" s="531">
        <v>45744</v>
      </c>
      <c r="B885" s="340" t="s">
        <v>403</v>
      </c>
      <c r="C885" s="340" t="s">
        <v>259</v>
      </c>
      <c r="D885" s="340" t="s">
        <v>260</v>
      </c>
      <c r="E885" s="340">
        <v>58</v>
      </c>
      <c r="F885" s="340">
        <v>7</v>
      </c>
      <c r="G885" s="529">
        <v>978.29</v>
      </c>
      <c r="H885" s="529">
        <f t="shared" si="33"/>
        <v>397185.74</v>
      </c>
      <c r="I885" s="779">
        <v>560</v>
      </c>
      <c r="J885" s="712">
        <f t="shared" si="32"/>
        <v>406</v>
      </c>
      <c r="K885" s="685" t="str">
        <f>UPPER((TEXT(Tabla5[[#This Row],[FECHA]],"MMM")))</f>
        <v>MAR</v>
      </c>
      <c r="L885" s="780">
        <f>YEAR(Tabla5[[#This Row],[FECHA]])</f>
        <v>2025</v>
      </c>
      <c r="M885" s="749">
        <v>396</v>
      </c>
      <c r="N885" s="441" t="s">
        <v>680</v>
      </c>
      <c r="O885" s="441" t="s">
        <v>712</v>
      </c>
      <c r="P885" s="441" t="s">
        <v>110</v>
      </c>
    </row>
    <row r="886" spans="1:16" ht="13.8">
      <c r="A886" s="531">
        <v>45745</v>
      </c>
      <c r="B886" s="340" t="s">
        <v>272</v>
      </c>
      <c r="C886" s="340" t="s">
        <v>777</v>
      </c>
      <c r="D886" s="340" t="s">
        <v>695</v>
      </c>
      <c r="E886" s="340">
        <v>78</v>
      </c>
      <c r="F886" s="340">
        <v>3</v>
      </c>
      <c r="G886" s="529">
        <v>978.29</v>
      </c>
      <c r="H886" s="529">
        <f t="shared" si="33"/>
        <v>228919.86</v>
      </c>
      <c r="I886" s="779">
        <v>519</v>
      </c>
      <c r="J886" s="712">
        <f t="shared" si="32"/>
        <v>234</v>
      </c>
      <c r="K886" s="685" t="str">
        <f>UPPER((TEXT(Tabla5[[#This Row],[FECHA]],"MMM")))</f>
        <v>MAR</v>
      </c>
      <c r="L886" s="780">
        <f>YEAR(Tabla5[[#This Row],[FECHA]])</f>
        <v>2025</v>
      </c>
      <c r="M886" s="749">
        <v>396</v>
      </c>
      <c r="N886" s="441" t="s">
        <v>676</v>
      </c>
      <c r="O886" s="441" t="s">
        <v>712</v>
      </c>
      <c r="P886" s="441" t="s">
        <v>110</v>
      </c>
    </row>
    <row r="887" spans="1:16" ht="13.8">
      <c r="A887" s="531">
        <v>45745</v>
      </c>
      <c r="B887" s="340" t="s">
        <v>263</v>
      </c>
      <c r="C887" s="340" t="s">
        <v>283</v>
      </c>
      <c r="D887" s="340" t="s">
        <v>694</v>
      </c>
      <c r="E887" s="340">
        <v>96</v>
      </c>
      <c r="F887" s="340">
        <v>12</v>
      </c>
      <c r="G887" s="529">
        <v>978.29</v>
      </c>
      <c r="H887" s="529">
        <f t="shared" si="33"/>
        <v>1126990.08</v>
      </c>
      <c r="I887" s="779">
        <v>710</v>
      </c>
      <c r="J887" s="712">
        <f t="shared" si="32"/>
        <v>1152</v>
      </c>
      <c r="K887" s="685" t="str">
        <f>UPPER((TEXT(Tabla5[[#This Row],[FECHA]],"MMM")))</f>
        <v>MAR</v>
      </c>
      <c r="L887" s="780">
        <f>YEAR(Tabla5[[#This Row],[FECHA]])</f>
        <v>2025</v>
      </c>
      <c r="M887" s="749">
        <v>396</v>
      </c>
      <c r="N887" s="441" t="s">
        <v>678</v>
      </c>
      <c r="O887" s="441" t="s">
        <v>713</v>
      </c>
      <c r="P887" s="441" t="s">
        <v>110</v>
      </c>
    </row>
    <row r="888" spans="1:16" ht="13.8">
      <c r="A888" s="531">
        <v>45746</v>
      </c>
      <c r="B888" s="340" t="s">
        <v>277</v>
      </c>
      <c r="C888" s="340" t="s">
        <v>264</v>
      </c>
      <c r="D888" s="340" t="s">
        <v>694</v>
      </c>
      <c r="E888" s="340">
        <v>96</v>
      </c>
      <c r="F888" s="340">
        <v>13</v>
      </c>
      <c r="G888" s="529">
        <v>978.29</v>
      </c>
      <c r="H888" s="529">
        <f t="shared" si="33"/>
        <v>1220905.92</v>
      </c>
      <c r="I888" s="779">
        <v>958</v>
      </c>
      <c r="J888" s="712">
        <f t="shared" ref="J888:J890" si="34">E888*F888</f>
        <v>1248</v>
      </c>
      <c r="K888" s="685" t="str">
        <f>UPPER((TEXT(Tabla5[[#This Row],[FECHA]],"MMM")))</f>
        <v>MAR</v>
      </c>
      <c r="L888" s="780">
        <f>YEAR(Tabla5[[#This Row],[FECHA]])</f>
        <v>2025</v>
      </c>
      <c r="M888" s="749">
        <v>396</v>
      </c>
      <c r="N888" s="441" t="s">
        <v>678</v>
      </c>
      <c r="O888" s="441" t="s">
        <v>713</v>
      </c>
      <c r="P888" s="441" t="s">
        <v>110</v>
      </c>
    </row>
    <row r="889" spans="1:16" ht="13.8">
      <c r="A889" s="531">
        <v>45747</v>
      </c>
      <c r="B889" s="340" t="s">
        <v>289</v>
      </c>
      <c r="C889" s="340" t="s">
        <v>404</v>
      </c>
      <c r="D889" s="340" t="s">
        <v>260</v>
      </c>
      <c r="E889" s="340">
        <v>58</v>
      </c>
      <c r="F889" s="340">
        <v>5</v>
      </c>
      <c r="G889" s="529">
        <v>978.29</v>
      </c>
      <c r="H889" s="529">
        <f t="shared" si="33"/>
        <v>283704.09999999998</v>
      </c>
      <c r="I889" s="779">
        <v>187</v>
      </c>
      <c r="J889" s="712">
        <f t="shared" si="34"/>
        <v>290</v>
      </c>
      <c r="K889" s="685" t="str">
        <f>UPPER((TEXT(Tabla5[[#This Row],[FECHA]],"MMM")))</f>
        <v>MAR</v>
      </c>
      <c r="L889" s="780">
        <f>YEAR(Tabla5[[#This Row],[FECHA]])</f>
        <v>2025</v>
      </c>
      <c r="M889" s="749">
        <v>396</v>
      </c>
      <c r="N889" s="441" t="s">
        <v>679</v>
      </c>
      <c r="O889" s="441" t="s">
        <v>712</v>
      </c>
      <c r="P889" s="441" t="s">
        <v>110</v>
      </c>
    </row>
    <row r="890" spans="1:16" ht="13.8">
      <c r="A890" s="531">
        <v>45747</v>
      </c>
      <c r="B890" s="340" t="s">
        <v>271</v>
      </c>
      <c r="C890" s="340" t="s">
        <v>257</v>
      </c>
      <c r="D890" s="340" t="s">
        <v>695</v>
      </c>
      <c r="E890" s="340">
        <v>78</v>
      </c>
      <c r="F890" s="340">
        <v>9</v>
      </c>
      <c r="G890" s="529">
        <v>978.29</v>
      </c>
      <c r="H890" s="529">
        <f t="shared" si="33"/>
        <v>686759.58</v>
      </c>
      <c r="I890" s="779">
        <v>1335</v>
      </c>
      <c r="J890" s="712">
        <f t="shared" si="34"/>
        <v>702</v>
      </c>
      <c r="K890" s="685" t="str">
        <f>UPPER((TEXT(Tabla5[[#This Row],[FECHA]],"MMM")))</f>
        <v>MAR</v>
      </c>
      <c r="L890" s="780">
        <f>YEAR(Tabla5[[#This Row],[FECHA]])</f>
        <v>2025</v>
      </c>
      <c r="M890" s="749">
        <v>396</v>
      </c>
      <c r="N890" s="441" t="s">
        <v>676</v>
      </c>
      <c r="O890" s="441" t="s">
        <v>712</v>
      </c>
      <c r="P890" s="441" t="s">
        <v>110</v>
      </c>
    </row>
    <row r="891" spans="1:16" ht="13.8">
      <c r="A891" s="531">
        <v>45748</v>
      </c>
      <c r="B891" s="340" t="s">
        <v>256</v>
      </c>
      <c r="C891" s="340" t="s">
        <v>257</v>
      </c>
      <c r="D891" s="340" t="s">
        <v>695</v>
      </c>
      <c r="E891" s="340">
        <v>76</v>
      </c>
      <c r="F891" s="340">
        <v>9</v>
      </c>
      <c r="G891" s="529">
        <v>978.29</v>
      </c>
      <c r="H891" s="529">
        <f t="shared" si="33"/>
        <v>669150.36</v>
      </c>
      <c r="I891" s="340">
        <v>555</v>
      </c>
      <c r="J891" s="712">
        <f>E891*F891</f>
        <v>684</v>
      </c>
      <c r="K891" s="685" t="str">
        <f>UPPER((TEXT(Tabla5[[#This Row],[FECHA]],"MMM")))</f>
        <v>ABR</v>
      </c>
      <c r="L891" s="780">
        <f>YEAR(Tabla5[[#This Row],[FECHA]])</f>
        <v>2025</v>
      </c>
      <c r="M891" s="749">
        <v>419</v>
      </c>
      <c r="N891" s="441" t="s">
        <v>676</v>
      </c>
      <c r="O891" s="441" t="s">
        <v>712</v>
      </c>
      <c r="P891" s="441" t="s">
        <v>110</v>
      </c>
    </row>
    <row r="892" spans="1:16" ht="13.8">
      <c r="A892" s="531">
        <v>45749</v>
      </c>
      <c r="B892" s="340" t="s">
        <v>272</v>
      </c>
      <c r="C892" s="340" t="s">
        <v>278</v>
      </c>
      <c r="D892" s="340" t="s">
        <v>260</v>
      </c>
      <c r="E892" s="340">
        <v>58</v>
      </c>
      <c r="F892" s="340">
        <v>4</v>
      </c>
      <c r="G892" s="529">
        <v>978.29</v>
      </c>
      <c r="H892" s="529">
        <f t="shared" si="33"/>
        <v>226963.28</v>
      </c>
      <c r="I892" s="340">
        <v>194</v>
      </c>
      <c r="J892" s="712">
        <f t="shared" ref="J892:J952" si="35">E892*F892</f>
        <v>232</v>
      </c>
      <c r="K892" s="685" t="str">
        <f>UPPER((TEXT(Tabla5[[#This Row],[FECHA]],"MMM")))</f>
        <v>ABR</v>
      </c>
      <c r="L892" s="780">
        <f>YEAR(Tabla5[[#This Row],[FECHA]])</f>
        <v>2025</v>
      </c>
      <c r="M892" s="749">
        <v>419</v>
      </c>
      <c r="N892" s="441" t="s">
        <v>679</v>
      </c>
      <c r="O892" s="441" t="s">
        <v>712</v>
      </c>
      <c r="P892" s="441" t="s">
        <v>110</v>
      </c>
    </row>
    <row r="893" spans="1:16" ht="13.8">
      <c r="A893" s="531">
        <v>45749</v>
      </c>
      <c r="B893" s="340" t="s">
        <v>271</v>
      </c>
      <c r="C893" s="340" t="s">
        <v>257</v>
      </c>
      <c r="D893" s="340" t="s">
        <v>695</v>
      </c>
      <c r="E893" s="340">
        <v>76</v>
      </c>
      <c r="F893" s="340">
        <v>9</v>
      </c>
      <c r="G893" s="529">
        <v>978.29</v>
      </c>
      <c r="H893" s="529">
        <f t="shared" si="33"/>
        <v>669150.36</v>
      </c>
      <c r="I893" s="340">
        <v>1052</v>
      </c>
      <c r="J893" s="712">
        <f t="shared" si="35"/>
        <v>684</v>
      </c>
      <c r="K893" s="685" t="str">
        <f>UPPER((TEXT(Tabla5[[#This Row],[FECHA]],"MMM")))</f>
        <v>ABR</v>
      </c>
      <c r="L893" s="780">
        <f>YEAR(Tabla5[[#This Row],[FECHA]])</f>
        <v>2025</v>
      </c>
      <c r="M893" s="749">
        <v>419</v>
      </c>
      <c r="N893" s="441" t="s">
        <v>676</v>
      </c>
      <c r="O893" s="441" t="s">
        <v>712</v>
      </c>
      <c r="P893" s="441" t="s">
        <v>110</v>
      </c>
    </row>
    <row r="894" spans="1:16" ht="13.8">
      <c r="A894" s="531">
        <v>45749</v>
      </c>
      <c r="B894" s="340" t="s">
        <v>403</v>
      </c>
      <c r="C894" s="340" t="s">
        <v>404</v>
      </c>
      <c r="D894" s="340" t="s">
        <v>260</v>
      </c>
      <c r="E894" s="340">
        <v>58</v>
      </c>
      <c r="F894" s="340">
        <v>7</v>
      </c>
      <c r="G894" s="529">
        <v>978.29</v>
      </c>
      <c r="H894" s="529">
        <f t="shared" si="33"/>
        <v>397185.74</v>
      </c>
      <c r="I894" s="340">
        <v>902</v>
      </c>
      <c r="J894" s="712">
        <f t="shared" si="35"/>
        <v>406</v>
      </c>
      <c r="K894" s="685" t="str">
        <f>UPPER((TEXT(Tabla5[[#This Row],[FECHA]],"MMM")))</f>
        <v>ABR</v>
      </c>
      <c r="L894" s="780">
        <f>YEAR(Tabla5[[#This Row],[FECHA]])</f>
        <v>2025</v>
      </c>
      <c r="M894" s="749">
        <v>419</v>
      </c>
      <c r="N894" s="441" t="s">
        <v>680</v>
      </c>
      <c r="O894" s="441" t="s">
        <v>712</v>
      </c>
      <c r="P894" s="441" t="s">
        <v>110</v>
      </c>
    </row>
    <row r="895" spans="1:16" ht="13.8">
      <c r="A895" s="778">
        <v>45750</v>
      </c>
      <c r="B895" s="340" t="s">
        <v>272</v>
      </c>
      <c r="C895" s="340" t="s">
        <v>278</v>
      </c>
      <c r="D895" s="340" t="s">
        <v>260</v>
      </c>
      <c r="E895" s="340">
        <v>58</v>
      </c>
      <c r="F895" s="340">
        <v>4</v>
      </c>
      <c r="G895" s="529">
        <v>978.29</v>
      </c>
      <c r="H895" s="529">
        <f t="shared" si="33"/>
        <v>226963.28</v>
      </c>
      <c r="I895" s="340">
        <v>195</v>
      </c>
      <c r="J895" s="712">
        <f t="shared" si="35"/>
        <v>232</v>
      </c>
      <c r="K895" s="685" t="str">
        <f>UPPER((TEXT(Tabla5[[#This Row],[FECHA]],"MMM")))</f>
        <v>ABR</v>
      </c>
      <c r="L895" s="780">
        <f>YEAR(Tabla5[[#This Row],[FECHA]])</f>
        <v>2025</v>
      </c>
      <c r="M895" s="749">
        <v>419</v>
      </c>
      <c r="N895" s="441" t="s">
        <v>679</v>
      </c>
      <c r="O895" s="441" t="s">
        <v>712</v>
      </c>
      <c r="P895" s="441" t="s">
        <v>110</v>
      </c>
    </row>
    <row r="896" spans="1:16" ht="13.8">
      <c r="A896" s="778">
        <v>45750</v>
      </c>
      <c r="B896" s="340" t="s">
        <v>271</v>
      </c>
      <c r="C896" s="340" t="s">
        <v>257</v>
      </c>
      <c r="D896" s="340" t="s">
        <v>695</v>
      </c>
      <c r="E896" s="340">
        <v>76</v>
      </c>
      <c r="F896" s="340">
        <v>9</v>
      </c>
      <c r="G896" s="529">
        <v>978.29</v>
      </c>
      <c r="H896" s="529">
        <f t="shared" si="33"/>
        <v>669150.36</v>
      </c>
      <c r="I896" s="340">
        <v>982</v>
      </c>
      <c r="J896" s="712">
        <f t="shared" si="35"/>
        <v>684</v>
      </c>
      <c r="K896" s="685" t="str">
        <f>UPPER((TEXT(Tabla5[[#This Row],[FECHA]],"MMM")))</f>
        <v>ABR</v>
      </c>
      <c r="L896" s="780">
        <f>YEAR(Tabla5[[#This Row],[FECHA]])</f>
        <v>2025</v>
      </c>
      <c r="M896" s="749">
        <v>419</v>
      </c>
      <c r="N896" s="441" t="s">
        <v>676</v>
      </c>
      <c r="O896" s="441" t="s">
        <v>712</v>
      </c>
      <c r="P896" s="441" t="s">
        <v>110</v>
      </c>
    </row>
    <row r="897" spans="1:16" ht="13.8">
      <c r="A897" s="778">
        <v>45750</v>
      </c>
      <c r="B897" s="340" t="s">
        <v>403</v>
      </c>
      <c r="C897" s="340" t="s">
        <v>404</v>
      </c>
      <c r="D897" s="340" t="s">
        <v>260</v>
      </c>
      <c r="E897" s="340">
        <v>58</v>
      </c>
      <c r="F897" s="340">
        <v>4</v>
      </c>
      <c r="G897" s="529">
        <v>978.29</v>
      </c>
      <c r="H897" s="529">
        <f t="shared" si="33"/>
        <v>226963.28</v>
      </c>
      <c r="I897" s="340">
        <v>572</v>
      </c>
      <c r="J897" s="712">
        <f t="shared" si="35"/>
        <v>232</v>
      </c>
      <c r="K897" s="685" t="str">
        <f>UPPER((TEXT(Tabla5[[#This Row],[FECHA]],"MMM")))</f>
        <v>ABR</v>
      </c>
      <c r="L897" s="780">
        <f>YEAR(Tabla5[[#This Row],[FECHA]])</f>
        <v>2025</v>
      </c>
      <c r="M897" s="749">
        <v>419</v>
      </c>
      <c r="N897" s="441" t="s">
        <v>680</v>
      </c>
      <c r="O897" s="441" t="s">
        <v>712</v>
      </c>
      <c r="P897" s="441" t="s">
        <v>110</v>
      </c>
    </row>
    <row r="898" spans="1:16" ht="13.8">
      <c r="A898" s="778">
        <v>45751</v>
      </c>
      <c r="B898" s="340" t="s">
        <v>272</v>
      </c>
      <c r="C898" s="340" t="s">
        <v>278</v>
      </c>
      <c r="D898" s="340" t="s">
        <v>260</v>
      </c>
      <c r="E898" s="340">
        <v>58</v>
      </c>
      <c r="F898" s="340">
        <v>4</v>
      </c>
      <c r="G898" s="529">
        <v>978.29</v>
      </c>
      <c r="H898" s="529">
        <f t="shared" si="33"/>
        <v>226963.28</v>
      </c>
      <c r="I898" s="340">
        <v>172</v>
      </c>
      <c r="J898" s="712">
        <f t="shared" si="35"/>
        <v>232</v>
      </c>
      <c r="K898" s="685" t="str">
        <f>UPPER((TEXT(Tabla5[[#This Row],[FECHA]],"MMM")))</f>
        <v>ABR</v>
      </c>
      <c r="L898" s="780">
        <f>YEAR(Tabla5[[#This Row],[FECHA]])</f>
        <v>2025</v>
      </c>
      <c r="M898" s="749">
        <v>419</v>
      </c>
      <c r="N898" s="441" t="s">
        <v>679</v>
      </c>
      <c r="O898" s="441" t="s">
        <v>712</v>
      </c>
      <c r="P898" s="441" t="s">
        <v>110</v>
      </c>
    </row>
    <row r="899" spans="1:16" ht="13.8">
      <c r="A899" s="778">
        <v>45751</v>
      </c>
      <c r="B899" s="340" t="s">
        <v>271</v>
      </c>
      <c r="C899" s="340" t="s">
        <v>257</v>
      </c>
      <c r="D899" s="340" t="s">
        <v>695</v>
      </c>
      <c r="E899" s="340">
        <v>76</v>
      </c>
      <c r="F899" s="340">
        <v>9</v>
      </c>
      <c r="G899" s="529">
        <v>978.29</v>
      </c>
      <c r="H899" s="529">
        <f t="shared" si="33"/>
        <v>669150.36</v>
      </c>
      <c r="I899" s="340">
        <v>1368</v>
      </c>
      <c r="J899" s="712">
        <f t="shared" si="35"/>
        <v>684</v>
      </c>
      <c r="K899" s="685" t="str">
        <f>UPPER((TEXT(Tabla5[[#This Row],[FECHA]],"MMM")))</f>
        <v>ABR</v>
      </c>
      <c r="L899" s="780">
        <f>YEAR(Tabla5[[#This Row],[FECHA]])</f>
        <v>2025</v>
      </c>
      <c r="M899" s="749">
        <v>419</v>
      </c>
      <c r="N899" s="441" t="s">
        <v>676</v>
      </c>
      <c r="O899" s="441" t="s">
        <v>712</v>
      </c>
      <c r="P899" s="441" t="s">
        <v>110</v>
      </c>
    </row>
    <row r="900" spans="1:16" ht="13.8">
      <c r="A900" s="778">
        <v>45751</v>
      </c>
      <c r="B900" s="340" t="s">
        <v>403</v>
      </c>
      <c r="C900" s="340" t="s">
        <v>404</v>
      </c>
      <c r="D900" s="340" t="s">
        <v>260</v>
      </c>
      <c r="E900" s="340">
        <v>58</v>
      </c>
      <c r="F900" s="340">
        <v>7</v>
      </c>
      <c r="G900" s="529">
        <v>978.29</v>
      </c>
      <c r="H900" s="529">
        <f t="shared" si="33"/>
        <v>397185.74</v>
      </c>
      <c r="I900" s="340">
        <v>770</v>
      </c>
      <c r="J900" s="712">
        <f t="shared" si="35"/>
        <v>406</v>
      </c>
      <c r="K900" s="685" t="str">
        <f>UPPER((TEXT(Tabla5[[#This Row],[FECHA]],"MMM")))</f>
        <v>ABR</v>
      </c>
      <c r="L900" s="780">
        <f>YEAR(Tabla5[[#This Row],[FECHA]])</f>
        <v>2025</v>
      </c>
      <c r="M900" s="749">
        <v>419</v>
      </c>
      <c r="N900" s="441" t="s">
        <v>680</v>
      </c>
      <c r="O900" s="441" t="s">
        <v>712</v>
      </c>
      <c r="P900" s="441" t="s">
        <v>110</v>
      </c>
    </row>
    <row r="901" spans="1:16" ht="13.8">
      <c r="A901" s="778">
        <v>45752</v>
      </c>
      <c r="B901" s="340" t="s">
        <v>272</v>
      </c>
      <c r="C901" s="340" t="s">
        <v>282</v>
      </c>
      <c r="D901" s="340" t="s">
        <v>695</v>
      </c>
      <c r="E901" s="340">
        <v>76</v>
      </c>
      <c r="F901" s="340">
        <v>4</v>
      </c>
      <c r="G901" s="529">
        <v>978.29</v>
      </c>
      <c r="H901" s="529">
        <f t="shared" si="33"/>
        <v>297400.15999999997</v>
      </c>
      <c r="I901" s="340">
        <v>423</v>
      </c>
      <c r="J901" s="712">
        <f t="shared" si="35"/>
        <v>304</v>
      </c>
      <c r="K901" s="685" t="str">
        <f>UPPER((TEXT(Tabla5[[#This Row],[FECHA]],"MMM")))</f>
        <v>ABR</v>
      </c>
      <c r="L901" s="780">
        <f>YEAR(Tabla5[[#This Row],[FECHA]])</f>
        <v>2025</v>
      </c>
      <c r="M901" s="749">
        <v>419</v>
      </c>
      <c r="N901" s="441" t="s">
        <v>676</v>
      </c>
      <c r="O901" s="441" t="s">
        <v>712</v>
      </c>
      <c r="P901" s="441" t="s">
        <v>110</v>
      </c>
    </row>
    <row r="902" spans="1:16" ht="13.8">
      <c r="A902" s="778">
        <v>45752</v>
      </c>
      <c r="B902" s="340" t="s">
        <v>263</v>
      </c>
      <c r="C902" s="340" t="s">
        <v>283</v>
      </c>
      <c r="D902" s="340" t="s">
        <v>694</v>
      </c>
      <c r="E902" s="340">
        <v>96</v>
      </c>
      <c r="F902" s="340">
        <v>13</v>
      </c>
      <c r="G902" s="529">
        <v>978.29</v>
      </c>
      <c r="H902" s="551">
        <f t="shared" si="33"/>
        <v>1220905.92</v>
      </c>
      <c r="I902" s="340">
        <v>928</v>
      </c>
      <c r="J902" s="712">
        <f t="shared" si="35"/>
        <v>1248</v>
      </c>
      <c r="K902" s="685" t="str">
        <f>UPPER((TEXT(Tabla5[[#This Row],[FECHA]],"MMM")))</f>
        <v>ABR</v>
      </c>
      <c r="L902" s="780">
        <f>YEAR(Tabla5[[#This Row],[FECHA]])</f>
        <v>2025</v>
      </c>
      <c r="M902" s="749">
        <v>419</v>
      </c>
      <c r="N902" s="441" t="s">
        <v>678</v>
      </c>
      <c r="O902" s="441" t="s">
        <v>713</v>
      </c>
      <c r="P902" s="441" t="s">
        <v>110</v>
      </c>
    </row>
    <row r="903" spans="1:16" ht="13.8">
      <c r="A903" s="778">
        <v>45753</v>
      </c>
      <c r="B903" s="340" t="s">
        <v>256</v>
      </c>
      <c r="C903" s="340" t="s">
        <v>257</v>
      </c>
      <c r="D903" s="340" t="s">
        <v>694</v>
      </c>
      <c r="E903" s="340">
        <v>96</v>
      </c>
      <c r="F903" s="340">
        <v>10</v>
      </c>
      <c r="G903" s="529">
        <v>978.29</v>
      </c>
      <c r="H903" s="551">
        <f t="shared" si="33"/>
        <v>939158.39999999991</v>
      </c>
      <c r="I903" s="340">
        <v>776</v>
      </c>
      <c r="J903" s="712">
        <f t="shared" si="35"/>
        <v>960</v>
      </c>
      <c r="K903" s="685" t="str">
        <f>UPPER((TEXT(Tabla5[[#This Row],[FECHA]],"MMM")))</f>
        <v>ABR</v>
      </c>
      <c r="L903" s="780">
        <f>YEAR(Tabla5[[#This Row],[FECHA]])</f>
        <v>2025</v>
      </c>
      <c r="M903" s="749">
        <v>419</v>
      </c>
      <c r="N903" s="441" t="s">
        <v>678</v>
      </c>
      <c r="O903" s="441" t="s">
        <v>713</v>
      </c>
      <c r="P903" s="441" t="s">
        <v>110</v>
      </c>
    </row>
    <row r="904" spans="1:16" ht="13.8">
      <c r="A904" s="778">
        <v>45754</v>
      </c>
      <c r="B904" s="340" t="s">
        <v>289</v>
      </c>
      <c r="C904" s="340" t="s">
        <v>404</v>
      </c>
      <c r="D904" s="340" t="s">
        <v>260</v>
      </c>
      <c r="E904" s="340">
        <v>58</v>
      </c>
      <c r="F904" s="340">
        <v>4</v>
      </c>
      <c r="G904" s="529">
        <v>978.29</v>
      </c>
      <c r="H904" s="529">
        <f t="shared" si="33"/>
        <v>226963.28</v>
      </c>
      <c r="I904" s="340">
        <v>185</v>
      </c>
      <c r="J904" s="712">
        <f t="shared" si="35"/>
        <v>232</v>
      </c>
      <c r="K904" s="685" t="str">
        <f>UPPER((TEXT(Tabla5[[#This Row],[FECHA]],"MMM")))</f>
        <v>ABR</v>
      </c>
      <c r="L904" s="780">
        <f>YEAR(Tabla5[[#This Row],[FECHA]])</f>
        <v>2025</v>
      </c>
      <c r="M904" s="749">
        <v>419</v>
      </c>
      <c r="N904" s="441" t="s">
        <v>679</v>
      </c>
      <c r="O904" s="441" t="s">
        <v>712</v>
      </c>
      <c r="P904" s="441" t="s">
        <v>110</v>
      </c>
    </row>
    <row r="905" spans="1:16" ht="13.8">
      <c r="A905" s="778">
        <v>45754</v>
      </c>
      <c r="B905" s="340" t="s">
        <v>271</v>
      </c>
      <c r="C905" s="340" t="s">
        <v>257</v>
      </c>
      <c r="D905" s="340" t="s">
        <v>695</v>
      </c>
      <c r="E905" s="340">
        <v>76</v>
      </c>
      <c r="F905" s="340">
        <v>9</v>
      </c>
      <c r="G905" s="529">
        <v>978.29</v>
      </c>
      <c r="H905" s="529">
        <f t="shared" si="33"/>
        <v>669150.36</v>
      </c>
      <c r="I905" s="340">
        <v>1394</v>
      </c>
      <c r="J905" s="712">
        <f t="shared" si="35"/>
        <v>684</v>
      </c>
      <c r="K905" s="685" t="str">
        <f>UPPER((TEXT(Tabla5[[#This Row],[FECHA]],"MMM")))</f>
        <v>ABR</v>
      </c>
      <c r="L905" s="780">
        <f>YEAR(Tabla5[[#This Row],[FECHA]])</f>
        <v>2025</v>
      </c>
      <c r="M905" s="749">
        <v>419</v>
      </c>
      <c r="N905" s="441" t="s">
        <v>676</v>
      </c>
      <c r="O905" s="441" t="s">
        <v>712</v>
      </c>
      <c r="P905" s="441" t="s">
        <v>110</v>
      </c>
    </row>
    <row r="906" spans="1:16" ht="13.8">
      <c r="A906" s="778">
        <v>45755</v>
      </c>
      <c r="B906" s="340" t="s">
        <v>289</v>
      </c>
      <c r="C906" s="340" t="s">
        <v>554</v>
      </c>
      <c r="D906" s="340" t="s">
        <v>260</v>
      </c>
      <c r="E906" s="340">
        <v>58</v>
      </c>
      <c r="F906" s="340">
        <v>4</v>
      </c>
      <c r="G906" s="529">
        <v>978.29</v>
      </c>
      <c r="H906" s="529">
        <f t="shared" si="33"/>
        <v>226963.28</v>
      </c>
      <c r="I906" s="340">
        <v>218</v>
      </c>
      <c r="J906" s="712">
        <f t="shared" si="35"/>
        <v>232</v>
      </c>
      <c r="K906" s="685" t="str">
        <f>UPPER((TEXT(Tabla5[[#This Row],[FECHA]],"MMM")))</f>
        <v>ABR</v>
      </c>
      <c r="L906" s="780">
        <f>YEAR(Tabla5[[#This Row],[FECHA]])</f>
        <v>2025</v>
      </c>
      <c r="M906" s="749">
        <v>419</v>
      </c>
      <c r="N906" s="441" t="s">
        <v>679</v>
      </c>
      <c r="O906" s="441" t="s">
        <v>712</v>
      </c>
      <c r="P906" s="441" t="s">
        <v>110</v>
      </c>
    </row>
    <row r="907" spans="1:16" ht="13.8">
      <c r="A907" s="778">
        <v>45755</v>
      </c>
      <c r="B907" s="340" t="s">
        <v>271</v>
      </c>
      <c r="C907" s="340" t="s">
        <v>257</v>
      </c>
      <c r="D907" s="340" t="s">
        <v>695</v>
      </c>
      <c r="E907" s="340">
        <v>76</v>
      </c>
      <c r="F907" s="340">
        <v>9</v>
      </c>
      <c r="G907" s="529">
        <v>978.29</v>
      </c>
      <c r="H907" s="529">
        <f t="shared" si="33"/>
        <v>669150.36</v>
      </c>
      <c r="I907" s="340">
        <v>1075</v>
      </c>
      <c r="J907" s="712">
        <f t="shared" si="35"/>
        <v>684</v>
      </c>
      <c r="K907" s="685" t="str">
        <f>UPPER((TEXT(Tabla5[[#This Row],[FECHA]],"MMM")))</f>
        <v>ABR</v>
      </c>
      <c r="L907" s="780">
        <f>YEAR(Tabla5[[#This Row],[FECHA]])</f>
        <v>2025</v>
      </c>
      <c r="M907" s="749">
        <v>419</v>
      </c>
      <c r="N907" s="441" t="s">
        <v>676</v>
      </c>
      <c r="O907" s="441" t="s">
        <v>712</v>
      </c>
      <c r="P907" s="441" t="s">
        <v>110</v>
      </c>
    </row>
    <row r="908" spans="1:16" ht="13.8">
      <c r="A908" s="778">
        <v>45755</v>
      </c>
      <c r="B908" s="340" t="s">
        <v>293</v>
      </c>
      <c r="C908" s="340" t="s">
        <v>273</v>
      </c>
      <c r="D908" s="340" t="s">
        <v>260</v>
      </c>
      <c r="E908" s="340">
        <v>58</v>
      </c>
      <c r="F908" s="340">
        <v>4</v>
      </c>
      <c r="G908" s="529">
        <v>978.29</v>
      </c>
      <c r="H908" s="529">
        <f t="shared" si="33"/>
        <v>226963.28</v>
      </c>
      <c r="I908" s="340">
        <v>527</v>
      </c>
      <c r="J908" s="712">
        <f t="shared" si="35"/>
        <v>232</v>
      </c>
      <c r="K908" s="685" t="str">
        <f>UPPER((TEXT(Tabla5[[#This Row],[FECHA]],"MMM")))</f>
        <v>ABR</v>
      </c>
      <c r="L908" s="780">
        <f>YEAR(Tabla5[[#This Row],[FECHA]])</f>
        <v>2025</v>
      </c>
      <c r="M908" s="749">
        <v>419</v>
      </c>
      <c r="N908" s="441" t="s">
        <v>680</v>
      </c>
      <c r="O908" s="441" t="s">
        <v>712</v>
      </c>
      <c r="P908" s="441" t="s">
        <v>110</v>
      </c>
    </row>
    <row r="909" spans="1:16" ht="13.8">
      <c r="A909" s="778">
        <v>45756</v>
      </c>
      <c r="B909" s="340" t="s">
        <v>272</v>
      </c>
      <c r="C909" s="340" t="s">
        <v>278</v>
      </c>
      <c r="D909" s="340" t="s">
        <v>260</v>
      </c>
      <c r="E909" s="340">
        <v>58</v>
      </c>
      <c r="F909" s="340">
        <v>4</v>
      </c>
      <c r="G909" s="529">
        <v>978.29</v>
      </c>
      <c r="H909" s="529">
        <f t="shared" si="33"/>
        <v>226963.28</v>
      </c>
      <c r="I909" s="340">
        <v>187</v>
      </c>
      <c r="J909" s="712">
        <f t="shared" si="35"/>
        <v>232</v>
      </c>
      <c r="K909" s="685" t="str">
        <f>UPPER((TEXT(Tabla5[[#This Row],[FECHA]],"MMM")))</f>
        <v>ABR</v>
      </c>
      <c r="L909" s="780">
        <f>YEAR(Tabla5[[#This Row],[FECHA]])</f>
        <v>2025</v>
      </c>
      <c r="M909" s="749">
        <v>419</v>
      </c>
      <c r="N909" s="441" t="s">
        <v>679</v>
      </c>
      <c r="O909" s="441" t="s">
        <v>712</v>
      </c>
      <c r="P909" s="441" t="s">
        <v>110</v>
      </c>
    </row>
    <row r="910" spans="1:16" ht="13.8">
      <c r="A910" s="778">
        <v>45756</v>
      </c>
      <c r="B910" s="340" t="s">
        <v>271</v>
      </c>
      <c r="C910" s="340" t="s">
        <v>257</v>
      </c>
      <c r="D910" s="340" t="s">
        <v>695</v>
      </c>
      <c r="E910" s="340">
        <v>76</v>
      </c>
      <c r="F910" s="340">
        <v>9</v>
      </c>
      <c r="G910" s="529">
        <v>978.29</v>
      </c>
      <c r="H910" s="529">
        <f t="shared" si="33"/>
        <v>669150.36</v>
      </c>
      <c r="I910" s="340">
        <v>1037</v>
      </c>
      <c r="J910" s="712">
        <f t="shared" si="35"/>
        <v>684</v>
      </c>
      <c r="K910" s="685" t="str">
        <f>UPPER((TEXT(Tabla5[[#This Row],[FECHA]],"MMM")))</f>
        <v>ABR</v>
      </c>
      <c r="L910" s="780">
        <f>YEAR(Tabla5[[#This Row],[FECHA]])</f>
        <v>2025</v>
      </c>
      <c r="M910" s="749">
        <v>419</v>
      </c>
      <c r="N910" s="441" t="s">
        <v>676</v>
      </c>
      <c r="O910" s="441" t="s">
        <v>712</v>
      </c>
      <c r="P910" s="441" t="s">
        <v>110</v>
      </c>
    </row>
    <row r="911" spans="1:16" ht="13.8">
      <c r="A911" s="778">
        <v>45756</v>
      </c>
      <c r="B911" s="340" t="s">
        <v>267</v>
      </c>
      <c r="C911" s="340" t="s">
        <v>268</v>
      </c>
      <c r="D911" s="340" t="s">
        <v>260</v>
      </c>
      <c r="E911" s="340">
        <v>58</v>
      </c>
      <c r="F911" s="340">
        <v>7</v>
      </c>
      <c r="G911" s="529">
        <v>978.29</v>
      </c>
      <c r="H911" s="529">
        <f t="shared" si="33"/>
        <v>397185.74</v>
      </c>
      <c r="I911" s="340">
        <v>801</v>
      </c>
      <c r="J911" s="712">
        <f t="shared" si="35"/>
        <v>406</v>
      </c>
      <c r="K911" s="685" t="str">
        <f>UPPER((TEXT(Tabla5[[#This Row],[FECHA]],"MMM")))</f>
        <v>ABR</v>
      </c>
      <c r="L911" s="780">
        <f>YEAR(Tabla5[[#This Row],[FECHA]])</f>
        <v>2025</v>
      </c>
      <c r="M911" s="749">
        <v>419</v>
      </c>
      <c r="N911" s="441" t="s">
        <v>680</v>
      </c>
      <c r="O911" s="441" t="s">
        <v>712</v>
      </c>
      <c r="P911" s="441" t="s">
        <v>110</v>
      </c>
    </row>
    <row r="912" spans="1:16" ht="13.8">
      <c r="A912" s="778">
        <v>45757</v>
      </c>
      <c r="B912" s="340" t="s">
        <v>289</v>
      </c>
      <c r="C912" s="340" t="s">
        <v>554</v>
      </c>
      <c r="D912" s="340" t="s">
        <v>260</v>
      </c>
      <c r="E912" s="340">
        <v>58</v>
      </c>
      <c r="F912" s="340">
        <v>4</v>
      </c>
      <c r="G912" s="529">
        <v>978.29</v>
      </c>
      <c r="H912" s="529">
        <f t="shared" si="33"/>
        <v>226963.28</v>
      </c>
      <c r="I912" s="340">
        <v>199</v>
      </c>
      <c r="J912" s="712">
        <f t="shared" si="35"/>
        <v>232</v>
      </c>
      <c r="K912" s="685" t="str">
        <f>UPPER((TEXT(Tabla5[[#This Row],[FECHA]],"MMM")))</f>
        <v>ABR</v>
      </c>
      <c r="L912" s="780">
        <f>YEAR(Tabla5[[#This Row],[FECHA]])</f>
        <v>2025</v>
      </c>
      <c r="M912" s="749">
        <v>419</v>
      </c>
      <c r="N912" s="441" t="s">
        <v>679</v>
      </c>
      <c r="O912" s="441" t="s">
        <v>712</v>
      </c>
      <c r="P912" s="441" t="s">
        <v>110</v>
      </c>
    </row>
    <row r="913" spans="1:16" ht="13.8">
      <c r="A913" s="778">
        <v>45757</v>
      </c>
      <c r="B913" s="340" t="s">
        <v>271</v>
      </c>
      <c r="C913" s="340" t="s">
        <v>257</v>
      </c>
      <c r="D913" s="340" t="s">
        <v>695</v>
      </c>
      <c r="E913" s="340">
        <v>76</v>
      </c>
      <c r="F913" s="340">
        <v>9</v>
      </c>
      <c r="G913" s="529">
        <v>978.29</v>
      </c>
      <c r="H913" s="529">
        <f t="shared" si="33"/>
        <v>669150.36</v>
      </c>
      <c r="I913" s="340">
        <v>836</v>
      </c>
      <c r="J913" s="712">
        <f t="shared" si="35"/>
        <v>684</v>
      </c>
      <c r="K913" s="685" t="str">
        <f>UPPER((TEXT(Tabla5[[#This Row],[FECHA]],"MMM")))</f>
        <v>ABR</v>
      </c>
      <c r="L913" s="780">
        <f>YEAR(Tabla5[[#This Row],[FECHA]])</f>
        <v>2025</v>
      </c>
      <c r="M913" s="749">
        <v>419</v>
      </c>
      <c r="N913" s="441" t="s">
        <v>676</v>
      </c>
      <c r="O913" s="441" t="s">
        <v>712</v>
      </c>
      <c r="P913" s="441" t="s">
        <v>110</v>
      </c>
    </row>
    <row r="914" spans="1:16" ht="13.8">
      <c r="A914" s="778">
        <v>45757</v>
      </c>
      <c r="B914" s="340" t="s">
        <v>267</v>
      </c>
      <c r="C914" s="340" t="s">
        <v>268</v>
      </c>
      <c r="D914" s="340" t="s">
        <v>260</v>
      </c>
      <c r="E914" s="340">
        <v>58</v>
      </c>
      <c r="F914" s="340">
        <v>4</v>
      </c>
      <c r="G914" s="529">
        <v>978.29</v>
      </c>
      <c r="H914" s="529">
        <f t="shared" si="33"/>
        <v>226963.28</v>
      </c>
      <c r="I914" s="340">
        <v>587</v>
      </c>
      <c r="J914" s="712">
        <f t="shared" si="35"/>
        <v>232</v>
      </c>
      <c r="K914" s="685" t="str">
        <f>UPPER((TEXT(Tabla5[[#This Row],[FECHA]],"MMM")))</f>
        <v>ABR</v>
      </c>
      <c r="L914" s="780">
        <f>YEAR(Tabla5[[#This Row],[FECHA]])</f>
        <v>2025</v>
      </c>
      <c r="M914" s="749">
        <v>419</v>
      </c>
      <c r="N914" s="441" t="s">
        <v>680</v>
      </c>
      <c r="O914" s="441" t="s">
        <v>712</v>
      </c>
      <c r="P914" s="441" t="s">
        <v>110</v>
      </c>
    </row>
    <row r="915" spans="1:16" ht="13.8">
      <c r="A915" s="778">
        <v>45758</v>
      </c>
      <c r="B915" s="340" t="s">
        <v>272</v>
      </c>
      <c r="C915" s="340" t="s">
        <v>278</v>
      </c>
      <c r="D915" s="340" t="s">
        <v>260</v>
      </c>
      <c r="E915" s="340">
        <v>58</v>
      </c>
      <c r="F915" s="340">
        <v>4</v>
      </c>
      <c r="G915" s="529">
        <v>978.29</v>
      </c>
      <c r="H915" s="529">
        <f t="shared" si="33"/>
        <v>226963.28</v>
      </c>
      <c r="I915" s="340">
        <v>147</v>
      </c>
      <c r="J915" s="712">
        <f t="shared" si="35"/>
        <v>232</v>
      </c>
      <c r="K915" s="685" t="str">
        <f>UPPER((TEXT(Tabla5[[#This Row],[FECHA]],"MMM")))</f>
        <v>ABR</v>
      </c>
      <c r="L915" s="780">
        <f>YEAR(Tabla5[[#This Row],[FECHA]])</f>
        <v>2025</v>
      </c>
      <c r="M915" s="749">
        <v>419</v>
      </c>
      <c r="N915" s="441" t="s">
        <v>679</v>
      </c>
      <c r="O915" s="441" t="s">
        <v>712</v>
      </c>
      <c r="P915" s="441" t="s">
        <v>110</v>
      </c>
    </row>
    <row r="916" spans="1:16" ht="13.8">
      <c r="A916" s="778">
        <v>45758</v>
      </c>
      <c r="B916" s="340" t="s">
        <v>271</v>
      </c>
      <c r="C916" s="340" t="s">
        <v>292</v>
      </c>
      <c r="D916" s="340" t="s">
        <v>695</v>
      </c>
      <c r="E916" s="340">
        <v>76</v>
      </c>
      <c r="F916" s="340">
        <v>9</v>
      </c>
      <c r="G916" s="529">
        <v>978.29</v>
      </c>
      <c r="H916" s="529">
        <f t="shared" si="33"/>
        <v>669150.36</v>
      </c>
      <c r="I916" s="340">
        <v>1302</v>
      </c>
      <c r="J916" s="712">
        <f t="shared" si="35"/>
        <v>684</v>
      </c>
      <c r="K916" s="685" t="str">
        <f>UPPER((TEXT(Tabla5[[#This Row],[FECHA]],"MMM")))</f>
        <v>ABR</v>
      </c>
      <c r="L916" s="780">
        <f>YEAR(Tabla5[[#This Row],[FECHA]])</f>
        <v>2025</v>
      </c>
      <c r="M916" s="749">
        <v>419</v>
      </c>
      <c r="N916" s="441" t="s">
        <v>676</v>
      </c>
      <c r="O916" s="441" t="s">
        <v>712</v>
      </c>
      <c r="P916" s="441" t="s">
        <v>110</v>
      </c>
    </row>
    <row r="917" spans="1:16" ht="13.8">
      <c r="A917" s="778">
        <v>45758</v>
      </c>
      <c r="B917" s="340" t="s">
        <v>267</v>
      </c>
      <c r="C917" s="340" t="s">
        <v>404</v>
      </c>
      <c r="D917" s="340" t="s">
        <v>260</v>
      </c>
      <c r="E917" s="340">
        <v>58</v>
      </c>
      <c r="F917" s="340">
        <v>7</v>
      </c>
      <c r="G917" s="529">
        <v>978.29</v>
      </c>
      <c r="H917" s="529">
        <f t="shared" si="33"/>
        <v>397185.74</v>
      </c>
      <c r="I917" s="340">
        <v>760</v>
      </c>
      <c r="J917" s="712">
        <f t="shared" si="35"/>
        <v>406</v>
      </c>
      <c r="K917" s="685" t="str">
        <f>UPPER((TEXT(Tabla5[[#This Row],[FECHA]],"MMM")))</f>
        <v>ABR</v>
      </c>
      <c r="L917" s="780">
        <f>YEAR(Tabla5[[#This Row],[FECHA]])</f>
        <v>2025</v>
      </c>
      <c r="M917" s="749">
        <v>419</v>
      </c>
      <c r="N917" s="441" t="s">
        <v>680</v>
      </c>
      <c r="O917" s="441" t="s">
        <v>712</v>
      </c>
      <c r="P917" s="441" t="s">
        <v>110</v>
      </c>
    </row>
    <row r="918" spans="1:16" ht="13.8">
      <c r="A918" s="778">
        <v>45758</v>
      </c>
      <c r="B918" s="340" t="s">
        <v>410</v>
      </c>
      <c r="C918" s="340" t="s">
        <v>258</v>
      </c>
      <c r="D918" s="340" t="s">
        <v>694</v>
      </c>
      <c r="E918" s="340">
        <v>96</v>
      </c>
      <c r="F918" s="340">
        <v>4</v>
      </c>
      <c r="G918" s="529">
        <v>978.29</v>
      </c>
      <c r="H918" s="551">
        <f t="shared" si="33"/>
        <v>375663.35999999999</v>
      </c>
      <c r="I918" s="340">
        <v>312</v>
      </c>
      <c r="J918" s="712">
        <f t="shared" si="35"/>
        <v>384</v>
      </c>
      <c r="K918" s="685" t="str">
        <f>UPPER((TEXT(Tabla5[[#This Row],[FECHA]],"MMM")))</f>
        <v>ABR</v>
      </c>
      <c r="L918" s="780">
        <f>YEAR(Tabla5[[#This Row],[FECHA]])</f>
        <v>2025</v>
      </c>
      <c r="M918" s="749">
        <v>419</v>
      </c>
      <c r="N918" s="441" t="s">
        <v>678</v>
      </c>
      <c r="O918" s="441" t="s">
        <v>713</v>
      </c>
      <c r="P918" s="441" t="s">
        <v>110</v>
      </c>
    </row>
    <row r="919" spans="1:16" ht="13.8">
      <c r="A919" s="531">
        <v>45759</v>
      </c>
      <c r="B919" s="340" t="s">
        <v>272</v>
      </c>
      <c r="C919" s="340" t="s">
        <v>282</v>
      </c>
      <c r="D919" s="340" t="s">
        <v>695</v>
      </c>
      <c r="E919" s="340">
        <v>76</v>
      </c>
      <c r="F919" s="340">
        <v>3</v>
      </c>
      <c r="G919" s="529">
        <v>978.29</v>
      </c>
      <c r="H919" s="529">
        <f t="shared" si="33"/>
        <v>223050.12</v>
      </c>
      <c r="I919" s="340">
        <v>345</v>
      </c>
      <c r="J919" s="712">
        <f t="shared" si="35"/>
        <v>228</v>
      </c>
      <c r="K919" s="685" t="str">
        <f>UPPER((TEXT(Tabla5[[#This Row],[FECHA]],"MMM")))</f>
        <v>ABR</v>
      </c>
      <c r="L919" s="780">
        <f>YEAR(Tabla5[[#This Row],[FECHA]])</f>
        <v>2025</v>
      </c>
      <c r="M919" s="749">
        <v>419</v>
      </c>
      <c r="N919" s="441" t="s">
        <v>676</v>
      </c>
      <c r="O919" s="441" t="s">
        <v>712</v>
      </c>
      <c r="P919" s="441" t="s">
        <v>110</v>
      </c>
    </row>
    <row r="920" spans="1:16" ht="13.8">
      <c r="A920" s="531">
        <v>45759</v>
      </c>
      <c r="B920" s="340" t="s">
        <v>271</v>
      </c>
      <c r="C920" s="340" t="s">
        <v>292</v>
      </c>
      <c r="D920" s="340" t="s">
        <v>694</v>
      </c>
      <c r="E920" s="340">
        <v>96</v>
      </c>
      <c r="F920" s="340">
        <v>17</v>
      </c>
      <c r="G920" s="529">
        <v>978.29</v>
      </c>
      <c r="H920" s="551">
        <f t="shared" si="33"/>
        <v>1596569.28</v>
      </c>
      <c r="I920" s="340">
        <v>1242</v>
      </c>
      <c r="J920" s="712">
        <f t="shared" si="35"/>
        <v>1632</v>
      </c>
      <c r="K920" s="685" t="str">
        <f>UPPER((TEXT(Tabla5[[#This Row],[FECHA]],"MMM")))</f>
        <v>ABR</v>
      </c>
      <c r="L920" s="780">
        <f>YEAR(Tabla5[[#This Row],[FECHA]])</f>
        <v>2025</v>
      </c>
      <c r="M920" s="749">
        <v>419</v>
      </c>
      <c r="N920" s="441" t="s">
        <v>678</v>
      </c>
      <c r="O920" s="441" t="s">
        <v>713</v>
      </c>
      <c r="P920" s="441" t="s">
        <v>110</v>
      </c>
    </row>
    <row r="921" spans="1:16" ht="13.2" customHeight="1">
      <c r="A921" s="531">
        <v>45760</v>
      </c>
      <c r="B921" s="340" t="s">
        <v>253</v>
      </c>
      <c r="C921" s="340" t="s">
        <v>258</v>
      </c>
      <c r="D921" s="340" t="s">
        <v>694</v>
      </c>
      <c r="E921" s="340">
        <v>96</v>
      </c>
      <c r="F921" s="340">
        <v>18</v>
      </c>
      <c r="G921" s="529">
        <v>978.29</v>
      </c>
      <c r="H921" s="551">
        <f t="shared" si="33"/>
        <v>1690485.1199999999</v>
      </c>
      <c r="I921" s="340">
        <v>1432</v>
      </c>
      <c r="J921" s="712">
        <f t="shared" si="35"/>
        <v>1728</v>
      </c>
      <c r="K921" s="685" t="str">
        <f>UPPER((TEXT(Tabla5[[#This Row],[FECHA]],"MMM")))</f>
        <v>ABR</v>
      </c>
      <c r="L921" s="780">
        <f>YEAR(Tabla5[[#This Row],[FECHA]])</f>
        <v>2025</v>
      </c>
      <c r="M921" s="749">
        <v>419</v>
      </c>
      <c r="N921" s="441" t="s">
        <v>678</v>
      </c>
      <c r="O921" s="441" t="s">
        <v>713</v>
      </c>
      <c r="P921" s="441" t="s">
        <v>110</v>
      </c>
    </row>
    <row r="922" spans="1:16" ht="13.8">
      <c r="A922" s="531">
        <v>45764</v>
      </c>
      <c r="B922" s="340" t="s">
        <v>256</v>
      </c>
      <c r="C922" s="340" t="s">
        <v>257</v>
      </c>
      <c r="D922" s="340" t="s">
        <v>694</v>
      </c>
      <c r="E922" s="340">
        <v>96</v>
      </c>
      <c r="F922" s="340">
        <v>18</v>
      </c>
      <c r="G922" s="529">
        <v>978.29</v>
      </c>
      <c r="H922" s="551">
        <f t="shared" si="33"/>
        <v>1690485.1199999999</v>
      </c>
      <c r="I922" s="340">
        <v>1624</v>
      </c>
      <c r="J922" s="712">
        <f t="shared" si="35"/>
        <v>1728</v>
      </c>
      <c r="K922" s="685" t="str">
        <f>UPPER((TEXT(Tabla5[[#This Row],[FECHA]],"MMM")))</f>
        <v>ABR</v>
      </c>
      <c r="L922" s="780">
        <f>YEAR(Tabla5[[#This Row],[FECHA]])</f>
        <v>2025</v>
      </c>
      <c r="M922" s="749">
        <v>419</v>
      </c>
      <c r="N922" s="441" t="s">
        <v>678</v>
      </c>
      <c r="O922" s="441" t="s">
        <v>713</v>
      </c>
      <c r="P922" s="441" t="s">
        <v>110</v>
      </c>
    </row>
    <row r="923" spans="1:16" ht="13.8">
      <c r="A923" s="531">
        <v>45765</v>
      </c>
      <c r="B923" s="340" t="s">
        <v>256</v>
      </c>
      <c r="C923" s="340" t="s">
        <v>257</v>
      </c>
      <c r="D923" s="340" t="s">
        <v>694</v>
      </c>
      <c r="E923" s="340">
        <v>96</v>
      </c>
      <c r="F923" s="340">
        <v>18</v>
      </c>
      <c r="G923" s="529">
        <v>978.29</v>
      </c>
      <c r="H923" s="551">
        <f t="shared" si="33"/>
        <v>1690485.1199999999</v>
      </c>
      <c r="I923" s="340">
        <v>1588</v>
      </c>
      <c r="J923" s="712">
        <f t="shared" si="35"/>
        <v>1728</v>
      </c>
      <c r="K923" s="685" t="str">
        <f>UPPER((TEXT(Tabla5[[#This Row],[FECHA]],"MMM")))</f>
        <v>ABR</v>
      </c>
      <c r="L923" s="780">
        <f>YEAR(Tabla5[[#This Row],[FECHA]])</f>
        <v>2025</v>
      </c>
      <c r="M923" s="749">
        <v>419</v>
      </c>
      <c r="N923" s="441" t="s">
        <v>678</v>
      </c>
      <c r="O923" s="441" t="s">
        <v>713</v>
      </c>
      <c r="P923" s="441" t="s">
        <v>110</v>
      </c>
    </row>
    <row r="924" spans="1:16" ht="13.8">
      <c r="A924" s="531">
        <v>45766</v>
      </c>
      <c r="B924" s="340" t="s">
        <v>256</v>
      </c>
      <c r="C924" s="340" t="s">
        <v>257</v>
      </c>
      <c r="D924" s="340" t="s">
        <v>694</v>
      </c>
      <c r="E924" s="340">
        <v>96</v>
      </c>
      <c r="F924" s="340">
        <v>18</v>
      </c>
      <c r="G924" s="529">
        <v>978.29</v>
      </c>
      <c r="H924" s="551">
        <f t="shared" si="33"/>
        <v>1690485.1199999999</v>
      </c>
      <c r="I924" s="340">
        <v>1586</v>
      </c>
      <c r="J924" s="712">
        <f t="shared" si="35"/>
        <v>1728</v>
      </c>
      <c r="K924" s="685" t="str">
        <f>UPPER((TEXT(Tabla5[[#This Row],[FECHA]],"MMM")))</f>
        <v>ABR</v>
      </c>
      <c r="L924" s="780">
        <f>YEAR(Tabla5[[#This Row],[FECHA]])</f>
        <v>2025</v>
      </c>
      <c r="M924" s="749">
        <v>419</v>
      </c>
      <c r="N924" s="441" t="s">
        <v>678</v>
      </c>
      <c r="O924" s="441" t="s">
        <v>713</v>
      </c>
      <c r="P924" s="441" t="s">
        <v>110</v>
      </c>
    </row>
    <row r="925" spans="1:16" ht="13.8">
      <c r="A925" s="778">
        <v>45767</v>
      </c>
      <c r="B925" s="340" t="s">
        <v>256</v>
      </c>
      <c r="C925" s="340" t="s">
        <v>257</v>
      </c>
      <c r="D925" s="340" t="s">
        <v>694</v>
      </c>
      <c r="E925" s="340">
        <v>96</v>
      </c>
      <c r="F925" s="340">
        <v>14</v>
      </c>
      <c r="G925" s="529">
        <v>978.29</v>
      </c>
      <c r="H925" s="551">
        <f t="shared" si="33"/>
        <v>1314821.76</v>
      </c>
      <c r="I925" s="340">
        <v>924</v>
      </c>
      <c r="J925" s="712">
        <f t="shared" si="35"/>
        <v>1344</v>
      </c>
      <c r="K925" s="685" t="str">
        <f>UPPER((TEXT(Tabla5[[#This Row],[FECHA]],"MMM")))</f>
        <v>ABR</v>
      </c>
      <c r="L925" s="780">
        <f>YEAR(Tabla5[[#This Row],[FECHA]])</f>
        <v>2025</v>
      </c>
      <c r="M925" s="749">
        <v>419</v>
      </c>
      <c r="N925" s="441" t="s">
        <v>678</v>
      </c>
      <c r="O925" s="441" t="s">
        <v>713</v>
      </c>
      <c r="P925" s="441" t="s">
        <v>110</v>
      </c>
    </row>
    <row r="926" spans="1:16" ht="13.8">
      <c r="A926" s="778">
        <v>45768</v>
      </c>
      <c r="B926" s="340" t="s">
        <v>272</v>
      </c>
      <c r="C926" s="340" t="s">
        <v>273</v>
      </c>
      <c r="D926" s="340" t="s">
        <v>260</v>
      </c>
      <c r="E926" s="340">
        <v>58</v>
      </c>
      <c r="F926" s="340">
        <v>4</v>
      </c>
      <c r="G926" s="529">
        <v>978.29</v>
      </c>
      <c r="H926" s="529">
        <f t="shared" si="33"/>
        <v>226963.28</v>
      </c>
      <c r="I926" s="340">
        <v>175</v>
      </c>
      <c r="J926" s="712">
        <f t="shared" si="35"/>
        <v>232</v>
      </c>
      <c r="K926" s="685" t="str">
        <f>UPPER((TEXT(Tabla5[[#This Row],[FECHA]],"MMM")))</f>
        <v>ABR</v>
      </c>
      <c r="L926" s="780">
        <f>YEAR(Tabla5[[#This Row],[FECHA]])</f>
        <v>2025</v>
      </c>
      <c r="M926" s="749">
        <v>419</v>
      </c>
      <c r="N926" s="441" t="s">
        <v>679</v>
      </c>
      <c r="O926" s="441" t="s">
        <v>712</v>
      </c>
      <c r="P926" s="441" t="s">
        <v>110</v>
      </c>
    </row>
    <row r="927" spans="1:16" ht="13.8">
      <c r="A927" s="778">
        <v>45768</v>
      </c>
      <c r="B927" s="340" t="s">
        <v>271</v>
      </c>
      <c r="C927" s="340" t="s">
        <v>257</v>
      </c>
      <c r="D927" s="340" t="s">
        <v>695</v>
      </c>
      <c r="E927" s="930">
        <v>74</v>
      </c>
      <c r="F927" s="340">
        <v>9</v>
      </c>
      <c r="G927" s="529">
        <v>978.29</v>
      </c>
      <c r="H927" s="529">
        <f t="shared" si="33"/>
        <v>651541.14</v>
      </c>
      <c r="I927" s="340">
        <v>1197</v>
      </c>
      <c r="J927" s="712">
        <f t="shared" si="35"/>
        <v>666</v>
      </c>
      <c r="K927" s="685" t="str">
        <f>UPPER((TEXT(Tabla5[[#This Row],[FECHA]],"MMM")))</f>
        <v>ABR</v>
      </c>
      <c r="L927" s="780">
        <f>YEAR(Tabla5[[#This Row],[FECHA]])</f>
        <v>2025</v>
      </c>
      <c r="M927" s="749">
        <v>419</v>
      </c>
      <c r="N927" s="441" t="s">
        <v>676</v>
      </c>
      <c r="O927" s="441" t="s">
        <v>712</v>
      </c>
      <c r="P927" s="441" t="s">
        <v>110</v>
      </c>
    </row>
    <row r="928" spans="1:16" ht="13.8">
      <c r="A928" s="531">
        <v>45769</v>
      </c>
      <c r="B928" s="340" t="s">
        <v>272</v>
      </c>
      <c r="C928" s="340" t="s">
        <v>807</v>
      </c>
      <c r="D928" s="340" t="s">
        <v>260</v>
      </c>
      <c r="E928" s="340">
        <v>58</v>
      </c>
      <c r="F928" s="340">
        <v>4</v>
      </c>
      <c r="G928" s="529">
        <v>978.29</v>
      </c>
      <c r="H928" s="529">
        <f t="shared" si="33"/>
        <v>226963.28</v>
      </c>
      <c r="I928" s="340">
        <v>197</v>
      </c>
      <c r="J928" s="712">
        <f t="shared" si="35"/>
        <v>232</v>
      </c>
      <c r="K928" s="685" t="str">
        <f>UPPER((TEXT(Tabla5[[#This Row],[FECHA]],"MMM")))</f>
        <v>ABR</v>
      </c>
      <c r="L928" s="780">
        <f>YEAR(Tabla5[[#This Row],[FECHA]])</f>
        <v>2025</v>
      </c>
      <c r="M928" s="749">
        <v>419</v>
      </c>
      <c r="N928" s="441" t="s">
        <v>679</v>
      </c>
      <c r="O928" s="441" t="s">
        <v>712</v>
      </c>
      <c r="P928" s="441" t="s">
        <v>110</v>
      </c>
    </row>
    <row r="929" spans="1:16" ht="13.8">
      <c r="A929" s="531">
        <v>45769</v>
      </c>
      <c r="B929" s="340" t="s">
        <v>271</v>
      </c>
      <c r="C929" s="340" t="s">
        <v>257</v>
      </c>
      <c r="D929" s="340" t="s">
        <v>695</v>
      </c>
      <c r="E929" s="930">
        <v>74</v>
      </c>
      <c r="F929" s="340">
        <v>9</v>
      </c>
      <c r="G929" s="529">
        <v>978.29</v>
      </c>
      <c r="H929" s="529">
        <f t="shared" si="33"/>
        <v>651541.14</v>
      </c>
      <c r="I929" s="340">
        <v>1121</v>
      </c>
      <c r="J929" s="712">
        <f t="shared" si="35"/>
        <v>666</v>
      </c>
      <c r="K929" s="685" t="str">
        <f>UPPER((TEXT(Tabla5[[#This Row],[FECHA]],"MMM")))</f>
        <v>ABR</v>
      </c>
      <c r="L929" s="780">
        <f>YEAR(Tabla5[[#This Row],[FECHA]])</f>
        <v>2025</v>
      </c>
      <c r="M929" s="749">
        <v>419</v>
      </c>
      <c r="N929" s="441" t="s">
        <v>676</v>
      </c>
      <c r="O929" s="441" t="s">
        <v>712</v>
      </c>
      <c r="P929" s="441" t="s">
        <v>110</v>
      </c>
    </row>
    <row r="930" spans="1:16" ht="13.8">
      <c r="A930" s="531">
        <v>45769</v>
      </c>
      <c r="B930" s="340" t="s">
        <v>403</v>
      </c>
      <c r="C930" s="340" t="s">
        <v>404</v>
      </c>
      <c r="D930" s="340" t="s">
        <v>260</v>
      </c>
      <c r="E930" s="340">
        <v>58</v>
      </c>
      <c r="F930" s="340">
        <v>4</v>
      </c>
      <c r="G930" s="529">
        <v>978.29</v>
      </c>
      <c r="H930" s="529">
        <f t="shared" si="33"/>
        <v>226963.28</v>
      </c>
      <c r="I930" s="340">
        <v>433</v>
      </c>
      <c r="J930" s="712">
        <f t="shared" si="35"/>
        <v>232</v>
      </c>
      <c r="K930" s="685" t="str">
        <f>UPPER((TEXT(Tabla5[[#This Row],[FECHA]],"MMM")))</f>
        <v>ABR</v>
      </c>
      <c r="L930" s="780">
        <f>YEAR(Tabla5[[#This Row],[FECHA]])</f>
        <v>2025</v>
      </c>
      <c r="M930" s="749">
        <v>419</v>
      </c>
      <c r="N930" s="441" t="s">
        <v>680</v>
      </c>
      <c r="O930" s="441" t="s">
        <v>712</v>
      </c>
      <c r="P930" s="441" t="s">
        <v>110</v>
      </c>
    </row>
    <row r="931" spans="1:16" ht="13.8">
      <c r="A931" s="531">
        <v>45770</v>
      </c>
      <c r="B931" s="340" t="s">
        <v>272</v>
      </c>
      <c r="C931" s="340" t="s">
        <v>807</v>
      </c>
      <c r="D931" s="340" t="s">
        <v>260</v>
      </c>
      <c r="E931" s="340">
        <v>58</v>
      </c>
      <c r="F931" s="340">
        <v>4</v>
      </c>
      <c r="G931" s="529">
        <v>978.29</v>
      </c>
      <c r="H931" s="529">
        <f t="shared" si="33"/>
        <v>226963.28</v>
      </c>
      <c r="I931" s="340">
        <v>209</v>
      </c>
      <c r="J931" s="712">
        <f t="shared" si="35"/>
        <v>232</v>
      </c>
      <c r="K931" s="685" t="str">
        <f>UPPER((TEXT(Tabla5[[#This Row],[FECHA]],"MMM")))</f>
        <v>ABR</v>
      </c>
      <c r="L931" s="780">
        <f>YEAR(Tabla5[[#This Row],[FECHA]])</f>
        <v>2025</v>
      </c>
      <c r="M931" s="749">
        <v>419</v>
      </c>
      <c r="N931" s="441" t="s">
        <v>679</v>
      </c>
      <c r="O931" s="441" t="s">
        <v>712</v>
      </c>
      <c r="P931" s="441" t="s">
        <v>110</v>
      </c>
    </row>
    <row r="932" spans="1:16" ht="13.8">
      <c r="A932" s="531">
        <v>45770</v>
      </c>
      <c r="B932" s="340" t="s">
        <v>271</v>
      </c>
      <c r="C932" s="340" t="s">
        <v>257</v>
      </c>
      <c r="D932" s="340" t="s">
        <v>695</v>
      </c>
      <c r="E932" s="930">
        <v>74</v>
      </c>
      <c r="F932" s="340">
        <v>9</v>
      </c>
      <c r="G932" s="529">
        <v>978.29</v>
      </c>
      <c r="H932" s="529">
        <f t="shared" si="33"/>
        <v>651541.14</v>
      </c>
      <c r="I932" s="340">
        <v>1114</v>
      </c>
      <c r="J932" s="712">
        <f t="shared" si="35"/>
        <v>666</v>
      </c>
      <c r="K932" s="685" t="str">
        <f>UPPER((TEXT(Tabla5[[#This Row],[FECHA]],"MMM")))</f>
        <v>ABR</v>
      </c>
      <c r="L932" s="780">
        <f>YEAR(Tabla5[[#This Row],[FECHA]])</f>
        <v>2025</v>
      </c>
      <c r="M932" s="749">
        <v>419</v>
      </c>
      <c r="N932" s="441" t="s">
        <v>676</v>
      </c>
      <c r="O932" s="441" t="s">
        <v>712</v>
      </c>
      <c r="P932" s="441" t="s">
        <v>110</v>
      </c>
    </row>
    <row r="933" spans="1:16" ht="13.8">
      <c r="A933" s="531">
        <v>45770</v>
      </c>
      <c r="B933" s="340" t="s">
        <v>403</v>
      </c>
      <c r="C933" s="340" t="s">
        <v>404</v>
      </c>
      <c r="D933" s="340" t="s">
        <v>260</v>
      </c>
      <c r="E933" s="340">
        <v>58</v>
      </c>
      <c r="F933" s="340">
        <v>7</v>
      </c>
      <c r="G933" s="529">
        <v>978.29</v>
      </c>
      <c r="H933" s="529">
        <f t="shared" si="33"/>
        <v>397185.74</v>
      </c>
      <c r="I933" s="340">
        <v>865</v>
      </c>
      <c r="J933" s="712">
        <f t="shared" si="35"/>
        <v>406</v>
      </c>
      <c r="K933" s="685" t="str">
        <f>UPPER((TEXT(Tabla5[[#This Row],[FECHA]],"MMM")))</f>
        <v>ABR</v>
      </c>
      <c r="L933" s="780">
        <f>YEAR(Tabla5[[#This Row],[FECHA]])</f>
        <v>2025</v>
      </c>
      <c r="M933" s="749">
        <v>419</v>
      </c>
      <c r="N933" s="441" t="s">
        <v>680</v>
      </c>
      <c r="O933" s="441" t="s">
        <v>712</v>
      </c>
      <c r="P933" s="441" t="s">
        <v>110</v>
      </c>
    </row>
    <row r="934" spans="1:16" ht="13.8">
      <c r="A934" s="531">
        <v>45771</v>
      </c>
      <c r="B934" s="340" t="s">
        <v>272</v>
      </c>
      <c r="C934" s="340" t="s">
        <v>807</v>
      </c>
      <c r="D934" s="340" t="s">
        <v>260</v>
      </c>
      <c r="E934" s="340">
        <v>58</v>
      </c>
      <c r="F934" s="340">
        <v>4</v>
      </c>
      <c r="G934" s="529">
        <v>978.29</v>
      </c>
      <c r="H934" s="529">
        <f t="shared" si="33"/>
        <v>226963.28</v>
      </c>
      <c r="I934" s="340">
        <v>222</v>
      </c>
      <c r="J934" s="712">
        <f t="shared" si="35"/>
        <v>232</v>
      </c>
      <c r="K934" s="685" t="str">
        <f>UPPER((TEXT(Tabla5[[#This Row],[FECHA]],"MMM")))</f>
        <v>ABR</v>
      </c>
      <c r="L934" s="780">
        <f>YEAR(Tabla5[[#This Row],[FECHA]])</f>
        <v>2025</v>
      </c>
      <c r="M934" s="749">
        <v>419</v>
      </c>
      <c r="N934" s="441" t="s">
        <v>679</v>
      </c>
      <c r="O934" s="441" t="s">
        <v>712</v>
      </c>
      <c r="P934" s="441" t="s">
        <v>110</v>
      </c>
    </row>
    <row r="935" spans="1:16" ht="13.8">
      <c r="A935" s="531">
        <v>45771</v>
      </c>
      <c r="B935" s="340" t="s">
        <v>271</v>
      </c>
      <c r="C935" s="340" t="s">
        <v>257</v>
      </c>
      <c r="D935" s="340" t="s">
        <v>695</v>
      </c>
      <c r="E935" s="930">
        <v>74</v>
      </c>
      <c r="F935" s="340">
        <v>9</v>
      </c>
      <c r="G935" s="529">
        <v>978.29</v>
      </c>
      <c r="H935" s="529">
        <f t="shared" si="33"/>
        <v>651541.14</v>
      </c>
      <c r="I935" s="340">
        <v>937</v>
      </c>
      <c r="J935" s="712">
        <f t="shared" si="35"/>
        <v>666</v>
      </c>
      <c r="K935" s="685" t="str">
        <f>UPPER((TEXT(Tabla5[[#This Row],[FECHA]],"MMM")))</f>
        <v>ABR</v>
      </c>
      <c r="L935" s="780">
        <f>YEAR(Tabla5[[#This Row],[FECHA]])</f>
        <v>2025</v>
      </c>
      <c r="M935" s="749">
        <v>419</v>
      </c>
      <c r="N935" s="441" t="s">
        <v>676</v>
      </c>
      <c r="O935" s="441" t="s">
        <v>712</v>
      </c>
      <c r="P935" s="441" t="s">
        <v>110</v>
      </c>
    </row>
    <row r="936" spans="1:16" ht="13.8">
      <c r="A936" s="531">
        <v>45771</v>
      </c>
      <c r="B936" s="340" t="s">
        <v>403</v>
      </c>
      <c r="C936" s="340" t="s">
        <v>404</v>
      </c>
      <c r="D936" s="340" t="s">
        <v>260</v>
      </c>
      <c r="E936" s="340">
        <v>58</v>
      </c>
      <c r="F936" s="340">
        <v>4</v>
      </c>
      <c r="G936" s="529">
        <v>978.29</v>
      </c>
      <c r="H936" s="529">
        <f t="shared" si="33"/>
        <v>226963.28</v>
      </c>
      <c r="I936" s="340">
        <v>589</v>
      </c>
      <c r="J936" s="712">
        <f t="shared" si="35"/>
        <v>232</v>
      </c>
      <c r="K936" s="685" t="str">
        <f>UPPER((TEXT(Tabla5[[#This Row],[FECHA]],"MMM")))</f>
        <v>ABR</v>
      </c>
      <c r="L936" s="780">
        <f>YEAR(Tabla5[[#This Row],[FECHA]])</f>
        <v>2025</v>
      </c>
      <c r="M936" s="749">
        <v>419</v>
      </c>
      <c r="N936" s="441" t="s">
        <v>680</v>
      </c>
      <c r="O936" s="441" t="s">
        <v>712</v>
      </c>
      <c r="P936" s="441" t="s">
        <v>110</v>
      </c>
    </row>
    <row r="937" spans="1:16" ht="13.8">
      <c r="A937" s="531">
        <v>45772</v>
      </c>
      <c r="B937" s="340" t="s">
        <v>272</v>
      </c>
      <c r="C937" s="340" t="s">
        <v>807</v>
      </c>
      <c r="D937" s="340" t="s">
        <v>260</v>
      </c>
      <c r="E937" s="340">
        <v>58</v>
      </c>
      <c r="F937" s="340">
        <v>4</v>
      </c>
      <c r="G937" s="529">
        <v>978.29</v>
      </c>
      <c r="H937" s="529">
        <f t="shared" si="33"/>
        <v>226963.28</v>
      </c>
      <c r="I937" s="340">
        <v>183</v>
      </c>
      <c r="J937" s="712">
        <f t="shared" si="35"/>
        <v>232</v>
      </c>
      <c r="K937" s="685" t="str">
        <f>UPPER((TEXT(Tabla5[[#This Row],[FECHA]],"MMM")))</f>
        <v>ABR</v>
      </c>
      <c r="L937" s="780">
        <f>YEAR(Tabla5[[#This Row],[FECHA]])</f>
        <v>2025</v>
      </c>
      <c r="M937" s="749">
        <v>419</v>
      </c>
      <c r="N937" s="441" t="s">
        <v>679</v>
      </c>
      <c r="O937" s="441" t="s">
        <v>712</v>
      </c>
      <c r="P937" s="441" t="s">
        <v>110</v>
      </c>
    </row>
    <row r="938" spans="1:16" ht="13.8">
      <c r="A938" s="531">
        <v>45772</v>
      </c>
      <c r="B938" s="340" t="s">
        <v>271</v>
      </c>
      <c r="C938" s="340" t="s">
        <v>257</v>
      </c>
      <c r="D938" s="340" t="s">
        <v>695</v>
      </c>
      <c r="E938" s="340">
        <v>76</v>
      </c>
      <c r="F938" s="340">
        <v>11</v>
      </c>
      <c r="G938" s="529">
        <v>978.29</v>
      </c>
      <c r="H938" s="529">
        <f t="shared" si="33"/>
        <v>817850.44</v>
      </c>
      <c r="I938" s="340">
        <v>1372</v>
      </c>
      <c r="J938" s="712">
        <f t="shared" si="35"/>
        <v>836</v>
      </c>
      <c r="K938" s="685" t="str">
        <f>UPPER((TEXT(Tabla5[[#This Row],[FECHA]],"MMM")))</f>
        <v>ABR</v>
      </c>
      <c r="L938" s="780">
        <f>YEAR(Tabla5[[#This Row],[FECHA]])</f>
        <v>2025</v>
      </c>
      <c r="M938" s="749">
        <v>419</v>
      </c>
      <c r="N938" s="441" t="s">
        <v>676</v>
      </c>
      <c r="O938" s="441" t="s">
        <v>712</v>
      </c>
      <c r="P938" s="441" t="s">
        <v>110</v>
      </c>
    </row>
    <row r="939" spans="1:16" ht="13.8">
      <c r="A939" s="531">
        <v>45772</v>
      </c>
      <c r="B939" s="340" t="s">
        <v>403</v>
      </c>
      <c r="C939" s="340" t="s">
        <v>404</v>
      </c>
      <c r="D939" s="340" t="s">
        <v>260</v>
      </c>
      <c r="E939" s="340">
        <v>58</v>
      </c>
      <c r="F939" s="340">
        <v>7</v>
      </c>
      <c r="G939" s="529">
        <v>978.29</v>
      </c>
      <c r="H939" s="529">
        <f t="shared" si="33"/>
        <v>397185.74</v>
      </c>
      <c r="I939" s="340">
        <v>851</v>
      </c>
      <c r="J939" s="712">
        <f t="shared" si="35"/>
        <v>406</v>
      </c>
      <c r="K939" s="685" t="str">
        <f>UPPER((TEXT(Tabla5[[#This Row],[FECHA]],"MMM")))</f>
        <v>ABR</v>
      </c>
      <c r="L939" s="780">
        <f>YEAR(Tabla5[[#This Row],[FECHA]])</f>
        <v>2025</v>
      </c>
      <c r="M939" s="749">
        <v>419</v>
      </c>
      <c r="N939" s="441" t="s">
        <v>680</v>
      </c>
      <c r="O939" s="441" t="s">
        <v>712</v>
      </c>
      <c r="P939" s="441" t="s">
        <v>110</v>
      </c>
    </row>
    <row r="940" spans="1:16" ht="13.8">
      <c r="A940" s="531">
        <v>45773</v>
      </c>
      <c r="B940" s="340" t="s">
        <v>253</v>
      </c>
      <c r="C940" s="340" t="s">
        <v>258</v>
      </c>
      <c r="D940" s="340" t="s">
        <v>695</v>
      </c>
      <c r="E940" s="340">
        <v>76</v>
      </c>
      <c r="F940" s="340">
        <v>7</v>
      </c>
      <c r="G940" s="529">
        <v>978.29</v>
      </c>
      <c r="H940" s="529">
        <f t="shared" si="33"/>
        <v>520450.27999999997</v>
      </c>
      <c r="I940" s="340">
        <v>657</v>
      </c>
      <c r="J940" s="712">
        <f t="shared" si="35"/>
        <v>532</v>
      </c>
      <c r="K940" s="685" t="str">
        <f>UPPER((TEXT(Tabla5[[#This Row],[FECHA]],"MMM")))</f>
        <v>ABR</v>
      </c>
      <c r="L940" s="780">
        <f>YEAR(Tabla5[[#This Row],[FECHA]])</f>
        <v>2025</v>
      </c>
      <c r="M940" s="749">
        <v>419</v>
      </c>
      <c r="N940" s="441" t="s">
        <v>676</v>
      </c>
      <c r="O940" s="441" t="s">
        <v>712</v>
      </c>
      <c r="P940" s="441" t="s">
        <v>110</v>
      </c>
    </row>
    <row r="941" spans="1:16" ht="13.8">
      <c r="A941" s="531">
        <v>45773</v>
      </c>
      <c r="B941" s="340" t="s">
        <v>271</v>
      </c>
      <c r="C941" s="340" t="s">
        <v>292</v>
      </c>
      <c r="D941" s="340" t="s">
        <v>694</v>
      </c>
      <c r="E941" s="931">
        <v>96</v>
      </c>
      <c r="F941" s="930">
        <v>9</v>
      </c>
      <c r="G941" s="529">
        <v>978.29</v>
      </c>
      <c r="H941" s="551">
        <f t="shared" si="33"/>
        <v>845242.55999999994</v>
      </c>
      <c r="I941" s="340">
        <v>616</v>
      </c>
      <c r="J941" s="712">
        <f t="shared" si="35"/>
        <v>864</v>
      </c>
      <c r="K941" s="685" t="str">
        <f>UPPER((TEXT(Tabla5[[#This Row],[FECHA]],"MMM")))</f>
        <v>ABR</v>
      </c>
      <c r="L941" s="780">
        <f>YEAR(Tabla5[[#This Row],[FECHA]])</f>
        <v>2025</v>
      </c>
      <c r="M941" s="749">
        <v>419</v>
      </c>
      <c r="N941" s="441" t="s">
        <v>678</v>
      </c>
      <c r="O941" s="441" t="s">
        <v>713</v>
      </c>
      <c r="P941" s="441" t="s">
        <v>110</v>
      </c>
    </row>
    <row r="942" spans="1:16" ht="13.8">
      <c r="A942" s="531">
        <v>45773</v>
      </c>
      <c r="B942" s="340" t="s">
        <v>403</v>
      </c>
      <c r="C942" s="340" t="s">
        <v>404</v>
      </c>
      <c r="D942" s="340" t="s">
        <v>808</v>
      </c>
      <c r="E942" s="340">
        <v>36</v>
      </c>
      <c r="F942" s="340">
        <v>7</v>
      </c>
      <c r="G942" s="529">
        <v>978.29</v>
      </c>
      <c r="H942" s="551">
        <f t="shared" si="33"/>
        <v>246529.08</v>
      </c>
      <c r="I942" s="340">
        <v>264</v>
      </c>
      <c r="J942" s="712">
        <f t="shared" si="35"/>
        <v>252</v>
      </c>
      <c r="K942" s="685" t="str">
        <f>UPPER((TEXT(Tabla5[[#This Row],[FECHA]],"MMM")))</f>
        <v>ABR</v>
      </c>
      <c r="L942" s="780">
        <f>YEAR(Tabla5[[#This Row],[FECHA]])</f>
        <v>2025</v>
      </c>
      <c r="M942" s="749">
        <v>419</v>
      </c>
      <c r="N942" s="441" t="s">
        <v>678</v>
      </c>
      <c r="O942" s="441" t="s">
        <v>713</v>
      </c>
      <c r="P942" s="441" t="s">
        <v>110</v>
      </c>
    </row>
    <row r="943" spans="1:16" ht="13.8">
      <c r="A943" s="531">
        <v>45773</v>
      </c>
      <c r="B943" s="340" t="s">
        <v>410</v>
      </c>
      <c r="C943" s="340" t="s">
        <v>554</v>
      </c>
      <c r="D943" s="340" t="s">
        <v>809</v>
      </c>
      <c r="E943" s="340">
        <v>48</v>
      </c>
      <c r="F943" s="340">
        <v>7</v>
      </c>
      <c r="G943" s="529">
        <v>978.29</v>
      </c>
      <c r="H943" s="551">
        <f t="shared" si="33"/>
        <v>328705.44</v>
      </c>
      <c r="I943" s="340">
        <v>412</v>
      </c>
      <c r="J943" s="712">
        <f t="shared" si="35"/>
        <v>336</v>
      </c>
      <c r="K943" s="685" t="str">
        <f>UPPER((TEXT(Tabla5[[#This Row],[FECHA]],"MMM")))</f>
        <v>ABR</v>
      </c>
      <c r="L943" s="780">
        <f>YEAR(Tabla5[[#This Row],[FECHA]])</f>
        <v>2025</v>
      </c>
      <c r="M943" s="749">
        <v>419</v>
      </c>
      <c r="N943" s="441" t="s">
        <v>678</v>
      </c>
      <c r="O943" s="441" t="s">
        <v>713</v>
      </c>
      <c r="P943" s="441" t="s">
        <v>110</v>
      </c>
    </row>
    <row r="944" spans="1:16" ht="13.8">
      <c r="A944" s="531">
        <v>45774</v>
      </c>
      <c r="B944" s="340" t="s">
        <v>256</v>
      </c>
      <c r="C944" s="340" t="s">
        <v>257</v>
      </c>
      <c r="D944" s="340" t="s">
        <v>694</v>
      </c>
      <c r="E944" s="931">
        <v>96</v>
      </c>
      <c r="F944" s="340">
        <v>12</v>
      </c>
      <c r="G944" s="529">
        <v>978.29</v>
      </c>
      <c r="H944" s="551">
        <f t="shared" si="33"/>
        <v>1126990.08</v>
      </c>
      <c r="I944" s="340">
        <v>956</v>
      </c>
      <c r="J944" s="712">
        <f t="shared" si="35"/>
        <v>1152</v>
      </c>
      <c r="K944" s="685" t="str">
        <f>UPPER((TEXT(Tabla5[[#This Row],[FECHA]],"MMM")))</f>
        <v>ABR</v>
      </c>
      <c r="L944" s="780">
        <f>YEAR(Tabla5[[#This Row],[FECHA]])</f>
        <v>2025</v>
      </c>
      <c r="M944" s="749">
        <v>419</v>
      </c>
      <c r="N944" s="441" t="s">
        <v>678</v>
      </c>
      <c r="O944" s="441" t="s">
        <v>713</v>
      </c>
      <c r="P944" s="441" t="s">
        <v>110</v>
      </c>
    </row>
    <row r="945" spans="1:16" ht="13.8">
      <c r="A945" s="531">
        <v>45775</v>
      </c>
      <c r="B945" s="340" t="s">
        <v>272</v>
      </c>
      <c r="C945" s="340" t="s">
        <v>807</v>
      </c>
      <c r="D945" s="340" t="s">
        <v>260</v>
      </c>
      <c r="E945" s="340">
        <v>58</v>
      </c>
      <c r="F945" s="340">
        <v>4</v>
      </c>
      <c r="G945" s="529">
        <v>978.29</v>
      </c>
      <c r="H945" s="529">
        <f t="shared" si="33"/>
        <v>226963.28</v>
      </c>
      <c r="I945" s="340">
        <v>168</v>
      </c>
      <c r="J945" s="712">
        <f t="shared" si="35"/>
        <v>232</v>
      </c>
      <c r="K945" s="685" t="str">
        <f>UPPER((TEXT(Tabla5[[#This Row],[FECHA]],"MMM")))</f>
        <v>ABR</v>
      </c>
      <c r="L945" s="780">
        <f>YEAR(Tabla5[[#This Row],[FECHA]])</f>
        <v>2025</v>
      </c>
      <c r="M945" s="749">
        <v>419</v>
      </c>
      <c r="N945" s="441" t="s">
        <v>679</v>
      </c>
      <c r="O945" s="441" t="s">
        <v>712</v>
      </c>
      <c r="P945" s="441" t="s">
        <v>110</v>
      </c>
    </row>
    <row r="946" spans="1:16" ht="13.8">
      <c r="A946" s="531">
        <v>45775</v>
      </c>
      <c r="B946" s="340" t="s">
        <v>271</v>
      </c>
      <c r="C946" s="340" t="s">
        <v>257</v>
      </c>
      <c r="D946" s="340" t="s">
        <v>695</v>
      </c>
      <c r="E946" s="930">
        <v>74</v>
      </c>
      <c r="F946" s="340">
        <v>9</v>
      </c>
      <c r="G946" s="529">
        <v>978.29</v>
      </c>
      <c r="H946" s="529">
        <f t="shared" si="33"/>
        <v>651541.14</v>
      </c>
      <c r="I946" s="340">
        <v>1284</v>
      </c>
      <c r="J946" s="712">
        <f t="shared" si="35"/>
        <v>666</v>
      </c>
      <c r="K946" s="685" t="str">
        <f>UPPER((TEXT(Tabla5[[#This Row],[FECHA]],"MMM")))</f>
        <v>ABR</v>
      </c>
      <c r="L946" s="780">
        <f>YEAR(Tabla5[[#This Row],[FECHA]])</f>
        <v>2025</v>
      </c>
      <c r="M946" s="749">
        <v>419</v>
      </c>
      <c r="N946" s="441" t="s">
        <v>676</v>
      </c>
      <c r="O946" s="441" t="s">
        <v>712</v>
      </c>
      <c r="P946" s="441" t="s">
        <v>110</v>
      </c>
    </row>
    <row r="947" spans="1:16" ht="13.8">
      <c r="A947" s="531">
        <v>45776</v>
      </c>
      <c r="B947" s="340" t="s">
        <v>272</v>
      </c>
      <c r="C947" s="340" t="s">
        <v>807</v>
      </c>
      <c r="D947" s="340" t="s">
        <v>260</v>
      </c>
      <c r="E947" s="340">
        <v>58</v>
      </c>
      <c r="F947" s="340">
        <v>4</v>
      </c>
      <c r="G947" s="529">
        <v>978.29</v>
      </c>
      <c r="H947" s="529">
        <f t="shared" si="33"/>
        <v>226963.28</v>
      </c>
      <c r="I947" s="340">
        <v>225</v>
      </c>
      <c r="J947" s="712">
        <f t="shared" si="35"/>
        <v>232</v>
      </c>
      <c r="K947" s="685" t="str">
        <f>UPPER((TEXT(Tabla5[[#This Row],[FECHA]],"MMM")))</f>
        <v>ABR</v>
      </c>
      <c r="L947" s="780">
        <f>YEAR(Tabla5[[#This Row],[FECHA]])</f>
        <v>2025</v>
      </c>
      <c r="M947" s="749">
        <v>419</v>
      </c>
      <c r="N947" s="441" t="s">
        <v>679</v>
      </c>
      <c r="O947" s="441" t="s">
        <v>712</v>
      </c>
      <c r="P947" s="441" t="s">
        <v>110</v>
      </c>
    </row>
    <row r="948" spans="1:16" ht="13.8">
      <c r="A948" s="531">
        <v>45776</v>
      </c>
      <c r="B948" s="340" t="s">
        <v>271</v>
      </c>
      <c r="C948" s="340" t="s">
        <v>257</v>
      </c>
      <c r="D948" s="340" t="s">
        <v>695</v>
      </c>
      <c r="E948" s="930">
        <v>74</v>
      </c>
      <c r="F948" s="340">
        <v>9</v>
      </c>
      <c r="G948" s="529">
        <v>978.29</v>
      </c>
      <c r="H948" s="529">
        <f t="shared" ref="H948:H1011" si="36">E948*F948*G948</f>
        <v>651541.14</v>
      </c>
      <c r="I948" s="340">
        <v>1201</v>
      </c>
      <c r="J948" s="712">
        <f t="shared" si="35"/>
        <v>666</v>
      </c>
      <c r="K948" s="685" t="str">
        <f>UPPER((TEXT(Tabla5[[#This Row],[FECHA]],"MMM")))</f>
        <v>ABR</v>
      </c>
      <c r="L948" s="780">
        <f>YEAR(Tabla5[[#This Row],[FECHA]])</f>
        <v>2025</v>
      </c>
      <c r="M948" s="749">
        <v>419</v>
      </c>
      <c r="N948" s="441" t="s">
        <v>676</v>
      </c>
      <c r="O948" s="441" t="s">
        <v>712</v>
      </c>
      <c r="P948" s="441" t="s">
        <v>110</v>
      </c>
    </row>
    <row r="949" spans="1:16" ht="13.8">
      <c r="A949" s="531">
        <v>45776</v>
      </c>
      <c r="B949" s="340" t="s">
        <v>403</v>
      </c>
      <c r="C949" s="340" t="s">
        <v>404</v>
      </c>
      <c r="D949" s="340" t="s">
        <v>260</v>
      </c>
      <c r="E949" s="931">
        <v>58</v>
      </c>
      <c r="F949" s="340">
        <v>4</v>
      </c>
      <c r="G949" s="529">
        <v>978.29</v>
      </c>
      <c r="H949" s="529">
        <f t="shared" si="36"/>
        <v>226963.28</v>
      </c>
      <c r="I949" s="340">
        <v>496</v>
      </c>
      <c r="J949" s="712">
        <f t="shared" si="35"/>
        <v>232</v>
      </c>
      <c r="K949" s="685" t="str">
        <f>UPPER((TEXT(Tabla5[[#This Row],[FECHA]],"MMM")))</f>
        <v>ABR</v>
      </c>
      <c r="L949" s="780">
        <f>YEAR(Tabla5[[#This Row],[FECHA]])</f>
        <v>2025</v>
      </c>
      <c r="M949" s="749">
        <v>419</v>
      </c>
      <c r="N949" s="441" t="s">
        <v>680</v>
      </c>
      <c r="O949" s="441" t="s">
        <v>712</v>
      </c>
      <c r="P949" s="441" t="s">
        <v>110</v>
      </c>
    </row>
    <row r="950" spans="1:16" ht="13.8">
      <c r="A950" s="531">
        <v>45777</v>
      </c>
      <c r="B950" s="340" t="s">
        <v>272</v>
      </c>
      <c r="C950" s="340" t="s">
        <v>807</v>
      </c>
      <c r="D950" s="340" t="s">
        <v>260</v>
      </c>
      <c r="E950" s="340">
        <v>58</v>
      </c>
      <c r="F950" s="340">
        <v>4</v>
      </c>
      <c r="G950" s="529">
        <v>978.29</v>
      </c>
      <c r="H950" s="529">
        <f t="shared" si="36"/>
        <v>226963.28</v>
      </c>
      <c r="I950" s="340">
        <v>198</v>
      </c>
      <c r="J950" s="712">
        <f t="shared" si="35"/>
        <v>232</v>
      </c>
      <c r="K950" s="685" t="str">
        <f>UPPER((TEXT(Tabla5[[#This Row],[FECHA]],"MMM")))</f>
        <v>ABR</v>
      </c>
      <c r="L950" s="780">
        <f>YEAR(Tabla5[[#This Row],[FECHA]])</f>
        <v>2025</v>
      </c>
      <c r="M950" s="749">
        <v>419</v>
      </c>
      <c r="N950" s="441" t="s">
        <v>679</v>
      </c>
      <c r="O950" s="441" t="s">
        <v>712</v>
      </c>
      <c r="P950" s="441" t="s">
        <v>110</v>
      </c>
    </row>
    <row r="951" spans="1:16" ht="13.8">
      <c r="A951" s="531">
        <v>45777</v>
      </c>
      <c r="B951" s="340" t="s">
        <v>271</v>
      </c>
      <c r="C951" s="340" t="s">
        <v>257</v>
      </c>
      <c r="D951" s="340" t="s">
        <v>695</v>
      </c>
      <c r="E951" s="930">
        <v>74</v>
      </c>
      <c r="F951" s="340">
        <v>9</v>
      </c>
      <c r="G951" s="529">
        <v>978.29</v>
      </c>
      <c r="H951" s="529">
        <f t="shared" si="36"/>
        <v>651541.14</v>
      </c>
      <c r="I951" s="340">
        <v>1080</v>
      </c>
      <c r="J951" s="712">
        <f t="shared" si="35"/>
        <v>666</v>
      </c>
      <c r="K951" s="685" t="str">
        <f>UPPER((TEXT(Tabla5[[#This Row],[FECHA]],"MMM")))</f>
        <v>ABR</v>
      </c>
      <c r="L951" s="780">
        <f>YEAR(Tabla5[[#This Row],[FECHA]])</f>
        <v>2025</v>
      </c>
      <c r="M951" s="749">
        <v>419</v>
      </c>
      <c r="N951" s="441" t="s">
        <v>676</v>
      </c>
      <c r="O951" s="441" t="s">
        <v>712</v>
      </c>
      <c r="P951" s="441" t="s">
        <v>110</v>
      </c>
    </row>
    <row r="952" spans="1:16" ht="13.8">
      <c r="A952" s="531">
        <v>45777</v>
      </c>
      <c r="B952" s="340" t="s">
        <v>403</v>
      </c>
      <c r="C952" s="340" t="s">
        <v>404</v>
      </c>
      <c r="D952" s="340" t="s">
        <v>260</v>
      </c>
      <c r="E952" s="931">
        <v>58</v>
      </c>
      <c r="F952" s="340">
        <v>7</v>
      </c>
      <c r="G952" s="529">
        <v>978.29</v>
      </c>
      <c r="H952" s="529">
        <f t="shared" si="36"/>
        <v>397185.74</v>
      </c>
      <c r="I952" s="340">
        <v>942</v>
      </c>
      <c r="J952" s="932">
        <f t="shared" si="35"/>
        <v>406</v>
      </c>
      <c r="K952" s="685" t="str">
        <f>UPPER((TEXT(Tabla5[[#This Row],[FECHA]],"MMM")))</f>
        <v>ABR</v>
      </c>
      <c r="L952" s="780">
        <f>YEAR(Tabla5[[#This Row],[FECHA]])</f>
        <v>2025</v>
      </c>
      <c r="M952" s="749">
        <v>419</v>
      </c>
      <c r="N952" s="441" t="s">
        <v>680</v>
      </c>
      <c r="O952" s="441" t="s">
        <v>712</v>
      </c>
      <c r="P952" s="441" t="s">
        <v>110</v>
      </c>
    </row>
    <row r="953" spans="1:16" ht="13.8">
      <c r="A953" s="531">
        <v>45778</v>
      </c>
      <c r="B953" s="340" t="s">
        <v>277</v>
      </c>
      <c r="C953" s="340" t="s">
        <v>264</v>
      </c>
      <c r="D953" s="340" t="s">
        <v>694</v>
      </c>
      <c r="E953" s="340">
        <v>96</v>
      </c>
      <c r="F953" s="340">
        <v>11</v>
      </c>
      <c r="G953" s="529">
        <v>978.29</v>
      </c>
      <c r="H953" s="529">
        <f t="shared" si="36"/>
        <v>1033074.24</v>
      </c>
      <c r="I953" s="340">
        <v>678</v>
      </c>
      <c r="J953" s="712">
        <f>E953*F953</f>
        <v>1056</v>
      </c>
      <c r="K953" s="685" t="str">
        <f>UPPER((TEXT(Tabla5[[#This Row],[FECHA]],"MMM")))</f>
        <v>MAY</v>
      </c>
      <c r="L953" s="780">
        <f>YEAR(Tabla5[[#This Row],[FECHA]])</f>
        <v>2025</v>
      </c>
      <c r="M953" s="749">
        <v>443</v>
      </c>
      <c r="N953" s="441" t="s">
        <v>678</v>
      </c>
      <c r="O953" s="441" t="s">
        <v>713</v>
      </c>
      <c r="P953" s="441" t="s">
        <v>110</v>
      </c>
    </row>
    <row r="954" spans="1:16" ht="13.8">
      <c r="A954" s="531">
        <v>45779</v>
      </c>
      <c r="B954" s="340" t="s">
        <v>272</v>
      </c>
      <c r="C954" s="340" t="s">
        <v>278</v>
      </c>
      <c r="D954" s="340" t="s">
        <v>260</v>
      </c>
      <c r="E954" s="340">
        <v>58</v>
      </c>
      <c r="F954" s="340">
        <v>4</v>
      </c>
      <c r="G954" s="529">
        <v>978.29</v>
      </c>
      <c r="H954" s="529">
        <f t="shared" si="36"/>
        <v>226963.28</v>
      </c>
      <c r="I954" s="340">
        <v>141</v>
      </c>
      <c r="J954" s="712">
        <f t="shared" ref="J954:J1017" si="37">E954*F954</f>
        <v>232</v>
      </c>
      <c r="K954" s="685" t="str">
        <f>UPPER((TEXT(Tabla5[[#This Row],[FECHA]],"MMM")))</f>
        <v>MAY</v>
      </c>
      <c r="L954" s="780">
        <f>YEAR(Tabla5[[#This Row],[FECHA]])</f>
        <v>2025</v>
      </c>
      <c r="M954" s="749">
        <v>443</v>
      </c>
      <c r="N954" s="441" t="s">
        <v>679</v>
      </c>
      <c r="O954" s="441" t="s">
        <v>712</v>
      </c>
      <c r="P954" s="441" t="s">
        <v>110</v>
      </c>
    </row>
    <row r="955" spans="1:16" ht="13.8">
      <c r="A955" s="531">
        <v>45779</v>
      </c>
      <c r="B955" s="340" t="s">
        <v>271</v>
      </c>
      <c r="C955" s="340" t="s">
        <v>257</v>
      </c>
      <c r="D955" s="340" t="s">
        <v>695</v>
      </c>
      <c r="E955" s="340">
        <v>76</v>
      </c>
      <c r="F955" s="340">
        <v>9</v>
      </c>
      <c r="G955" s="529">
        <v>978.29</v>
      </c>
      <c r="H955" s="529">
        <f t="shared" si="36"/>
        <v>669150.36</v>
      </c>
      <c r="I955" s="340">
        <v>1161</v>
      </c>
      <c r="J955" s="712">
        <f t="shared" si="37"/>
        <v>684</v>
      </c>
      <c r="K955" s="685" t="str">
        <f>UPPER((TEXT(Tabla5[[#This Row],[FECHA]],"MMM")))</f>
        <v>MAY</v>
      </c>
      <c r="L955" s="780">
        <f>YEAR(Tabla5[[#This Row],[FECHA]])</f>
        <v>2025</v>
      </c>
      <c r="M955" s="749">
        <v>443</v>
      </c>
      <c r="N955" s="441" t="s">
        <v>676</v>
      </c>
      <c r="O955" s="441" t="s">
        <v>712</v>
      </c>
      <c r="P955" s="441" t="s">
        <v>110</v>
      </c>
    </row>
    <row r="956" spans="1:16" ht="13.8">
      <c r="A956" s="531">
        <v>45779</v>
      </c>
      <c r="B956" s="340" t="s">
        <v>284</v>
      </c>
      <c r="C956" s="340" t="s">
        <v>285</v>
      </c>
      <c r="D956" s="340" t="s">
        <v>260</v>
      </c>
      <c r="E956" s="340">
        <v>58</v>
      </c>
      <c r="F956" s="340">
        <v>7</v>
      </c>
      <c r="G956" s="529">
        <v>978.29</v>
      </c>
      <c r="H956" s="529">
        <f t="shared" si="36"/>
        <v>397185.74</v>
      </c>
      <c r="I956" s="340">
        <v>519</v>
      </c>
      <c r="J956" s="712">
        <f t="shared" si="37"/>
        <v>406</v>
      </c>
      <c r="K956" s="685" t="str">
        <f>UPPER((TEXT(Tabla5[[#This Row],[FECHA]],"MMM")))</f>
        <v>MAY</v>
      </c>
      <c r="L956" s="780">
        <f>YEAR(Tabla5[[#This Row],[FECHA]])</f>
        <v>2025</v>
      </c>
      <c r="M956" s="749">
        <v>443</v>
      </c>
      <c r="N956" s="441" t="s">
        <v>680</v>
      </c>
      <c r="O956" s="441" t="s">
        <v>712</v>
      </c>
      <c r="P956" s="441" t="s">
        <v>110</v>
      </c>
    </row>
    <row r="957" spans="1:16" ht="13.8">
      <c r="A957" s="778">
        <v>45780</v>
      </c>
      <c r="B957" s="340" t="s">
        <v>272</v>
      </c>
      <c r="C957" s="340" t="s">
        <v>282</v>
      </c>
      <c r="D957" s="340" t="s">
        <v>695</v>
      </c>
      <c r="E957" s="340">
        <v>76</v>
      </c>
      <c r="F957" s="340">
        <v>3</v>
      </c>
      <c r="G957" s="529">
        <v>978.29</v>
      </c>
      <c r="H957" s="529">
        <f t="shared" si="36"/>
        <v>223050.12</v>
      </c>
      <c r="I957" s="340">
        <v>544</v>
      </c>
      <c r="J957" s="712">
        <f t="shared" si="37"/>
        <v>228</v>
      </c>
      <c r="K957" s="685" t="str">
        <f>UPPER((TEXT(Tabla5[[#This Row],[FECHA]],"MMM")))</f>
        <v>MAY</v>
      </c>
      <c r="L957" s="780">
        <f>YEAR(Tabla5[[#This Row],[FECHA]])</f>
        <v>2025</v>
      </c>
      <c r="M957" s="749">
        <v>443</v>
      </c>
      <c r="N957" s="441" t="s">
        <v>676</v>
      </c>
      <c r="O957" s="441" t="s">
        <v>712</v>
      </c>
      <c r="P957" s="441" t="s">
        <v>110</v>
      </c>
    </row>
    <row r="958" spans="1:16" ht="13.8">
      <c r="A958" s="778">
        <v>45780</v>
      </c>
      <c r="B958" s="340" t="s">
        <v>271</v>
      </c>
      <c r="C958" s="340" t="s">
        <v>292</v>
      </c>
      <c r="D958" s="340" t="s">
        <v>694</v>
      </c>
      <c r="E958" s="340">
        <v>96</v>
      </c>
      <c r="F958" s="340">
        <v>13</v>
      </c>
      <c r="G958" s="529">
        <v>978.29</v>
      </c>
      <c r="H958" s="529">
        <f t="shared" si="36"/>
        <v>1220905.92</v>
      </c>
      <c r="I958" s="340">
        <v>890</v>
      </c>
      <c r="J958" s="712">
        <f t="shared" si="37"/>
        <v>1248</v>
      </c>
      <c r="K958" s="685" t="str">
        <f>UPPER((TEXT(Tabla5[[#This Row],[FECHA]],"MMM")))</f>
        <v>MAY</v>
      </c>
      <c r="L958" s="780">
        <f>YEAR(Tabla5[[#This Row],[FECHA]])</f>
        <v>2025</v>
      </c>
      <c r="M958" s="749">
        <v>443</v>
      </c>
      <c r="N958" s="441" t="s">
        <v>678</v>
      </c>
      <c r="O958" s="441" t="s">
        <v>713</v>
      </c>
      <c r="P958" s="441" t="s">
        <v>110</v>
      </c>
    </row>
    <row r="959" spans="1:16" ht="13.8">
      <c r="A959" s="778">
        <v>45781</v>
      </c>
      <c r="B959" s="340" t="s">
        <v>256</v>
      </c>
      <c r="C959" s="340" t="s">
        <v>257</v>
      </c>
      <c r="D959" s="340" t="s">
        <v>694</v>
      </c>
      <c r="E959" s="340">
        <v>96</v>
      </c>
      <c r="F959" s="340">
        <v>12</v>
      </c>
      <c r="G959" s="529">
        <v>978.29</v>
      </c>
      <c r="H959" s="529">
        <f t="shared" si="36"/>
        <v>1126990.08</v>
      </c>
      <c r="I959" s="340">
        <v>838</v>
      </c>
      <c r="J959" s="712">
        <f t="shared" si="37"/>
        <v>1152</v>
      </c>
      <c r="K959" s="685" t="str">
        <f>UPPER((TEXT(Tabla5[[#This Row],[FECHA]],"MMM")))</f>
        <v>MAY</v>
      </c>
      <c r="L959" s="780">
        <f>YEAR(Tabla5[[#This Row],[FECHA]])</f>
        <v>2025</v>
      </c>
      <c r="M959" s="749">
        <v>443</v>
      </c>
      <c r="N959" s="441" t="s">
        <v>678</v>
      </c>
      <c r="O959" s="441" t="s">
        <v>713</v>
      </c>
      <c r="P959" s="441" t="s">
        <v>110</v>
      </c>
    </row>
    <row r="960" spans="1:16" ht="13.8">
      <c r="A960" s="778">
        <v>45782</v>
      </c>
      <c r="B960" s="340" t="s">
        <v>261</v>
      </c>
      <c r="C960" s="340" t="s">
        <v>262</v>
      </c>
      <c r="D960" s="340" t="s">
        <v>260</v>
      </c>
      <c r="E960" s="340">
        <v>58</v>
      </c>
      <c r="F960" s="340">
        <v>4</v>
      </c>
      <c r="G960" s="529">
        <v>978.29</v>
      </c>
      <c r="H960" s="529">
        <f t="shared" si="36"/>
        <v>226963.28</v>
      </c>
      <c r="I960" s="340">
        <v>177</v>
      </c>
      <c r="J960" s="712">
        <f t="shared" si="37"/>
        <v>232</v>
      </c>
      <c r="K960" s="685" t="str">
        <f>UPPER((TEXT(Tabla5[[#This Row],[FECHA]],"MMM")))</f>
        <v>MAY</v>
      </c>
      <c r="L960" s="780">
        <f>YEAR(Tabla5[[#This Row],[FECHA]])</f>
        <v>2025</v>
      </c>
      <c r="M960" s="749">
        <v>443</v>
      </c>
      <c r="N960" s="441" t="s">
        <v>679</v>
      </c>
      <c r="O960" s="441" t="s">
        <v>712</v>
      </c>
      <c r="P960" s="441" t="s">
        <v>110</v>
      </c>
    </row>
    <row r="961" spans="1:16" ht="13.8">
      <c r="A961" s="778">
        <v>45782</v>
      </c>
      <c r="B961" s="340" t="s">
        <v>263</v>
      </c>
      <c r="C961" s="340" t="s">
        <v>264</v>
      </c>
      <c r="D961" s="340" t="s">
        <v>695</v>
      </c>
      <c r="E961" s="340">
        <v>76</v>
      </c>
      <c r="F961" s="340">
        <v>9</v>
      </c>
      <c r="G961" s="529">
        <v>978.29</v>
      </c>
      <c r="H961" s="529">
        <f t="shared" si="36"/>
        <v>669150.36</v>
      </c>
      <c r="I961" s="340">
        <v>1276</v>
      </c>
      <c r="J961" s="712">
        <f t="shared" si="37"/>
        <v>684</v>
      </c>
      <c r="K961" s="685" t="str">
        <f>UPPER((TEXT(Tabla5[[#This Row],[FECHA]],"MMM")))</f>
        <v>MAY</v>
      </c>
      <c r="L961" s="780">
        <f>YEAR(Tabla5[[#This Row],[FECHA]])</f>
        <v>2025</v>
      </c>
      <c r="M961" s="749">
        <v>443</v>
      </c>
      <c r="N961" s="441" t="s">
        <v>676</v>
      </c>
      <c r="O961" s="441" t="s">
        <v>712</v>
      </c>
      <c r="P961" s="441" t="s">
        <v>110</v>
      </c>
    </row>
    <row r="962" spans="1:16" ht="13.8">
      <c r="A962" s="778">
        <v>45783</v>
      </c>
      <c r="B962" s="340" t="s">
        <v>261</v>
      </c>
      <c r="C962" s="340" t="s">
        <v>266</v>
      </c>
      <c r="D962" s="340" t="s">
        <v>260</v>
      </c>
      <c r="E962" s="340">
        <v>58</v>
      </c>
      <c r="F962" s="340">
        <v>4</v>
      </c>
      <c r="G962" s="529">
        <v>978.29</v>
      </c>
      <c r="H962" s="529">
        <f t="shared" si="36"/>
        <v>226963.28</v>
      </c>
      <c r="I962" s="340">
        <v>221</v>
      </c>
      <c r="J962" s="712">
        <f t="shared" si="37"/>
        <v>232</v>
      </c>
      <c r="K962" s="685" t="str">
        <f>UPPER((TEXT(Tabla5[[#This Row],[FECHA]],"MMM")))</f>
        <v>MAY</v>
      </c>
      <c r="L962" s="780">
        <f>YEAR(Tabla5[[#This Row],[FECHA]])</f>
        <v>2025</v>
      </c>
      <c r="M962" s="749">
        <v>443</v>
      </c>
      <c r="N962" s="441" t="s">
        <v>679</v>
      </c>
      <c r="O962" s="441" t="s">
        <v>712</v>
      </c>
      <c r="P962" s="441" t="s">
        <v>110</v>
      </c>
    </row>
    <row r="963" spans="1:16" ht="13.8">
      <c r="A963" s="778">
        <v>45783</v>
      </c>
      <c r="B963" s="340" t="s">
        <v>263</v>
      </c>
      <c r="C963" s="340" t="s">
        <v>264</v>
      </c>
      <c r="D963" s="340" t="s">
        <v>695</v>
      </c>
      <c r="E963" s="340">
        <v>76</v>
      </c>
      <c r="F963" s="340">
        <v>9</v>
      </c>
      <c r="G963" s="529">
        <v>978.29</v>
      </c>
      <c r="H963" s="529">
        <f t="shared" si="36"/>
        <v>669150.36</v>
      </c>
      <c r="I963" s="340">
        <v>1169</v>
      </c>
      <c r="J963" s="712">
        <f t="shared" si="37"/>
        <v>684</v>
      </c>
      <c r="K963" s="685" t="str">
        <f>UPPER((TEXT(Tabla5[[#This Row],[FECHA]],"MMM")))</f>
        <v>MAY</v>
      </c>
      <c r="L963" s="780">
        <f>YEAR(Tabla5[[#This Row],[FECHA]])</f>
        <v>2025</v>
      </c>
      <c r="M963" s="749">
        <v>443</v>
      </c>
      <c r="N963" s="441" t="s">
        <v>676</v>
      </c>
      <c r="O963" s="441" t="s">
        <v>712</v>
      </c>
      <c r="P963" s="441" t="s">
        <v>110</v>
      </c>
    </row>
    <row r="964" spans="1:16" ht="13.8">
      <c r="A964" s="778">
        <v>45783</v>
      </c>
      <c r="B964" s="340" t="s">
        <v>293</v>
      </c>
      <c r="C964" s="340" t="s">
        <v>273</v>
      </c>
      <c r="D964" s="340" t="s">
        <v>260</v>
      </c>
      <c r="E964" s="340">
        <v>58</v>
      </c>
      <c r="F964" s="340">
        <v>4</v>
      </c>
      <c r="G964" s="529">
        <v>978.29</v>
      </c>
      <c r="H964" s="529">
        <f t="shared" si="36"/>
        <v>226963.28</v>
      </c>
      <c r="I964" s="340">
        <v>428</v>
      </c>
      <c r="J964" s="712">
        <f t="shared" si="37"/>
        <v>232</v>
      </c>
      <c r="K964" s="685" t="str">
        <f>UPPER((TEXT(Tabla5[[#This Row],[FECHA]],"MMM")))</f>
        <v>MAY</v>
      </c>
      <c r="L964" s="780">
        <f>YEAR(Tabla5[[#This Row],[FECHA]])</f>
        <v>2025</v>
      </c>
      <c r="M964" s="749">
        <v>443</v>
      </c>
      <c r="N964" s="441" t="s">
        <v>680</v>
      </c>
      <c r="O964" s="441" t="s">
        <v>712</v>
      </c>
      <c r="P964" s="441" t="s">
        <v>110</v>
      </c>
    </row>
    <row r="965" spans="1:16" ht="13.8">
      <c r="A965" s="778">
        <v>45784</v>
      </c>
      <c r="B965" s="340" t="s">
        <v>261</v>
      </c>
      <c r="C965" s="340" t="s">
        <v>266</v>
      </c>
      <c r="D965" s="340" t="s">
        <v>260</v>
      </c>
      <c r="E965" s="340">
        <v>58</v>
      </c>
      <c r="F965" s="340">
        <v>4</v>
      </c>
      <c r="G965" s="529">
        <v>978.29</v>
      </c>
      <c r="H965" s="529">
        <f t="shared" si="36"/>
        <v>226963.28</v>
      </c>
      <c r="I965" s="340">
        <v>206</v>
      </c>
      <c r="J965" s="712">
        <f t="shared" si="37"/>
        <v>232</v>
      </c>
      <c r="K965" s="685" t="str">
        <f>UPPER((TEXT(Tabla5[[#This Row],[FECHA]],"MMM")))</f>
        <v>MAY</v>
      </c>
      <c r="L965" s="780">
        <f>YEAR(Tabla5[[#This Row],[FECHA]])</f>
        <v>2025</v>
      </c>
      <c r="M965" s="749">
        <v>443</v>
      </c>
      <c r="N965" s="441" t="s">
        <v>679</v>
      </c>
      <c r="O965" s="441" t="s">
        <v>712</v>
      </c>
      <c r="P965" s="441" t="s">
        <v>110</v>
      </c>
    </row>
    <row r="966" spans="1:16" ht="13.8">
      <c r="A966" s="778">
        <v>45784</v>
      </c>
      <c r="B966" s="340" t="s">
        <v>263</v>
      </c>
      <c r="C966" s="340" t="s">
        <v>264</v>
      </c>
      <c r="D966" s="340" t="s">
        <v>695</v>
      </c>
      <c r="E966" s="340">
        <v>76</v>
      </c>
      <c r="F966" s="340">
        <v>9</v>
      </c>
      <c r="G966" s="529">
        <v>978.29</v>
      </c>
      <c r="H966" s="529">
        <f t="shared" si="36"/>
        <v>669150.36</v>
      </c>
      <c r="I966" s="340">
        <v>1110</v>
      </c>
      <c r="J966" s="712">
        <f t="shared" si="37"/>
        <v>684</v>
      </c>
      <c r="K966" s="685" t="str">
        <f>UPPER((TEXT(Tabla5[[#This Row],[FECHA]],"MMM")))</f>
        <v>MAY</v>
      </c>
      <c r="L966" s="780">
        <f>YEAR(Tabla5[[#This Row],[FECHA]])</f>
        <v>2025</v>
      </c>
      <c r="M966" s="749">
        <v>443</v>
      </c>
      <c r="N966" s="441" t="s">
        <v>676</v>
      </c>
      <c r="O966" s="441" t="s">
        <v>712</v>
      </c>
      <c r="P966" s="441" t="s">
        <v>110</v>
      </c>
    </row>
    <row r="967" spans="1:16" ht="13.8">
      <c r="A967" s="778">
        <v>45784</v>
      </c>
      <c r="B967" s="340" t="s">
        <v>267</v>
      </c>
      <c r="C967" s="340" t="s">
        <v>268</v>
      </c>
      <c r="D967" s="340" t="s">
        <v>260</v>
      </c>
      <c r="E967" s="340">
        <v>58</v>
      </c>
      <c r="F967" s="340">
        <v>7</v>
      </c>
      <c r="G967" s="529">
        <v>978.29</v>
      </c>
      <c r="H967" s="529">
        <f t="shared" si="36"/>
        <v>397185.74</v>
      </c>
      <c r="I967" s="340">
        <v>760</v>
      </c>
      <c r="J967" s="712">
        <f t="shared" si="37"/>
        <v>406</v>
      </c>
      <c r="K967" s="685" t="str">
        <f>UPPER((TEXT(Tabla5[[#This Row],[FECHA]],"MMM")))</f>
        <v>MAY</v>
      </c>
      <c r="L967" s="780">
        <f>YEAR(Tabla5[[#This Row],[FECHA]])</f>
        <v>2025</v>
      </c>
      <c r="M967" s="749">
        <v>443</v>
      </c>
      <c r="N967" s="441" t="s">
        <v>680</v>
      </c>
      <c r="O967" s="441" t="s">
        <v>712</v>
      </c>
      <c r="P967" s="441" t="s">
        <v>110</v>
      </c>
    </row>
    <row r="968" spans="1:16" ht="13.8">
      <c r="A968" s="778">
        <v>45785</v>
      </c>
      <c r="B968" s="340" t="s">
        <v>261</v>
      </c>
      <c r="C968" s="340" t="s">
        <v>266</v>
      </c>
      <c r="D968" s="340" t="s">
        <v>260</v>
      </c>
      <c r="E968" s="340">
        <v>58</v>
      </c>
      <c r="F968" s="340">
        <v>4</v>
      </c>
      <c r="G968" s="529">
        <v>978.29</v>
      </c>
      <c r="H968" s="529">
        <f t="shared" si="36"/>
        <v>226963.28</v>
      </c>
      <c r="I968" s="340">
        <v>214</v>
      </c>
      <c r="J968" s="712">
        <f t="shared" si="37"/>
        <v>232</v>
      </c>
      <c r="K968" s="685" t="str">
        <f>UPPER((TEXT(Tabla5[[#This Row],[FECHA]],"MMM")))</f>
        <v>MAY</v>
      </c>
      <c r="L968" s="780">
        <f>YEAR(Tabla5[[#This Row],[FECHA]])</f>
        <v>2025</v>
      </c>
      <c r="M968" s="749">
        <v>443</v>
      </c>
      <c r="N968" s="441" t="s">
        <v>679</v>
      </c>
      <c r="O968" s="441" t="s">
        <v>712</v>
      </c>
      <c r="P968" s="441" t="s">
        <v>110</v>
      </c>
    </row>
    <row r="969" spans="1:16" ht="13.8">
      <c r="A969" s="778">
        <v>45785</v>
      </c>
      <c r="B969" s="340" t="s">
        <v>271</v>
      </c>
      <c r="C969" s="340" t="s">
        <v>257</v>
      </c>
      <c r="D969" s="340" t="s">
        <v>695</v>
      </c>
      <c r="E969" s="340">
        <v>76</v>
      </c>
      <c r="F969" s="340">
        <v>14</v>
      </c>
      <c r="G969" s="529">
        <v>978.29</v>
      </c>
      <c r="H969" s="529">
        <f t="shared" si="36"/>
        <v>1040900.5599999999</v>
      </c>
      <c r="I969" s="340">
        <v>1938</v>
      </c>
      <c r="J969" s="712">
        <f t="shared" si="37"/>
        <v>1064</v>
      </c>
      <c r="K969" s="685" t="str">
        <f>UPPER((TEXT(Tabla5[[#This Row],[FECHA]],"MMM")))</f>
        <v>MAY</v>
      </c>
      <c r="L969" s="780">
        <f>YEAR(Tabla5[[#This Row],[FECHA]])</f>
        <v>2025</v>
      </c>
      <c r="M969" s="749">
        <v>443</v>
      </c>
      <c r="N969" s="441" t="s">
        <v>676</v>
      </c>
      <c r="O969" s="441" t="s">
        <v>712</v>
      </c>
      <c r="P969" s="441" t="s">
        <v>110</v>
      </c>
    </row>
    <row r="970" spans="1:16" ht="13.8">
      <c r="A970" s="778">
        <v>45785</v>
      </c>
      <c r="B970" s="340" t="s">
        <v>293</v>
      </c>
      <c r="C970" s="340" t="s">
        <v>273</v>
      </c>
      <c r="D970" s="340" t="s">
        <v>260</v>
      </c>
      <c r="E970" s="340">
        <v>58</v>
      </c>
      <c r="F970" s="340">
        <v>4</v>
      </c>
      <c r="G970" s="529">
        <v>978.29</v>
      </c>
      <c r="H970" s="529">
        <f t="shared" si="36"/>
        <v>226963.28</v>
      </c>
      <c r="I970" s="340">
        <v>582</v>
      </c>
      <c r="J970" s="712">
        <f t="shared" si="37"/>
        <v>232</v>
      </c>
      <c r="K970" s="685" t="str">
        <f>UPPER((TEXT(Tabla5[[#This Row],[FECHA]],"MMM")))</f>
        <v>MAY</v>
      </c>
      <c r="L970" s="780">
        <f>YEAR(Tabla5[[#This Row],[FECHA]])</f>
        <v>2025</v>
      </c>
      <c r="M970" s="749">
        <v>443</v>
      </c>
      <c r="N970" s="441" t="s">
        <v>680</v>
      </c>
      <c r="O970" s="441" t="s">
        <v>712</v>
      </c>
      <c r="P970" s="441" t="s">
        <v>110</v>
      </c>
    </row>
    <row r="971" spans="1:16" ht="13.8">
      <c r="A971" s="778">
        <v>45786</v>
      </c>
      <c r="B971" s="340" t="s">
        <v>272</v>
      </c>
      <c r="C971" s="340" t="s">
        <v>266</v>
      </c>
      <c r="D971" s="340" t="s">
        <v>260</v>
      </c>
      <c r="E971" s="340">
        <v>58</v>
      </c>
      <c r="F971" s="340">
        <v>4</v>
      </c>
      <c r="G971" s="529">
        <v>978.29</v>
      </c>
      <c r="H971" s="529">
        <f t="shared" si="36"/>
        <v>226963.28</v>
      </c>
      <c r="I971" s="340">
        <v>161</v>
      </c>
      <c r="J971" s="712">
        <f t="shared" si="37"/>
        <v>232</v>
      </c>
      <c r="K971" s="685" t="str">
        <f>UPPER((TEXT(Tabla5[[#This Row],[FECHA]],"MMM")))</f>
        <v>MAY</v>
      </c>
      <c r="L971" s="780">
        <f>YEAR(Tabla5[[#This Row],[FECHA]])</f>
        <v>2025</v>
      </c>
      <c r="M971" s="749">
        <v>443</v>
      </c>
      <c r="N971" s="441" t="s">
        <v>679</v>
      </c>
      <c r="O971" s="441" t="s">
        <v>712</v>
      </c>
      <c r="P971" s="441" t="s">
        <v>110</v>
      </c>
    </row>
    <row r="972" spans="1:16" ht="13.8">
      <c r="A972" s="778">
        <v>45786</v>
      </c>
      <c r="B972" s="340" t="s">
        <v>271</v>
      </c>
      <c r="C972" s="340" t="s">
        <v>292</v>
      </c>
      <c r="D972" s="340" t="s">
        <v>695</v>
      </c>
      <c r="E972" s="340">
        <v>76</v>
      </c>
      <c r="F972" s="340">
        <v>14</v>
      </c>
      <c r="G972" s="529">
        <v>978.29</v>
      </c>
      <c r="H972" s="529">
        <f t="shared" si="36"/>
        <v>1040900.5599999999</v>
      </c>
      <c r="I972" s="340">
        <v>1843</v>
      </c>
      <c r="J972" s="712">
        <f t="shared" si="37"/>
        <v>1064</v>
      </c>
      <c r="K972" s="685" t="str">
        <f>UPPER((TEXT(Tabla5[[#This Row],[FECHA]],"MMM")))</f>
        <v>MAY</v>
      </c>
      <c r="L972" s="780">
        <f>YEAR(Tabla5[[#This Row],[FECHA]])</f>
        <v>2025</v>
      </c>
      <c r="M972" s="749">
        <v>443</v>
      </c>
      <c r="N972" s="441" t="s">
        <v>676</v>
      </c>
      <c r="O972" s="441" t="s">
        <v>712</v>
      </c>
      <c r="P972" s="441" t="s">
        <v>110</v>
      </c>
    </row>
    <row r="973" spans="1:16" ht="13.8">
      <c r="A973" s="778">
        <v>45786</v>
      </c>
      <c r="B973" s="340" t="s">
        <v>267</v>
      </c>
      <c r="C973" s="340" t="s">
        <v>268</v>
      </c>
      <c r="D973" s="340" t="s">
        <v>260</v>
      </c>
      <c r="E973" s="340">
        <v>58</v>
      </c>
      <c r="F973" s="340">
        <v>7</v>
      </c>
      <c r="G973" s="529">
        <v>978.29</v>
      </c>
      <c r="H973" s="529">
        <f t="shared" si="36"/>
        <v>397185.74</v>
      </c>
      <c r="I973" s="340">
        <v>625</v>
      </c>
      <c r="J973" s="712">
        <f t="shared" si="37"/>
        <v>406</v>
      </c>
      <c r="K973" s="685" t="str">
        <f>UPPER((TEXT(Tabla5[[#This Row],[FECHA]],"MMM")))</f>
        <v>MAY</v>
      </c>
      <c r="L973" s="780">
        <f>YEAR(Tabla5[[#This Row],[FECHA]])</f>
        <v>2025</v>
      </c>
      <c r="M973" s="749">
        <v>443</v>
      </c>
      <c r="N973" s="441" t="s">
        <v>680</v>
      </c>
      <c r="O973" s="441" t="s">
        <v>712</v>
      </c>
      <c r="P973" s="441" t="s">
        <v>110</v>
      </c>
    </row>
    <row r="974" spans="1:16" ht="13.8">
      <c r="A974" s="778">
        <v>45786</v>
      </c>
      <c r="B974" s="340" t="s">
        <v>277</v>
      </c>
      <c r="C974" s="340" t="s">
        <v>264</v>
      </c>
      <c r="D974" s="340" t="s">
        <v>694</v>
      </c>
      <c r="E974" s="340">
        <v>96</v>
      </c>
      <c r="F974" s="340">
        <v>4</v>
      </c>
      <c r="G974" s="529">
        <v>978.29</v>
      </c>
      <c r="H974" s="529">
        <f t="shared" si="36"/>
        <v>375663.35999999999</v>
      </c>
      <c r="I974" s="340">
        <v>180</v>
      </c>
      <c r="J974" s="712">
        <f t="shared" si="37"/>
        <v>384</v>
      </c>
      <c r="K974" s="685" t="str">
        <f>UPPER((TEXT(Tabla5[[#This Row],[FECHA]],"MMM")))</f>
        <v>MAY</v>
      </c>
      <c r="L974" s="780">
        <f>YEAR(Tabla5[[#This Row],[FECHA]])</f>
        <v>2025</v>
      </c>
      <c r="M974" s="749">
        <v>443</v>
      </c>
      <c r="N974" s="441" t="s">
        <v>678</v>
      </c>
      <c r="O974" s="441" t="s">
        <v>713</v>
      </c>
      <c r="P974" s="441" t="s">
        <v>110</v>
      </c>
    </row>
    <row r="975" spans="1:16" ht="13.8">
      <c r="A975" s="778">
        <v>45787</v>
      </c>
      <c r="B975" s="340" t="s">
        <v>261</v>
      </c>
      <c r="C975" s="340" t="s">
        <v>275</v>
      </c>
      <c r="D975" s="340" t="s">
        <v>695</v>
      </c>
      <c r="E975" s="340">
        <v>76</v>
      </c>
      <c r="F975" s="340">
        <v>3</v>
      </c>
      <c r="G975" s="529">
        <v>978.29</v>
      </c>
      <c r="H975" s="529">
        <f t="shared" si="36"/>
        <v>223050.12</v>
      </c>
      <c r="I975" s="340">
        <v>367</v>
      </c>
      <c r="J975" s="712">
        <f t="shared" si="37"/>
        <v>228</v>
      </c>
      <c r="K975" s="685" t="str">
        <f>UPPER((TEXT(Tabla5[[#This Row],[FECHA]],"MMM")))</f>
        <v>MAY</v>
      </c>
      <c r="L975" s="780">
        <f>YEAR(Tabla5[[#This Row],[FECHA]])</f>
        <v>2025</v>
      </c>
      <c r="M975" s="749">
        <v>443</v>
      </c>
      <c r="N975" s="441" t="s">
        <v>676</v>
      </c>
      <c r="O975" s="441" t="s">
        <v>712</v>
      </c>
      <c r="P975" s="441" t="s">
        <v>110</v>
      </c>
    </row>
    <row r="976" spans="1:16" ht="13.8">
      <c r="A976" s="778">
        <v>45787</v>
      </c>
      <c r="B976" s="340" t="s">
        <v>772</v>
      </c>
      <c r="C976" s="340" t="s">
        <v>273</v>
      </c>
      <c r="D976" s="340" t="s">
        <v>260</v>
      </c>
      <c r="E976" s="340">
        <v>58</v>
      </c>
      <c r="F976" s="340">
        <v>4</v>
      </c>
      <c r="G976" s="529">
        <v>978.29</v>
      </c>
      <c r="H976" s="529">
        <f t="shared" si="36"/>
        <v>226963.28</v>
      </c>
      <c r="I976" s="340">
        <v>229</v>
      </c>
      <c r="J976" s="712">
        <f t="shared" si="37"/>
        <v>232</v>
      </c>
      <c r="K976" s="685" t="str">
        <f>UPPER((TEXT(Tabla5[[#This Row],[FECHA]],"MMM")))</f>
        <v>MAY</v>
      </c>
      <c r="L976" s="780">
        <f>YEAR(Tabla5[[#This Row],[FECHA]])</f>
        <v>2025</v>
      </c>
      <c r="M976" s="749">
        <v>443</v>
      </c>
      <c r="N976" s="441" t="s">
        <v>679</v>
      </c>
      <c r="O976" s="441" t="s">
        <v>712</v>
      </c>
      <c r="P976" s="441" t="s">
        <v>110</v>
      </c>
    </row>
    <row r="977" spans="1:16" ht="13.8">
      <c r="A977" s="778">
        <v>45787</v>
      </c>
      <c r="B977" s="340" t="s">
        <v>403</v>
      </c>
      <c r="C977" s="340" t="s">
        <v>288</v>
      </c>
      <c r="D977" s="340" t="s">
        <v>694</v>
      </c>
      <c r="E977" s="340">
        <v>96</v>
      </c>
      <c r="F977" s="340">
        <v>13</v>
      </c>
      <c r="G977" s="529">
        <v>978.29</v>
      </c>
      <c r="H977" s="529">
        <f t="shared" si="36"/>
        <v>1220905.92</v>
      </c>
      <c r="I977" s="340">
        <v>830</v>
      </c>
      <c r="J977" s="712">
        <f t="shared" si="37"/>
        <v>1248</v>
      </c>
      <c r="K977" s="685" t="str">
        <f>UPPER((TEXT(Tabla5[[#This Row],[FECHA]],"MMM")))</f>
        <v>MAY</v>
      </c>
      <c r="L977" s="780">
        <f>YEAR(Tabla5[[#This Row],[FECHA]])</f>
        <v>2025</v>
      </c>
      <c r="M977" s="749">
        <v>443</v>
      </c>
      <c r="N977" s="441" t="s">
        <v>678</v>
      </c>
      <c r="O977" s="441" t="s">
        <v>713</v>
      </c>
      <c r="P977" s="441" t="s">
        <v>110</v>
      </c>
    </row>
    <row r="978" spans="1:16" ht="13.8">
      <c r="A978" s="778">
        <v>45788</v>
      </c>
      <c r="B978" s="340" t="s">
        <v>289</v>
      </c>
      <c r="C978" s="340" t="s">
        <v>290</v>
      </c>
      <c r="D978" s="340" t="s">
        <v>694</v>
      </c>
      <c r="E978" s="340">
        <v>96</v>
      </c>
      <c r="F978" s="340">
        <v>17</v>
      </c>
      <c r="G978" s="529">
        <v>978.29</v>
      </c>
      <c r="H978" s="529">
        <f t="shared" si="36"/>
        <v>1596569.28</v>
      </c>
      <c r="I978" s="340">
        <v>1076</v>
      </c>
      <c r="J978" s="712">
        <f t="shared" si="37"/>
        <v>1632</v>
      </c>
      <c r="K978" s="685" t="str">
        <f>UPPER((TEXT(Tabla5[[#This Row],[FECHA]],"MMM")))</f>
        <v>MAY</v>
      </c>
      <c r="L978" s="780">
        <f>YEAR(Tabla5[[#This Row],[FECHA]])</f>
        <v>2025</v>
      </c>
      <c r="M978" s="749">
        <v>443</v>
      </c>
      <c r="N978" s="441" t="s">
        <v>678</v>
      </c>
      <c r="O978" s="441" t="s">
        <v>713</v>
      </c>
      <c r="P978" s="441" t="s">
        <v>110</v>
      </c>
    </row>
    <row r="979" spans="1:16" ht="13.8">
      <c r="A979" s="778">
        <v>45789</v>
      </c>
      <c r="B979" s="340" t="s">
        <v>261</v>
      </c>
      <c r="C979" s="340" t="s">
        <v>262</v>
      </c>
      <c r="D979" s="340" t="s">
        <v>260</v>
      </c>
      <c r="E979" s="340">
        <v>58</v>
      </c>
      <c r="F979" s="340">
        <v>4</v>
      </c>
      <c r="G979" s="529">
        <v>978.29</v>
      </c>
      <c r="H979" s="529">
        <f t="shared" si="36"/>
        <v>226963.28</v>
      </c>
      <c r="I979" s="340">
        <v>189</v>
      </c>
      <c r="J979" s="712">
        <f t="shared" si="37"/>
        <v>232</v>
      </c>
      <c r="K979" s="685" t="str">
        <f>UPPER((TEXT(Tabla5[[#This Row],[FECHA]],"MMM")))</f>
        <v>MAY</v>
      </c>
      <c r="L979" s="780">
        <f>YEAR(Tabla5[[#This Row],[FECHA]])</f>
        <v>2025</v>
      </c>
      <c r="M979" s="749">
        <v>443</v>
      </c>
      <c r="N979" s="441" t="s">
        <v>679</v>
      </c>
      <c r="O979" s="441" t="s">
        <v>712</v>
      </c>
      <c r="P979" s="441" t="s">
        <v>110</v>
      </c>
    </row>
    <row r="980" spans="1:16" ht="13.8">
      <c r="A980" s="778">
        <v>45789</v>
      </c>
      <c r="B980" s="340" t="s">
        <v>263</v>
      </c>
      <c r="C980" s="340" t="s">
        <v>264</v>
      </c>
      <c r="D980" s="340" t="s">
        <v>695</v>
      </c>
      <c r="E980" s="340">
        <v>76</v>
      </c>
      <c r="F980" s="340">
        <v>9</v>
      </c>
      <c r="G980" s="529">
        <v>978.29</v>
      </c>
      <c r="H980" s="529">
        <f t="shared" si="36"/>
        <v>669150.36</v>
      </c>
      <c r="I980" s="340">
        <v>1223</v>
      </c>
      <c r="J980" s="712">
        <f t="shared" si="37"/>
        <v>684</v>
      </c>
      <c r="K980" s="685" t="str">
        <f>UPPER((TEXT(Tabla5[[#This Row],[FECHA]],"MMM")))</f>
        <v>MAY</v>
      </c>
      <c r="L980" s="780">
        <f>YEAR(Tabla5[[#This Row],[FECHA]])</f>
        <v>2025</v>
      </c>
      <c r="M980" s="749">
        <v>443</v>
      </c>
      <c r="N980" s="441" t="s">
        <v>676</v>
      </c>
      <c r="O980" s="441" t="s">
        <v>712</v>
      </c>
      <c r="P980" s="441" t="s">
        <v>110</v>
      </c>
    </row>
    <row r="981" spans="1:16" ht="13.8">
      <c r="A981" s="531">
        <v>45790</v>
      </c>
      <c r="B981" s="340" t="s">
        <v>272</v>
      </c>
      <c r="C981" s="340" t="s">
        <v>278</v>
      </c>
      <c r="D981" s="340" t="s">
        <v>260</v>
      </c>
      <c r="E981" s="340">
        <v>58</v>
      </c>
      <c r="F981" s="340">
        <v>4</v>
      </c>
      <c r="G981" s="529">
        <v>978.29</v>
      </c>
      <c r="H981" s="529">
        <f t="shared" si="36"/>
        <v>226963.28</v>
      </c>
      <c r="I981" s="340">
        <v>223</v>
      </c>
      <c r="J981" s="712">
        <f t="shared" si="37"/>
        <v>232</v>
      </c>
      <c r="K981" s="685" t="str">
        <f>UPPER((TEXT(Tabla5[[#This Row],[FECHA]],"MMM")))</f>
        <v>MAY</v>
      </c>
      <c r="L981" s="780">
        <f>YEAR(Tabla5[[#This Row],[FECHA]])</f>
        <v>2025</v>
      </c>
      <c r="M981" s="749">
        <v>443</v>
      </c>
      <c r="N981" s="441" t="s">
        <v>679</v>
      </c>
      <c r="O981" s="441" t="s">
        <v>712</v>
      </c>
      <c r="P981" s="441" t="s">
        <v>110</v>
      </c>
    </row>
    <row r="982" spans="1:16" ht="13.8">
      <c r="A982" s="531">
        <v>45790</v>
      </c>
      <c r="B982" s="340" t="s">
        <v>263</v>
      </c>
      <c r="C982" s="340" t="s">
        <v>264</v>
      </c>
      <c r="D982" s="340" t="s">
        <v>695</v>
      </c>
      <c r="E982" s="340">
        <v>76</v>
      </c>
      <c r="F982" s="340">
        <v>9</v>
      </c>
      <c r="G982" s="529">
        <v>978.29</v>
      </c>
      <c r="H982" s="529">
        <f t="shared" si="36"/>
        <v>669150.36</v>
      </c>
      <c r="I982" s="340">
        <v>1081</v>
      </c>
      <c r="J982" s="712">
        <f t="shared" si="37"/>
        <v>684</v>
      </c>
      <c r="K982" s="685" t="str">
        <f>UPPER((TEXT(Tabla5[[#This Row],[FECHA]],"MMM")))</f>
        <v>MAY</v>
      </c>
      <c r="L982" s="780">
        <f>YEAR(Tabla5[[#This Row],[FECHA]])</f>
        <v>2025</v>
      </c>
      <c r="M982" s="749">
        <v>443</v>
      </c>
      <c r="N982" s="441" t="s">
        <v>676</v>
      </c>
      <c r="O982" s="441" t="s">
        <v>712</v>
      </c>
      <c r="P982" s="441" t="s">
        <v>110</v>
      </c>
    </row>
    <row r="983" spans="1:16" ht="13.8">
      <c r="A983" s="531">
        <v>45790</v>
      </c>
      <c r="B983" s="340" t="s">
        <v>406</v>
      </c>
      <c r="C983" s="340" t="s">
        <v>259</v>
      </c>
      <c r="D983" s="340" t="s">
        <v>260</v>
      </c>
      <c r="E983" s="340">
        <v>58</v>
      </c>
      <c r="F983" s="340">
        <v>4</v>
      </c>
      <c r="G983" s="529">
        <v>978.29</v>
      </c>
      <c r="H983" s="529">
        <f t="shared" si="36"/>
        <v>226963.28</v>
      </c>
      <c r="I983" s="340">
        <v>436</v>
      </c>
      <c r="J983" s="712">
        <f t="shared" si="37"/>
        <v>232</v>
      </c>
      <c r="K983" s="685" t="str">
        <f>UPPER((TEXT(Tabla5[[#This Row],[FECHA]],"MMM")))</f>
        <v>MAY</v>
      </c>
      <c r="L983" s="780">
        <f>YEAR(Tabla5[[#This Row],[FECHA]])</f>
        <v>2025</v>
      </c>
      <c r="M983" s="749">
        <v>443</v>
      </c>
      <c r="N983" s="441" t="s">
        <v>680</v>
      </c>
      <c r="O983" s="441" t="s">
        <v>712</v>
      </c>
      <c r="P983" s="441" t="s">
        <v>110</v>
      </c>
    </row>
    <row r="984" spans="1:16" ht="13.8">
      <c r="A984" s="531">
        <v>45791</v>
      </c>
      <c r="B984" s="340" t="s">
        <v>272</v>
      </c>
      <c r="C984" s="340" t="s">
        <v>826</v>
      </c>
      <c r="D984" s="340" t="s">
        <v>260</v>
      </c>
      <c r="E984" s="340">
        <v>58</v>
      </c>
      <c r="F984" s="340">
        <v>4</v>
      </c>
      <c r="G984" s="529">
        <v>978.29</v>
      </c>
      <c r="H984" s="529">
        <f t="shared" si="36"/>
        <v>226963.28</v>
      </c>
      <c r="I984" s="340">
        <v>197</v>
      </c>
      <c r="J984" s="712">
        <f t="shared" si="37"/>
        <v>232</v>
      </c>
      <c r="K984" s="685" t="str">
        <f>UPPER((TEXT(Tabla5[[#This Row],[FECHA]],"MMM")))</f>
        <v>MAY</v>
      </c>
      <c r="L984" s="780">
        <f>YEAR(Tabla5[[#This Row],[FECHA]])</f>
        <v>2025</v>
      </c>
      <c r="M984" s="749">
        <v>443</v>
      </c>
      <c r="N984" s="441" t="s">
        <v>679</v>
      </c>
      <c r="O984" s="441" t="s">
        <v>712</v>
      </c>
      <c r="P984" s="441" t="s">
        <v>110</v>
      </c>
    </row>
    <row r="985" spans="1:16" ht="13.8">
      <c r="A985" s="531">
        <v>45791</v>
      </c>
      <c r="B985" s="340" t="s">
        <v>263</v>
      </c>
      <c r="C985" s="340" t="s">
        <v>264</v>
      </c>
      <c r="D985" s="340" t="s">
        <v>695</v>
      </c>
      <c r="E985" s="340">
        <v>76</v>
      </c>
      <c r="F985" s="340">
        <v>9</v>
      </c>
      <c r="G985" s="529">
        <v>978.29</v>
      </c>
      <c r="H985" s="529">
        <f t="shared" si="36"/>
        <v>669150.36</v>
      </c>
      <c r="I985" s="340">
        <v>1083</v>
      </c>
      <c r="J985" s="712">
        <f t="shared" si="37"/>
        <v>684</v>
      </c>
      <c r="K985" s="685" t="str">
        <f>UPPER((TEXT(Tabla5[[#This Row],[FECHA]],"MMM")))</f>
        <v>MAY</v>
      </c>
      <c r="L985" s="780">
        <f>YEAR(Tabla5[[#This Row],[FECHA]])</f>
        <v>2025</v>
      </c>
      <c r="M985" s="749">
        <v>443</v>
      </c>
      <c r="N985" s="441" t="s">
        <v>676</v>
      </c>
      <c r="O985" s="441" t="s">
        <v>712</v>
      </c>
      <c r="P985" s="441" t="s">
        <v>110</v>
      </c>
    </row>
    <row r="986" spans="1:16" ht="13.8">
      <c r="A986" s="531">
        <v>45791</v>
      </c>
      <c r="B986" s="340" t="s">
        <v>406</v>
      </c>
      <c r="C986" s="340" t="s">
        <v>673</v>
      </c>
      <c r="D986" s="340" t="s">
        <v>260</v>
      </c>
      <c r="E986" s="340">
        <v>58</v>
      </c>
      <c r="F986" s="340">
        <v>7</v>
      </c>
      <c r="G986" s="529">
        <v>978.29</v>
      </c>
      <c r="H986" s="529">
        <f t="shared" si="36"/>
        <v>397185.74</v>
      </c>
      <c r="I986" s="340">
        <v>741</v>
      </c>
      <c r="J986" s="712">
        <f t="shared" si="37"/>
        <v>406</v>
      </c>
      <c r="K986" s="685" t="str">
        <f>UPPER((TEXT(Tabla5[[#This Row],[FECHA]],"MMM")))</f>
        <v>MAY</v>
      </c>
      <c r="L986" s="780">
        <f>YEAR(Tabla5[[#This Row],[FECHA]])</f>
        <v>2025</v>
      </c>
      <c r="M986" s="749">
        <v>443</v>
      </c>
      <c r="N986" s="441" t="s">
        <v>680</v>
      </c>
      <c r="O986" s="441" t="s">
        <v>712</v>
      </c>
      <c r="P986" s="441" t="s">
        <v>110</v>
      </c>
    </row>
    <row r="987" spans="1:16" ht="13.8">
      <c r="A987" s="531">
        <v>45791</v>
      </c>
      <c r="B987" s="340" t="s">
        <v>410</v>
      </c>
      <c r="C987" s="340" t="s">
        <v>404</v>
      </c>
      <c r="D987" s="340" t="s">
        <v>827</v>
      </c>
      <c r="E987" s="340">
        <v>46</v>
      </c>
      <c r="F987" s="340">
        <v>4</v>
      </c>
      <c r="G987" s="529">
        <v>978.29</v>
      </c>
      <c r="H987" s="529">
        <f t="shared" si="36"/>
        <v>180005.36</v>
      </c>
      <c r="I987" s="340">
        <v>270</v>
      </c>
      <c r="J987" s="712">
        <f t="shared" si="37"/>
        <v>184</v>
      </c>
      <c r="K987" s="685" t="str">
        <f>UPPER((TEXT(Tabla5[[#This Row],[FECHA]],"MMM")))</f>
        <v>MAY</v>
      </c>
      <c r="L987" s="780">
        <f>YEAR(Tabla5[[#This Row],[FECHA]])</f>
        <v>2025</v>
      </c>
      <c r="M987" s="749">
        <v>443</v>
      </c>
      <c r="N987" s="441" t="s">
        <v>678</v>
      </c>
      <c r="O987" s="441" t="s">
        <v>713</v>
      </c>
      <c r="P987" s="441" t="s">
        <v>110</v>
      </c>
    </row>
    <row r="988" spans="1:16" ht="13.8">
      <c r="A988" s="778">
        <v>45792</v>
      </c>
      <c r="B988" s="340" t="s">
        <v>272</v>
      </c>
      <c r="C988" s="340" t="s">
        <v>278</v>
      </c>
      <c r="D988" s="340" t="s">
        <v>260</v>
      </c>
      <c r="E988" s="340">
        <v>58</v>
      </c>
      <c r="F988" s="340">
        <v>4</v>
      </c>
      <c r="G988" s="529">
        <v>978.29</v>
      </c>
      <c r="H988" s="529">
        <f t="shared" si="36"/>
        <v>226963.28</v>
      </c>
      <c r="I988" s="340">
        <v>199</v>
      </c>
      <c r="J988" s="712">
        <f t="shared" si="37"/>
        <v>232</v>
      </c>
      <c r="K988" s="685" t="str">
        <f>UPPER((TEXT(Tabla5[[#This Row],[FECHA]],"MMM")))</f>
        <v>MAY</v>
      </c>
      <c r="L988" s="780">
        <f>YEAR(Tabla5[[#This Row],[FECHA]])</f>
        <v>2025</v>
      </c>
      <c r="M988" s="749">
        <v>443</v>
      </c>
      <c r="N988" s="441" t="s">
        <v>679</v>
      </c>
      <c r="O988" s="441" t="s">
        <v>712</v>
      </c>
      <c r="P988" s="441" t="s">
        <v>110</v>
      </c>
    </row>
    <row r="989" spans="1:16" ht="13.8">
      <c r="A989" s="778">
        <v>45792</v>
      </c>
      <c r="B989" s="340" t="s">
        <v>263</v>
      </c>
      <c r="C989" s="340" t="s">
        <v>264</v>
      </c>
      <c r="D989" s="340" t="s">
        <v>695</v>
      </c>
      <c r="E989" s="340">
        <v>76</v>
      </c>
      <c r="F989" s="340">
        <v>9</v>
      </c>
      <c r="G989" s="529">
        <v>978.29</v>
      </c>
      <c r="H989" s="529">
        <f t="shared" si="36"/>
        <v>669150.36</v>
      </c>
      <c r="I989" s="340">
        <v>923</v>
      </c>
      <c r="J989" s="712">
        <f t="shared" si="37"/>
        <v>684</v>
      </c>
      <c r="K989" s="685" t="str">
        <f>UPPER((TEXT(Tabla5[[#This Row],[FECHA]],"MMM")))</f>
        <v>MAY</v>
      </c>
      <c r="L989" s="780">
        <f>YEAR(Tabla5[[#This Row],[FECHA]])</f>
        <v>2025</v>
      </c>
      <c r="M989" s="749">
        <v>443</v>
      </c>
      <c r="N989" s="441" t="s">
        <v>676</v>
      </c>
      <c r="O989" s="441" t="s">
        <v>712</v>
      </c>
      <c r="P989" s="441" t="s">
        <v>110</v>
      </c>
    </row>
    <row r="990" spans="1:16" ht="13.8">
      <c r="A990" s="778">
        <v>45792</v>
      </c>
      <c r="B990" s="340" t="s">
        <v>441</v>
      </c>
      <c r="C990" s="340" t="s">
        <v>262</v>
      </c>
      <c r="D990" s="340" t="s">
        <v>260</v>
      </c>
      <c r="E990" s="340">
        <v>58</v>
      </c>
      <c r="F990" s="340">
        <v>4</v>
      </c>
      <c r="G990" s="529">
        <v>978.29</v>
      </c>
      <c r="H990" s="529">
        <f t="shared" si="36"/>
        <v>226963.28</v>
      </c>
      <c r="I990" s="340">
        <v>472</v>
      </c>
      <c r="J990" s="712">
        <f t="shared" si="37"/>
        <v>232</v>
      </c>
      <c r="K990" s="685" t="str">
        <f>UPPER((TEXT(Tabla5[[#This Row],[FECHA]],"MMM")))</f>
        <v>MAY</v>
      </c>
      <c r="L990" s="780">
        <f>YEAR(Tabla5[[#This Row],[FECHA]])</f>
        <v>2025</v>
      </c>
      <c r="M990" s="749">
        <v>443</v>
      </c>
      <c r="N990" s="441" t="s">
        <v>680</v>
      </c>
      <c r="O990" s="441" t="s">
        <v>712</v>
      </c>
      <c r="P990" s="441" t="s">
        <v>110</v>
      </c>
    </row>
    <row r="991" spans="1:16" ht="13.8">
      <c r="A991" s="531">
        <v>45793</v>
      </c>
      <c r="B991" s="340" t="s">
        <v>261</v>
      </c>
      <c r="C991" s="340" t="s">
        <v>266</v>
      </c>
      <c r="D991" s="340" t="s">
        <v>260</v>
      </c>
      <c r="E991" s="340">
        <v>58</v>
      </c>
      <c r="F991" s="340">
        <v>4</v>
      </c>
      <c r="G991" s="529">
        <v>978.29</v>
      </c>
      <c r="H991" s="529">
        <f t="shared" si="36"/>
        <v>226963.28</v>
      </c>
      <c r="I991" s="340">
        <v>181</v>
      </c>
      <c r="J991" s="712">
        <f t="shared" si="37"/>
        <v>232</v>
      </c>
      <c r="K991" s="685" t="str">
        <f>UPPER((TEXT(Tabla5[[#This Row],[FECHA]],"MMM")))</f>
        <v>MAY</v>
      </c>
      <c r="L991" s="780">
        <f>YEAR(Tabla5[[#This Row],[FECHA]])</f>
        <v>2025</v>
      </c>
      <c r="M991" s="749">
        <v>443</v>
      </c>
      <c r="N991" s="441" t="s">
        <v>679</v>
      </c>
      <c r="O991" s="441" t="s">
        <v>712</v>
      </c>
      <c r="P991" s="441" t="s">
        <v>110</v>
      </c>
    </row>
    <row r="992" spans="1:16" ht="13.8">
      <c r="A992" s="531">
        <v>45793</v>
      </c>
      <c r="B992" s="340" t="s">
        <v>271</v>
      </c>
      <c r="C992" s="340" t="s">
        <v>257</v>
      </c>
      <c r="D992" s="340" t="s">
        <v>695</v>
      </c>
      <c r="E992" s="340">
        <v>76</v>
      </c>
      <c r="F992" s="340">
        <v>9</v>
      </c>
      <c r="G992" s="529">
        <v>978.29</v>
      </c>
      <c r="H992" s="529">
        <f t="shared" si="36"/>
        <v>669150.36</v>
      </c>
      <c r="I992" s="340">
        <v>1116</v>
      </c>
      <c r="J992" s="712">
        <f t="shared" si="37"/>
        <v>684</v>
      </c>
      <c r="K992" s="685" t="str">
        <f>UPPER((TEXT(Tabla5[[#This Row],[FECHA]],"MMM")))</f>
        <v>MAY</v>
      </c>
      <c r="L992" s="780">
        <f>YEAR(Tabla5[[#This Row],[FECHA]])</f>
        <v>2025</v>
      </c>
      <c r="M992" s="749">
        <v>443</v>
      </c>
      <c r="N992" s="441" t="s">
        <v>676</v>
      </c>
      <c r="O992" s="441" t="s">
        <v>712</v>
      </c>
      <c r="P992" s="441" t="s">
        <v>110</v>
      </c>
    </row>
    <row r="993" spans="1:16" ht="13.8">
      <c r="A993" s="531">
        <v>45793</v>
      </c>
      <c r="B993" s="340" t="s">
        <v>403</v>
      </c>
      <c r="C993" s="340" t="s">
        <v>404</v>
      </c>
      <c r="D993" s="340" t="s">
        <v>260</v>
      </c>
      <c r="E993" s="340">
        <v>58</v>
      </c>
      <c r="F993" s="340">
        <v>4</v>
      </c>
      <c r="G993" s="529">
        <v>978.29</v>
      </c>
      <c r="H993" s="529">
        <f t="shared" si="36"/>
        <v>226963.28</v>
      </c>
      <c r="I993" s="340">
        <v>585</v>
      </c>
      <c r="J993" s="712">
        <f t="shared" si="37"/>
        <v>232</v>
      </c>
      <c r="K993" s="685" t="str">
        <f>UPPER((TEXT(Tabla5[[#This Row],[FECHA]],"MMM")))</f>
        <v>MAY</v>
      </c>
      <c r="L993" s="780">
        <f>YEAR(Tabla5[[#This Row],[FECHA]])</f>
        <v>2025</v>
      </c>
      <c r="M993" s="749">
        <v>443</v>
      </c>
      <c r="N993" s="441" t="s">
        <v>680</v>
      </c>
      <c r="O993" s="441" t="s">
        <v>712</v>
      </c>
      <c r="P993" s="441" t="s">
        <v>110</v>
      </c>
    </row>
    <row r="994" spans="1:16" ht="13.8">
      <c r="A994" s="531">
        <v>45794</v>
      </c>
      <c r="B994" s="340" t="s">
        <v>272</v>
      </c>
      <c r="C994" s="340" t="s">
        <v>282</v>
      </c>
      <c r="D994" s="340" t="s">
        <v>695</v>
      </c>
      <c r="E994" s="340">
        <v>76</v>
      </c>
      <c r="F994" s="340">
        <v>3</v>
      </c>
      <c r="G994" s="529">
        <v>978.29</v>
      </c>
      <c r="H994" s="529">
        <f t="shared" si="36"/>
        <v>223050.12</v>
      </c>
      <c r="I994" s="340">
        <v>426</v>
      </c>
      <c r="J994" s="712">
        <f t="shared" si="37"/>
        <v>228</v>
      </c>
      <c r="K994" s="685" t="str">
        <f>UPPER((TEXT(Tabla5[[#This Row],[FECHA]],"MMM")))</f>
        <v>MAY</v>
      </c>
      <c r="L994" s="780">
        <f>YEAR(Tabla5[[#This Row],[FECHA]])</f>
        <v>2025</v>
      </c>
      <c r="M994" s="749">
        <v>443</v>
      </c>
      <c r="N994" s="441" t="s">
        <v>676</v>
      </c>
      <c r="O994" s="441" t="s">
        <v>712</v>
      </c>
      <c r="P994" s="441" t="s">
        <v>110</v>
      </c>
    </row>
    <row r="995" spans="1:16" ht="13.8">
      <c r="A995" s="531">
        <v>45794</v>
      </c>
      <c r="B995" s="340" t="s">
        <v>263</v>
      </c>
      <c r="C995" s="340" t="s">
        <v>283</v>
      </c>
      <c r="D995" s="340" t="s">
        <v>694</v>
      </c>
      <c r="E995" s="340">
        <v>96</v>
      </c>
      <c r="F995" s="340">
        <v>11</v>
      </c>
      <c r="G995" s="529">
        <v>978.29</v>
      </c>
      <c r="H995" s="529">
        <f t="shared" si="36"/>
        <v>1033074.24</v>
      </c>
      <c r="I995" s="340">
        <v>724</v>
      </c>
      <c r="J995" s="712">
        <f t="shared" si="37"/>
        <v>1056</v>
      </c>
      <c r="K995" s="685" t="str">
        <f>UPPER((TEXT(Tabla5[[#This Row],[FECHA]],"MMM")))</f>
        <v>MAY</v>
      </c>
      <c r="L995" s="780">
        <f>YEAR(Tabla5[[#This Row],[FECHA]])</f>
        <v>2025</v>
      </c>
      <c r="M995" s="749">
        <v>443</v>
      </c>
      <c r="N995" s="441" t="s">
        <v>678</v>
      </c>
      <c r="O995" s="441" t="s">
        <v>713</v>
      </c>
      <c r="P995" s="441" t="s">
        <v>110</v>
      </c>
    </row>
    <row r="996" spans="1:16" ht="13.8">
      <c r="A996" s="531">
        <v>45795</v>
      </c>
      <c r="B996" s="340" t="s">
        <v>277</v>
      </c>
      <c r="C996" s="340" t="s">
        <v>257</v>
      </c>
      <c r="D996" s="340" t="s">
        <v>694</v>
      </c>
      <c r="E996" s="340">
        <v>96</v>
      </c>
      <c r="F996" s="340">
        <v>14</v>
      </c>
      <c r="G996" s="529">
        <v>978.29</v>
      </c>
      <c r="H996" s="529">
        <f t="shared" si="36"/>
        <v>1314821.76</v>
      </c>
      <c r="I996" s="340">
        <v>1034</v>
      </c>
      <c r="J996" s="712">
        <f t="shared" si="37"/>
        <v>1344</v>
      </c>
      <c r="K996" s="685" t="str">
        <f>UPPER((TEXT(Tabla5[[#This Row],[FECHA]],"MMM")))</f>
        <v>MAY</v>
      </c>
      <c r="L996" s="780">
        <f>YEAR(Tabla5[[#This Row],[FECHA]])</f>
        <v>2025</v>
      </c>
      <c r="M996" s="749">
        <v>443</v>
      </c>
      <c r="N996" s="441" t="s">
        <v>678</v>
      </c>
      <c r="O996" s="441" t="s">
        <v>713</v>
      </c>
      <c r="P996" s="441" t="s">
        <v>110</v>
      </c>
    </row>
    <row r="997" spans="1:16" ht="13.8">
      <c r="A997" s="531">
        <v>45796</v>
      </c>
      <c r="B997" s="340" t="s">
        <v>272</v>
      </c>
      <c r="C997" s="340" t="s">
        <v>826</v>
      </c>
      <c r="D997" s="340" t="s">
        <v>260</v>
      </c>
      <c r="E997" s="340">
        <v>58</v>
      </c>
      <c r="F997" s="340">
        <v>4</v>
      </c>
      <c r="G997" s="529">
        <v>978.29</v>
      </c>
      <c r="H997" s="529">
        <f t="shared" si="36"/>
        <v>226963.28</v>
      </c>
      <c r="I997" s="340">
        <v>139</v>
      </c>
      <c r="J997" s="712">
        <f t="shared" si="37"/>
        <v>232</v>
      </c>
      <c r="K997" s="685" t="str">
        <f>UPPER((TEXT(Tabla5[[#This Row],[FECHA]],"MMM")))</f>
        <v>MAY</v>
      </c>
      <c r="L997" s="780">
        <f>YEAR(Tabla5[[#This Row],[FECHA]])</f>
        <v>2025</v>
      </c>
      <c r="M997" s="749">
        <v>443</v>
      </c>
      <c r="N997" s="441" t="s">
        <v>679</v>
      </c>
      <c r="O997" s="441" t="s">
        <v>712</v>
      </c>
      <c r="P997" s="441" t="s">
        <v>110</v>
      </c>
    </row>
    <row r="998" spans="1:16" ht="13.8">
      <c r="A998" s="531">
        <v>45796</v>
      </c>
      <c r="B998" s="340" t="s">
        <v>295</v>
      </c>
      <c r="C998" s="340" t="s">
        <v>258</v>
      </c>
      <c r="D998" s="340" t="s">
        <v>695</v>
      </c>
      <c r="E998" s="340">
        <v>76</v>
      </c>
      <c r="F998" s="340">
        <v>8</v>
      </c>
      <c r="G998" s="529">
        <v>978.29</v>
      </c>
      <c r="H998" s="529">
        <f t="shared" si="36"/>
        <v>594800.31999999995</v>
      </c>
      <c r="I998" s="340">
        <v>1032</v>
      </c>
      <c r="J998" s="712">
        <f t="shared" si="37"/>
        <v>608</v>
      </c>
      <c r="K998" s="685" t="str">
        <f>UPPER((TEXT(Tabla5[[#This Row],[FECHA]],"MMM")))</f>
        <v>MAY</v>
      </c>
      <c r="L998" s="780">
        <f>YEAR(Tabla5[[#This Row],[FECHA]])</f>
        <v>2025</v>
      </c>
      <c r="M998" s="749">
        <v>443</v>
      </c>
      <c r="N998" s="441" t="s">
        <v>676</v>
      </c>
      <c r="O998" s="441" t="s">
        <v>712</v>
      </c>
      <c r="P998" s="441" t="s">
        <v>110</v>
      </c>
    </row>
    <row r="999" spans="1:16" ht="13.8">
      <c r="A999" s="531">
        <v>45797</v>
      </c>
      <c r="B999" s="340" t="s">
        <v>272</v>
      </c>
      <c r="C999" s="340" t="s">
        <v>278</v>
      </c>
      <c r="D999" s="340" t="s">
        <v>260</v>
      </c>
      <c r="E999" s="340">
        <v>58</v>
      </c>
      <c r="F999" s="340">
        <v>4</v>
      </c>
      <c r="G999" s="529">
        <v>978.29</v>
      </c>
      <c r="H999" s="529">
        <f t="shared" si="36"/>
        <v>226963.28</v>
      </c>
      <c r="I999" s="340">
        <v>157</v>
      </c>
      <c r="J999" s="712">
        <f t="shared" si="37"/>
        <v>232</v>
      </c>
      <c r="K999" s="685" t="str">
        <f>UPPER((TEXT(Tabla5[[#This Row],[FECHA]],"MMM")))</f>
        <v>MAY</v>
      </c>
      <c r="L999" s="780">
        <f>YEAR(Tabla5[[#This Row],[FECHA]])</f>
        <v>2025</v>
      </c>
      <c r="M999" s="749">
        <v>443</v>
      </c>
      <c r="N999" s="441" t="s">
        <v>679</v>
      </c>
      <c r="O999" s="441" t="s">
        <v>712</v>
      </c>
      <c r="P999" s="441" t="s">
        <v>110</v>
      </c>
    </row>
    <row r="1000" spans="1:16" ht="13.8">
      <c r="A1000" s="531">
        <v>45797</v>
      </c>
      <c r="B1000" s="340" t="s">
        <v>295</v>
      </c>
      <c r="C1000" s="340" t="s">
        <v>258</v>
      </c>
      <c r="D1000" s="340" t="s">
        <v>695</v>
      </c>
      <c r="E1000" s="340">
        <v>76</v>
      </c>
      <c r="F1000" s="340">
        <v>8</v>
      </c>
      <c r="G1000" s="529">
        <v>978.29</v>
      </c>
      <c r="H1000" s="529">
        <f t="shared" si="36"/>
        <v>594800.31999999995</v>
      </c>
      <c r="I1000" s="340">
        <v>926</v>
      </c>
      <c r="J1000" s="712">
        <f t="shared" si="37"/>
        <v>608</v>
      </c>
      <c r="K1000" s="685" t="str">
        <f>UPPER((TEXT(Tabla5[[#This Row],[FECHA]],"MMM")))</f>
        <v>MAY</v>
      </c>
      <c r="L1000" s="780">
        <f>YEAR(Tabla5[[#This Row],[FECHA]])</f>
        <v>2025</v>
      </c>
      <c r="M1000" s="749">
        <v>443</v>
      </c>
      <c r="N1000" s="441" t="s">
        <v>676</v>
      </c>
      <c r="O1000" s="441" t="s">
        <v>712</v>
      </c>
      <c r="P1000" s="441" t="s">
        <v>110</v>
      </c>
    </row>
    <row r="1001" spans="1:16" ht="13.8">
      <c r="A1001" s="531">
        <v>45797</v>
      </c>
      <c r="B1001" s="340" t="s">
        <v>441</v>
      </c>
      <c r="C1001" s="340" t="s">
        <v>262</v>
      </c>
      <c r="D1001" s="340" t="s">
        <v>260</v>
      </c>
      <c r="E1001" s="340">
        <v>58</v>
      </c>
      <c r="F1001" s="340">
        <v>4</v>
      </c>
      <c r="G1001" s="529">
        <v>978.29</v>
      </c>
      <c r="H1001" s="529">
        <f t="shared" si="36"/>
        <v>226963.28</v>
      </c>
      <c r="I1001" s="340">
        <v>182</v>
      </c>
      <c r="J1001" s="712">
        <f t="shared" si="37"/>
        <v>232</v>
      </c>
      <c r="K1001" s="685" t="str">
        <f>UPPER((TEXT(Tabla5[[#This Row],[FECHA]],"MMM")))</f>
        <v>MAY</v>
      </c>
      <c r="L1001" s="780">
        <f>YEAR(Tabla5[[#This Row],[FECHA]])</f>
        <v>2025</v>
      </c>
      <c r="M1001" s="749">
        <v>443</v>
      </c>
      <c r="N1001" s="441" t="s">
        <v>680</v>
      </c>
      <c r="O1001" s="441" t="s">
        <v>712</v>
      </c>
      <c r="P1001" s="441" t="s">
        <v>110</v>
      </c>
    </row>
    <row r="1002" spans="1:16" ht="13.8">
      <c r="A1002" s="531">
        <v>45798</v>
      </c>
      <c r="B1002" s="340" t="s">
        <v>272</v>
      </c>
      <c r="C1002" s="340" t="s">
        <v>278</v>
      </c>
      <c r="D1002" s="340" t="s">
        <v>260</v>
      </c>
      <c r="E1002" s="340">
        <v>58</v>
      </c>
      <c r="F1002" s="340">
        <v>4</v>
      </c>
      <c r="G1002" s="529">
        <v>978.29</v>
      </c>
      <c r="H1002" s="529">
        <f t="shared" si="36"/>
        <v>226963.28</v>
      </c>
      <c r="I1002" s="340">
        <v>159</v>
      </c>
      <c r="J1002" s="712">
        <f t="shared" si="37"/>
        <v>232</v>
      </c>
      <c r="K1002" s="685" t="str">
        <f>UPPER((TEXT(Tabla5[[#This Row],[FECHA]],"MMM")))</f>
        <v>MAY</v>
      </c>
      <c r="L1002" s="780">
        <f>YEAR(Tabla5[[#This Row],[FECHA]])</f>
        <v>2025</v>
      </c>
      <c r="M1002" s="749">
        <v>443</v>
      </c>
      <c r="N1002" s="441" t="s">
        <v>679</v>
      </c>
      <c r="O1002" s="441" t="s">
        <v>712</v>
      </c>
      <c r="P1002" s="441" t="s">
        <v>110</v>
      </c>
    </row>
    <row r="1003" spans="1:16" ht="13.8">
      <c r="A1003" s="531">
        <v>45798</v>
      </c>
      <c r="B1003" s="340" t="s">
        <v>295</v>
      </c>
      <c r="C1003" s="340" t="s">
        <v>258</v>
      </c>
      <c r="D1003" s="340" t="s">
        <v>695</v>
      </c>
      <c r="E1003" s="340">
        <v>76</v>
      </c>
      <c r="F1003" s="340">
        <v>8</v>
      </c>
      <c r="G1003" s="529">
        <v>978.29</v>
      </c>
      <c r="H1003" s="529">
        <f t="shared" si="36"/>
        <v>594800.31999999995</v>
      </c>
      <c r="I1003" s="340">
        <v>877</v>
      </c>
      <c r="J1003" s="712">
        <f t="shared" si="37"/>
        <v>608</v>
      </c>
      <c r="K1003" s="685" t="str">
        <f>UPPER((TEXT(Tabla5[[#This Row],[FECHA]],"MMM")))</f>
        <v>MAY</v>
      </c>
      <c r="L1003" s="780">
        <f>YEAR(Tabla5[[#This Row],[FECHA]])</f>
        <v>2025</v>
      </c>
      <c r="M1003" s="749">
        <v>443</v>
      </c>
      <c r="N1003" s="441" t="s">
        <v>676</v>
      </c>
      <c r="O1003" s="441" t="s">
        <v>712</v>
      </c>
      <c r="P1003" s="441" t="s">
        <v>110</v>
      </c>
    </row>
    <row r="1004" spans="1:16" ht="13.8">
      <c r="A1004" s="531">
        <v>45798</v>
      </c>
      <c r="B1004" s="340" t="s">
        <v>441</v>
      </c>
      <c r="C1004" s="340" t="s">
        <v>262</v>
      </c>
      <c r="D1004" s="340" t="s">
        <v>260</v>
      </c>
      <c r="E1004" s="340">
        <v>58</v>
      </c>
      <c r="F1004" s="340">
        <v>4</v>
      </c>
      <c r="G1004" s="529">
        <v>978.29</v>
      </c>
      <c r="H1004" s="529">
        <f t="shared" si="36"/>
        <v>226963.28</v>
      </c>
      <c r="I1004" s="340">
        <v>614</v>
      </c>
      <c r="J1004" s="712">
        <f t="shared" si="37"/>
        <v>232</v>
      </c>
      <c r="K1004" s="685" t="str">
        <f>UPPER((TEXT(Tabla5[[#This Row],[FECHA]],"MMM")))</f>
        <v>MAY</v>
      </c>
      <c r="L1004" s="780">
        <f>YEAR(Tabla5[[#This Row],[FECHA]])</f>
        <v>2025</v>
      </c>
      <c r="M1004" s="749">
        <v>443</v>
      </c>
      <c r="N1004" s="441" t="s">
        <v>680</v>
      </c>
      <c r="O1004" s="441" t="s">
        <v>712</v>
      </c>
      <c r="P1004" s="441" t="s">
        <v>110</v>
      </c>
    </row>
    <row r="1005" spans="1:16" ht="13.8">
      <c r="A1005" s="531">
        <v>45799</v>
      </c>
      <c r="B1005" s="340" t="s">
        <v>272</v>
      </c>
      <c r="C1005" s="340" t="s">
        <v>278</v>
      </c>
      <c r="D1005" s="340" t="s">
        <v>260</v>
      </c>
      <c r="E1005" s="340">
        <v>58</v>
      </c>
      <c r="F1005" s="340">
        <v>4</v>
      </c>
      <c r="G1005" s="529">
        <v>978.29</v>
      </c>
      <c r="H1005" s="529">
        <f t="shared" si="36"/>
        <v>226963.28</v>
      </c>
      <c r="I1005" s="340">
        <v>181</v>
      </c>
      <c r="J1005" s="712">
        <f t="shared" si="37"/>
        <v>232</v>
      </c>
      <c r="K1005" s="685" t="str">
        <f>UPPER((TEXT(Tabla5[[#This Row],[FECHA]],"MMM")))</f>
        <v>MAY</v>
      </c>
      <c r="L1005" s="780">
        <f>YEAR(Tabla5[[#This Row],[FECHA]])</f>
        <v>2025</v>
      </c>
      <c r="M1005" s="749">
        <v>443</v>
      </c>
      <c r="N1005" s="441" t="s">
        <v>679</v>
      </c>
      <c r="O1005" s="441" t="s">
        <v>712</v>
      </c>
      <c r="P1005" s="441" t="s">
        <v>110</v>
      </c>
    </row>
    <row r="1006" spans="1:16" ht="13.8">
      <c r="A1006" s="531">
        <v>45799</v>
      </c>
      <c r="B1006" s="340" t="s">
        <v>295</v>
      </c>
      <c r="C1006" s="340" t="s">
        <v>258</v>
      </c>
      <c r="D1006" s="340" t="s">
        <v>695</v>
      </c>
      <c r="E1006" s="340">
        <v>76</v>
      </c>
      <c r="F1006" s="340">
        <v>8</v>
      </c>
      <c r="G1006" s="529">
        <v>978.29</v>
      </c>
      <c r="H1006" s="529">
        <f t="shared" si="36"/>
        <v>594800.31999999995</v>
      </c>
      <c r="I1006" s="340">
        <v>742</v>
      </c>
      <c r="J1006" s="712">
        <f t="shared" si="37"/>
        <v>608</v>
      </c>
      <c r="K1006" s="685" t="str">
        <f>UPPER((TEXT(Tabla5[[#This Row],[FECHA]],"MMM")))</f>
        <v>MAY</v>
      </c>
      <c r="L1006" s="780">
        <f>YEAR(Tabla5[[#This Row],[FECHA]])</f>
        <v>2025</v>
      </c>
      <c r="M1006" s="749">
        <v>443</v>
      </c>
      <c r="N1006" s="441" t="s">
        <v>676</v>
      </c>
      <c r="O1006" s="441" t="s">
        <v>712</v>
      </c>
      <c r="P1006" s="441" t="s">
        <v>110</v>
      </c>
    </row>
    <row r="1007" spans="1:16" ht="13.8">
      <c r="A1007" s="531">
        <v>45799</v>
      </c>
      <c r="B1007" s="340" t="s">
        <v>441</v>
      </c>
      <c r="C1007" s="340" t="s">
        <v>262</v>
      </c>
      <c r="D1007" s="340" t="s">
        <v>260</v>
      </c>
      <c r="E1007" s="340">
        <v>58</v>
      </c>
      <c r="F1007" s="340">
        <v>4</v>
      </c>
      <c r="G1007" s="529">
        <v>978.29</v>
      </c>
      <c r="H1007" s="529">
        <f t="shared" si="36"/>
        <v>226963.28</v>
      </c>
      <c r="I1007" s="340">
        <v>156</v>
      </c>
      <c r="J1007" s="712">
        <f t="shared" si="37"/>
        <v>232</v>
      </c>
      <c r="K1007" s="685" t="str">
        <f>UPPER((TEXT(Tabla5[[#This Row],[FECHA]],"MMM")))</f>
        <v>MAY</v>
      </c>
      <c r="L1007" s="780">
        <f>YEAR(Tabla5[[#This Row],[FECHA]])</f>
        <v>2025</v>
      </c>
      <c r="M1007" s="749">
        <v>443</v>
      </c>
      <c r="N1007" s="441" t="s">
        <v>680</v>
      </c>
      <c r="O1007" s="441" t="s">
        <v>712</v>
      </c>
      <c r="P1007" s="441" t="s">
        <v>110</v>
      </c>
    </row>
    <row r="1008" spans="1:16" ht="13.8">
      <c r="A1008" s="531">
        <v>45800</v>
      </c>
      <c r="B1008" s="340" t="s">
        <v>272</v>
      </c>
      <c r="C1008" s="340" t="s">
        <v>278</v>
      </c>
      <c r="D1008" s="340" t="s">
        <v>260</v>
      </c>
      <c r="E1008" s="340">
        <v>58</v>
      </c>
      <c r="F1008" s="340">
        <v>4</v>
      </c>
      <c r="G1008" s="529">
        <v>978.29</v>
      </c>
      <c r="H1008" s="529">
        <f t="shared" si="36"/>
        <v>226963.28</v>
      </c>
      <c r="I1008" s="340">
        <v>132</v>
      </c>
      <c r="J1008" s="712">
        <f t="shared" si="37"/>
        <v>232</v>
      </c>
      <c r="K1008" s="685" t="str">
        <f>UPPER((TEXT(Tabla5[[#This Row],[FECHA]],"MMM")))</f>
        <v>MAY</v>
      </c>
      <c r="L1008" s="780">
        <f>YEAR(Tabla5[[#This Row],[FECHA]])</f>
        <v>2025</v>
      </c>
      <c r="M1008" s="749">
        <v>443</v>
      </c>
      <c r="N1008" s="441" t="s">
        <v>679</v>
      </c>
      <c r="O1008" s="441" t="s">
        <v>712</v>
      </c>
      <c r="P1008" s="441" t="s">
        <v>110</v>
      </c>
    </row>
    <row r="1009" spans="1:16" ht="13.8">
      <c r="A1009" s="531">
        <v>45800</v>
      </c>
      <c r="B1009" s="340" t="s">
        <v>295</v>
      </c>
      <c r="C1009" s="340" t="s">
        <v>258</v>
      </c>
      <c r="D1009" s="340" t="s">
        <v>695</v>
      </c>
      <c r="E1009" s="340">
        <v>76</v>
      </c>
      <c r="F1009" s="340">
        <v>8</v>
      </c>
      <c r="G1009" s="529">
        <v>978.29</v>
      </c>
      <c r="H1009" s="529">
        <f t="shared" si="36"/>
        <v>594800.31999999995</v>
      </c>
      <c r="I1009" s="340">
        <v>1067</v>
      </c>
      <c r="J1009" s="712">
        <f t="shared" si="37"/>
        <v>608</v>
      </c>
      <c r="K1009" s="685" t="str">
        <f>UPPER((TEXT(Tabla5[[#This Row],[FECHA]],"MMM")))</f>
        <v>MAY</v>
      </c>
      <c r="L1009" s="780">
        <f>YEAR(Tabla5[[#This Row],[FECHA]])</f>
        <v>2025</v>
      </c>
      <c r="M1009" s="749">
        <v>443</v>
      </c>
      <c r="N1009" s="441" t="s">
        <v>676</v>
      </c>
      <c r="O1009" s="441" t="s">
        <v>712</v>
      </c>
      <c r="P1009" s="441" t="s">
        <v>110</v>
      </c>
    </row>
    <row r="1010" spans="1:16" ht="13.8">
      <c r="A1010" s="531">
        <v>45800</v>
      </c>
      <c r="B1010" s="340" t="s">
        <v>403</v>
      </c>
      <c r="C1010" s="340" t="s">
        <v>404</v>
      </c>
      <c r="D1010" s="340" t="s">
        <v>260</v>
      </c>
      <c r="E1010" s="340">
        <v>58</v>
      </c>
      <c r="F1010" s="340">
        <v>4</v>
      </c>
      <c r="G1010" s="529">
        <v>978.29</v>
      </c>
      <c r="H1010" s="529">
        <f t="shared" si="36"/>
        <v>226963.28</v>
      </c>
      <c r="I1010" s="340">
        <v>566</v>
      </c>
      <c r="J1010" s="712">
        <f t="shared" si="37"/>
        <v>232</v>
      </c>
      <c r="K1010" s="685" t="str">
        <f>UPPER((TEXT(Tabla5[[#This Row],[FECHA]],"MMM")))</f>
        <v>MAY</v>
      </c>
      <c r="L1010" s="780">
        <f>YEAR(Tabla5[[#This Row],[FECHA]])</f>
        <v>2025</v>
      </c>
      <c r="M1010" s="749">
        <v>443</v>
      </c>
      <c r="N1010" s="441" t="s">
        <v>680</v>
      </c>
      <c r="O1010" s="441" t="s">
        <v>712</v>
      </c>
      <c r="P1010" s="441" t="s">
        <v>110</v>
      </c>
    </row>
    <row r="1011" spans="1:16" ht="13.8">
      <c r="A1011" s="531">
        <v>45801</v>
      </c>
      <c r="B1011" s="340" t="s">
        <v>261</v>
      </c>
      <c r="C1011" s="340" t="s">
        <v>275</v>
      </c>
      <c r="D1011" s="340" t="s">
        <v>695</v>
      </c>
      <c r="E1011" s="340">
        <v>76</v>
      </c>
      <c r="F1011" s="340">
        <v>3</v>
      </c>
      <c r="G1011" s="529">
        <v>978.29</v>
      </c>
      <c r="H1011" s="529">
        <f t="shared" si="36"/>
        <v>223050.12</v>
      </c>
      <c r="I1011" s="340">
        <v>245</v>
      </c>
      <c r="J1011" s="712">
        <f t="shared" si="37"/>
        <v>228</v>
      </c>
      <c r="K1011" s="685" t="str">
        <f>UPPER((TEXT(Tabla5[[#This Row],[FECHA]],"MMM")))</f>
        <v>MAY</v>
      </c>
      <c r="L1011" s="780">
        <f>YEAR(Tabla5[[#This Row],[FECHA]])</f>
        <v>2025</v>
      </c>
      <c r="M1011" s="749">
        <v>443</v>
      </c>
      <c r="N1011" s="441" t="s">
        <v>676</v>
      </c>
      <c r="O1011" s="441" t="s">
        <v>712</v>
      </c>
      <c r="P1011" s="441" t="s">
        <v>110</v>
      </c>
    </row>
    <row r="1012" spans="1:16" ht="13.8">
      <c r="A1012" s="531">
        <v>45801</v>
      </c>
      <c r="B1012" s="340" t="s">
        <v>271</v>
      </c>
      <c r="C1012" s="340" t="s">
        <v>292</v>
      </c>
      <c r="D1012" s="340" t="s">
        <v>694</v>
      </c>
      <c r="E1012" s="340">
        <v>96</v>
      </c>
      <c r="F1012" s="340">
        <v>17</v>
      </c>
      <c r="G1012" s="529">
        <v>978.29</v>
      </c>
      <c r="H1012" s="529">
        <f t="shared" ref="H1012:H1075" si="38">E1012*F1012*G1012</f>
        <v>1596569.28</v>
      </c>
      <c r="I1012" s="340">
        <v>1542</v>
      </c>
      <c r="J1012" s="712">
        <f t="shared" si="37"/>
        <v>1632</v>
      </c>
      <c r="K1012" s="685" t="str">
        <f>UPPER((TEXT(Tabla5[[#This Row],[FECHA]],"MMM")))</f>
        <v>MAY</v>
      </c>
      <c r="L1012" s="780">
        <f>YEAR(Tabla5[[#This Row],[FECHA]])</f>
        <v>2025</v>
      </c>
      <c r="M1012" s="749">
        <v>443</v>
      </c>
      <c r="N1012" s="441" t="s">
        <v>678</v>
      </c>
      <c r="O1012" s="441" t="s">
        <v>713</v>
      </c>
      <c r="P1012" s="441" t="s">
        <v>110</v>
      </c>
    </row>
    <row r="1013" spans="1:16" ht="13.8">
      <c r="A1013" s="531">
        <v>45802</v>
      </c>
      <c r="B1013" s="340" t="s">
        <v>253</v>
      </c>
      <c r="C1013" s="340" t="s">
        <v>258</v>
      </c>
      <c r="D1013" s="340" t="s">
        <v>694</v>
      </c>
      <c r="E1013" s="340">
        <v>96</v>
      </c>
      <c r="F1013" s="340">
        <v>12</v>
      </c>
      <c r="G1013" s="529">
        <v>978.29</v>
      </c>
      <c r="H1013" s="529">
        <f t="shared" si="38"/>
        <v>1126990.08</v>
      </c>
      <c r="I1013" s="340">
        <v>930</v>
      </c>
      <c r="J1013" s="712">
        <f t="shared" si="37"/>
        <v>1152</v>
      </c>
      <c r="K1013" s="685" t="str">
        <f>UPPER((TEXT(Tabla5[[#This Row],[FECHA]],"MMM")))</f>
        <v>MAY</v>
      </c>
      <c r="L1013" s="780">
        <f>YEAR(Tabla5[[#This Row],[FECHA]])</f>
        <v>2025</v>
      </c>
      <c r="M1013" s="749">
        <v>443</v>
      </c>
      <c r="N1013" s="441" t="s">
        <v>678</v>
      </c>
      <c r="O1013" s="441" t="s">
        <v>713</v>
      </c>
      <c r="P1013" s="441" t="s">
        <v>110</v>
      </c>
    </row>
    <row r="1014" spans="1:16" ht="13.8">
      <c r="A1014" s="531">
        <v>45803</v>
      </c>
      <c r="B1014" s="340" t="s">
        <v>828</v>
      </c>
      <c r="C1014" s="340" t="s">
        <v>829</v>
      </c>
      <c r="D1014" s="340" t="s">
        <v>695</v>
      </c>
      <c r="E1014" s="340">
        <v>76</v>
      </c>
      <c r="F1014" s="340">
        <v>7</v>
      </c>
      <c r="G1014" s="529">
        <v>978.29</v>
      </c>
      <c r="H1014" s="529">
        <f t="shared" si="38"/>
        <v>520450.27999999997</v>
      </c>
      <c r="I1014" s="340">
        <v>693</v>
      </c>
      <c r="J1014" s="932">
        <f t="shared" si="37"/>
        <v>532</v>
      </c>
      <c r="K1014" s="685" t="str">
        <f>UPPER((TEXT(Tabla5[[#This Row],[FECHA]],"MMM")))</f>
        <v>MAY</v>
      </c>
      <c r="L1014" s="780">
        <f>YEAR(Tabla5[[#This Row],[FECHA]])</f>
        <v>2025</v>
      </c>
      <c r="M1014" s="749">
        <v>443</v>
      </c>
      <c r="N1014" s="441" t="s">
        <v>676</v>
      </c>
      <c r="O1014" s="441" t="s">
        <v>712</v>
      </c>
      <c r="P1014" s="441" t="s">
        <v>110</v>
      </c>
    </row>
    <row r="1015" spans="1:16" ht="13.8">
      <c r="A1015" s="531">
        <v>45804</v>
      </c>
      <c r="B1015" s="340" t="s">
        <v>828</v>
      </c>
      <c r="C1015" s="340" t="s">
        <v>829</v>
      </c>
      <c r="D1015" s="340" t="s">
        <v>695</v>
      </c>
      <c r="E1015" s="340">
        <v>76</v>
      </c>
      <c r="F1015" s="340">
        <v>7</v>
      </c>
      <c r="G1015" s="529">
        <v>978.29</v>
      </c>
      <c r="H1015" s="529">
        <f t="shared" si="38"/>
        <v>520450.27999999997</v>
      </c>
      <c r="I1015" s="340">
        <v>507</v>
      </c>
      <c r="J1015" s="932">
        <f t="shared" si="37"/>
        <v>532</v>
      </c>
      <c r="K1015" s="685" t="str">
        <f>UPPER((TEXT(Tabla5[[#This Row],[FECHA]],"MMM")))</f>
        <v>MAY</v>
      </c>
      <c r="L1015" s="780">
        <f>YEAR(Tabla5[[#This Row],[FECHA]])</f>
        <v>2025</v>
      </c>
      <c r="M1015" s="749">
        <v>443</v>
      </c>
      <c r="N1015" s="441" t="s">
        <v>676</v>
      </c>
      <c r="O1015" s="441" t="s">
        <v>712</v>
      </c>
      <c r="P1015" s="441" t="s">
        <v>110</v>
      </c>
    </row>
    <row r="1016" spans="1:16" ht="13.8">
      <c r="A1016" s="531">
        <v>45805</v>
      </c>
      <c r="B1016" s="340" t="s">
        <v>828</v>
      </c>
      <c r="C1016" s="340" t="s">
        <v>829</v>
      </c>
      <c r="D1016" s="340" t="s">
        <v>695</v>
      </c>
      <c r="E1016" s="340">
        <v>76</v>
      </c>
      <c r="F1016" s="340">
        <v>6</v>
      </c>
      <c r="G1016" s="529">
        <v>978.29</v>
      </c>
      <c r="H1016" s="529">
        <f t="shared" si="38"/>
        <v>446100.24</v>
      </c>
      <c r="I1016" s="340">
        <v>480</v>
      </c>
      <c r="J1016" s="932">
        <f t="shared" si="37"/>
        <v>456</v>
      </c>
      <c r="K1016" s="685" t="str">
        <f>UPPER((TEXT(Tabla5[[#This Row],[FECHA]],"MMM")))</f>
        <v>MAY</v>
      </c>
      <c r="L1016" s="780">
        <f>YEAR(Tabla5[[#This Row],[FECHA]])</f>
        <v>2025</v>
      </c>
      <c r="M1016" s="749">
        <v>443</v>
      </c>
      <c r="N1016" s="441" t="s">
        <v>676</v>
      </c>
      <c r="O1016" s="441" t="s">
        <v>712</v>
      </c>
      <c r="P1016" s="441" t="s">
        <v>110</v>
      </c>
    </row>
    <row r="1017" spans="1:16" ht="13.8">
      <c r="A1017" s="531">
        <v>45806</v>
      </c>
      <c r="B1017" s="340" t="s">
        <v>828</v>
      </c>
      <c r="C1017" s="340" t="s">
        <v>829</v>
      </c>
      <c r="D1017" s="340" t="s">
        <v>695</v>
      </c>
      <c r="E1017" s="340">
        <v>76</v>
      </c>
      <c r="F1017" s="340">
        <v>6</v>
      </c>
      <c r="G1017" s="529">
        <v>978.29</v>
      </c>
      <c r="H1017" s="529">
        <f t="shared" si="38"/>
        <v>446100.24</v>
      </c>
      <c r="I1017" s="340">
        <v>332</v>
      </c>
      <c r="J1017" s="932">
        <f t="shared" si="37"/>
        <v>456</v>
      </c>
      <c r="K1017" s="685" t="str">
        <f>UPPER((TEXT(Tabla5[[#This Row],[FECHA]],"MMM")))</f>
        <v>MAY</v>
      </c>
      <c r="L1017" s="780">
        <f>YEAR(Tabla5[[#This Row],[FECHA]])</f>
        <v>2025</v>
      </c>
      <c r="M1017" s="749">
        <v>443</v>
      </c>
      <c r="N1017" s="441" t="s">
        <v>676</v>
      </c>
      <c r="O1017" s="441" t="s">
        <v>712</v>
      </c>
      <c r="P1017" s="441" t="s">
        <v>110</v>
      </c>
    </row>
    <row r="1018" spans="1:16" ht="13.8">
      <c r="A1018" s="531">
        <v>45807</v>
      </c>
      <c r="B1018" s="340" t="s">
        <v>828</v>
      </c>
      <c r="C1018" s="340" t="s">
        <v>829</v>
      </c>
      <c r="D1018" s="340" t="s">
        <v>695</v>
      </c>
      <c r="E1018" s="340">
        <v>76</v>
      </c>
      <c r="F1018" s="340">
        <v>6</v>
      </c>
      <c r="G1018" s="529">
        <v>978.29</v>
      </c>
      <c r="H1018" s="529">
        <f t="shared" si="38"/>
        <v>446100.24</v>
      </c>
      <c r="I1018" s="340">
        <v>411</v>
      </c>
      <c r="J1018" s="932">
        <f t="shared" ref="J1018:J1020" si="39">E1018*F1018</f>
        <v>456</v>
      </c>
      <c r="K1018" s="685" t="str">
        <f>UPPER((TEXT(Tabla5[[#This Row],[FECHA]],"MMM")))</f>
        <v>MAY</v>
      </c>
      <c r="L1018" s="780">
        <f>YEAR(Tabla5[[#This Row],[FECHA]])</f>
        <v>2025</v>
      </c>
      <c r="M1018" s="749">
        <v>443</v>
      </c>
      <c r="N1018" s="441" t="s">
        <v>676</v>
      </c>
      <c r="O1018" s="441" t="s">
        <v>712</v>
      </c>
      <c r="P1018" s="441" t="s">
        <v>110</v>
      </c>
    </row>
    <row r="1019" spans="1:16" ht="13.8">
      <c r="A1019" s="531">
        <v>45808</v>
      </c>
      <c r="B1019" s="340" t="s">
        <v>261</v>
      </c>
      <c r="C1019" s="340" t="s">
        <v>275</v>
      </c>
      <c r="D1019" s="340" t="s">
        <v>695</v>
      </c>
      <c r="E1019" s="340">
        <v>76</v>
      </c>
      <c r="F1019" s="340">
        <v>3</v>
      </c>
      <c r="G1019" s="529">
        <v>978.29</v>
      </c>
      <c r="H1019" s="529">
        <f t="shared" si="38"/>
        <v>223050.12</v>
      </c>
      <c r="I1019" s="340">
        <v>46</v>
      </c>
      <c r="J1019" s="932">
        <f t="shared" si="39"/>
        <v>228</v>
      </c>
      <c r="K1019" s="685" t="str">
        <f>UPPER((TEXT(Tabla5[[#This Row],[FECHA]],"MMM")))</f>
        <v>MAY</v>
      </c>
      <c r="L1019" s="780">
        <f>YEAR(Tabla5[[#This Row],[FECHA]])</f>
        <v>2025</v>
      </c>
      <c r="M1019" s="749">
        <v>443</v>
      </c>
      <c r="N1019" s="441" t="s">
        <v>676</v>
      </c>
      <c r="O1019" s="441" t="s">
        <v>712</v>
      </c>
      <c r="P1019" s="441" t="s">
        <v>110</v>
      </c>
    </row>
    <row r="1020" spans="1:16" ht="13.8">
      <c r="A1020" s="531">
        <v>45808</v>
      </c>
      <c r="B1020" s="340" t="s">
        <v>287</v>
      </c>
      <c r="C1020" s="340" t="s">
        <v>830</v>
      </c>
      <c r="D1020" s="340" t="s">
        <v>694</v>
      </c>
      <c r="E1020" s="340">
        <v>96</v>
      </c>
      <c r="F1020" s="340">
        <v>12</v>
      </c>
      <c r="G1020" s="529">
        <v>978.29</v>
      </c>
      <c r="H1020" s="529">
        <f t="shared" si="38"/>
        <v>1126990.08</v>
      </c>
      <c r="I1020" s="340">
        <v>790</v>
      </c>
      <c r="J1020" s="932">
        <f t="shared" si="39"/>
        <v>1152</v>
      </c>
      <c r="K1020" s="685" t="str">
        <f>UPPER((TEXT(Tabla5[[#This Row],[FECHA]],"MMM")))</f>
        <v>MAY</v>
      </c>
      <c r="L1020" s="780">
        <f>YEAR(Tabla5[[#This Row],[FECHA]])</f>
        <v>2025</v>
      </c>
      <c r="M1020" s="749">
        <v>443</v>
      </c>
      <c r="N1020" s="441" t="s">
        <v>678</v>
      </c>
      <c r="O1020" s="441" t="s">
        <v>713</v>
      </c>
      <c r="P1020" s="441" t="s">
        <v>110</v>
      </c>
    </row>
    <row r="1021" spans="1:16" ht="13.8">
      <c r="A1021" s="531">
        <v>45809</v>
      </c>
      <c r="B1021" s="340" t="s">
        <v>289</v>
      </c>
      <c r="C1021" s="340" t="s">
        <v>290</v>
      </c>
      <c r="D1021" s="340" t="s">
        <v>694</v>
      </c>
      <c r="E1021" s="340">
        <v>96</v>
      </c>
      <c r="F1021" s="340">
        <v>15</v>
      </c>
      <c r="G1021" s="529">
        <v>978.29</v>
      </c>
      <c r="H1021" s="551">
        <f t="shared" si="38"/>
        <v>1408737.5999999999</v>
      </c>
      <c r="I1021" s="340">
        <v>1302</v>
      </c>
      <c r="J1021" s="712">
        <f>E1021*F1021</f>
        <v>1440</v>
      </c>
      <c r="K1021" s="685" t="str">
        <f>UPPER((TEXT(Tabla5[[#This Row],[FECHA]],"MMM")))</f>
        <v>JUN</v>
      </c>
      <c r="L1021" s="780">
        <f>YEAR(Tabla5[[#This Row],[FECHA]])</f>
        <v>2025</v>
      </c>
      <c r="M1021" s="749">
        <v>458</v>
      </c>
      <c r="N1021" s="441" t="s">
        <v>678</v>
      </c>
      <c r="O1021" s="441" t="s">
        <v>713</v>
      </c>
      <c r="P1021" s="441" t="s">
        <v>110</v>
      </c>
    </row>
    <row r="1022" spans="1:16" ht="13.8">
      <c r="A1022" s="531">
        <v>45810</v>
      </c>
      <c r="B1022" s="340" t="s">
        <v>253</v>
      </c>
      <c r="C1022" s="340" t="s">
        <v>258</v>
      </c>
      <c r="D1022" s="340" t="s">
        <v>694</v>
      </c>
      <c r="E1022" s="340">
        <v>96</v>
      </c>
      <c r="F1022" s="340">
        <v>9</v>
      </c>
      <c r="G1022" s="529">
        <v>978.29</v>
      </c>
      <c r="H1022" s="551">
        <f t="shared" si="38"/>
        <v>845242.55999999994</v>
      </c>
      <c r="I1022" s="340">
        <v>522</v>
      </c>
      <c r="J1022" s="712">
        <f t="shared" ref="J1022:J1036" si="40">E1022*F1022</f>
        <v>864</v>
      </c>
      <c r="K1022" s="685" t="str">
        <f>UPPER((TEXT(Tabla5[[#This Row],[FECHA]],"MMM")))</f>
        <v>JUN</v>
      </c>
      <c r="L1022" s="780">
        <f>YEAR(Tabla5[[#This Row],[FECHA]])</f>
        <v>2025</v>
      </c>
      <c r="M1022" s="749">
        <v>458</v>
      </c>
      <c r="N1022" s="441" t="s">
        <v>678</v>
      </c>
      <c r="O1022" s="441" t="s">
        <v>713</v>
      </c>
      <c r="P1022" s="441" t="s">
        <v>110</v>
      </c>
    </row>
    <row r="1023" spans="1:16" ht="13.8">
      <c r="A1023" s="531">
        <v>45811</v>
      </c>
      <c r="B1023" s="340" t="s">
        <v>261</v>
      </c>
      <c r="C1023" s="340" t="s">
        <v>275</v>
      </c>
      <c r="D1023" s="340" t="s">
        <v>695</v>
      </c>
      <c r="E1023" s="340">
        <v>76</v>
      </c>
      <c r="F1023" s="340">
        <v>3</v>
      </c>
      <c r="G1023" s="529">
        <v>978.29</v>
      </c>
      <c r="H1023" s="551">
        <f t="shared" si="38"/>
        <v>223050.12</v>
      </c>
      <c r="I1023" s="340">
        <v>147</v>
      </c>
      <c r="J1023" s="712">
        <f t="shared" si="40"/>
        <v>228</v>
      </c>
      <c r="K1023" s="685" t="str">
        <f>UPPER((TEXT(Tabla5[[#This Row],[FECHA]],"MMM")))</f>
        <v>JUN</v>
      </c>
      <c r="L1023" s="780">
        <f>YEAR(Tabla5[[#This Row],[FECHA]])</f>
        <v>2025</v>
      </c>
      <c r="M1023" s="749">
        <v>458</v>
      </c>
      <c r="N1023" s="441" t="s">
        <v>676</v>
      </c>
      <c r="O1023" s="441" t="s">
        <v>712</v>
      </c>
      <c r="P1023" s="441" t="s">
        <v>110</v>
      </c>
    </row>
    <row r="1024" spans="1:16" ht="13.8">
      <c r="A1024" s="531">
        <v>45812</v>
      </c>
      <c r="B1024" s="340" t="s">
        <v>261</v>
      </c>
      <c r="C1024" s="340" t="s">
        <v>275</v>
      </c>
      <c r="D1024" s="340" t="s">
        <v>695</v>
      </c>
      <c r="E1024" s="340">
        <v>76</v>
      </c>
      <c r="F1024" s="340">
        <v>3</v>
      </c>
      <c r="G1024" s="529">
        <v>978.29</v>
      </c>
      <c r="H1024" s="551">
        <f t="shared" si="38"/>
        <v>223050.12</v>
      </c>
      <c r="I1024" s="340">
        <v>133</v>
      </c>
      <c r="J1024" s="712">
        <f t="shared" si="40"/>
        <v>228</v>
      </c>
      <c r="K1024" s="685" t="str">
        <f>UPPER((TEXT(Tabla5[[#This Row],[FECHA]],"MMM")))</f>
        <v>JUN</v>
      </c>
      <c r="L1024" s="780">
        <f>YEAR(Tabla5[[#This Row],[FECHA]])</f>
        <v>2025</v>
      </c>
      <c r="M1024" s="749">
        <v>458</v>
      </c>
      <c r="N1024" s="441" t="s">
        <v>676</v>
      </c>
      <c r="O1024" s="441" t="s">
        <v>712</v>
      </c>
      <c r="P1024" s="441" t="s">
        <v>110</v>
      </c>
    </row>
    <row r="1025" spans="1:16" ht="13.8">
      <c r="A1025" s="531">
        <v>45813</v>
      </c>
      <c r="B1025" s="340" t="s">
        <v>261</v>
      </c>
      <c r="C1025" s="340" t="s">
        <v>275</v>
      </c>
      <c r="D1025" s="340" t="s">
        <v>695</v>
      </c>
      <c r="E1025" s="340">
        <v>76</v>
      </c>
      <c r="F1025" s="340">
        <v>3</v>
      </c>
      <c r="G1025" s="529">
        <v>978.29</v>
      </c>
      <c r="H1025" s="551">
        <f t="shared" si="38"/>
        <v>223050.12</v>
      </c>
      <c r="I1025" s="340">
        <v>139</v>
      </c>
      <c r="J1025" s="712">
        <f t="shared" si="40"/>
        <v>228</v>
      </c>
      <c r="K1025" s="685" t="str">
        <f>UPPER((TEXT(Tabla5[[#This Row],[FECHA]],"MMM")))</f>
        <v>JUN</v>
      </c>
      <c r="L1025" s="780">
        <f>YEAR(Tabla5[[#This Row],[FECHA]])</f>
        <v>2025</v>
      </c>
      <c r="M1025" s="749">
        <v>458</v>
      </c>
      <c r="N1025" s="441" t="s">
        <v>676</v>
      </c>
      <c r="O1025" s="441" t="s">
        <v>712</v>
      </c>
      <c r="P1025" s="441" t="s">
        <v>110</v>
      </c>
    </row>
    <row r="1026" spans="1:16" ht="13.8">
      <c r="A1026" s="531">
        <v>45815</v>
      </c>
      <c r="B1026" s="340" t="s">
        <v>253</v>
      </c>
      <c r="C1026" s="340" t="s">
        <v>258</v>
      </c>
      <c r="D1026" s="340" t="s">
        <v>694</v>
      </c>
      <c r="E1026" s="340">
        <v>96</v>
      </c>
      <c r="F1026" s="340">
        <v>12</v>
      </c>
      <c r="G1026" s="529">
        <v>978.29</v>
      </c>
      <c r="H1026" s="551">
        <f t="shared" si="38"/>
        <v>1126990.08</v>
      </c>
      <c r="I1026" s="340">
        <v>740</v>
      </c>
      <c r="J1026" s="712">
        <f t="shared" si="40"/>
        <v>1152</v>
      </c>
      <c r="K1026" s="685" t="str">
        <f>UPPER((TEXT(Tabla5[[#This Row],[FECHA]],"MMM")))</f>
        <v>JUN</v>
      </c>
      <c r="L1026" s="780">
        <f>YEAR(Tabla5[[#This Row],[FECHA]])</f>
        <v>2025</v>
      </c>
      <c r="M1026" s="749">
        <v>458</v>
      </c>
      <c r="N1026" s="441" t="s">
        <v>678</v>
      </c>
      <c r="O1026" s="441" t="s">
        <v>713</v>
      </c>
      <c r="P1026" s="441" t="s">
        <v>110</v>
      </c>
    </row>
    <row r="1027" spans="1:16" ht="13.8">
      <c r="A1027" s="531">
        <v>45816</v>
      </c>
      <c r="B1027" s="340" t="s">
        <v>253</v>
      </c>
      <c r="C1027" s="340" t="s">
        <v>258</v>
      </c>
      <c r="D1027" s="340" t="s">
        <v>694</v>
      </c>
      <c r="E1027" s="340">
        <v>96</v>
      </c>
      <c r="F1027" s="340">
        <v>13</v>
      </c>
      <c r="G1027" s="529">
        <v>978.29</v>
      </c>
      <c r="H1027" s="551">
        <f t="shared" si="38"/>
        <v>1220905.92</v>
      </c>
      <c r="I1027" s="340">
        <v>754</v>
      </c>
      <c r="J1027" s="712">
        <f t="shared" si="40"/>
        <v>1248</v>
      </c>
      <c r="K1027" s="685" t="str">
        <f>UPPER((TEXT(Tabla5[[#This Row],[FECHA]],"MMM")))</f>
        <v>JUN</v>
      </c>
      <c r="L1027" s="780">
        <f>YEAR(Tabla5[[#This Row],[FECHA]])</f>
        <v>2025</v>
      </c>
      <c r="M1027" s="749">
        <v>458</v>
      </c>
      <c r="N1027" s="441" t="s">
        <v>678</v>
      </c>
      <c r="O1027" s="441" t="s">
        <v>713</v>
      </c>
      <c r="P1027" s="441" t="s">
        <v>110</v>
      </c>
    </row>
    <row r="1028" spans="1:16" ht="13.8">
      <c r="A1028" s="531">
        <v>45822</v>
      </c>
      <c r="B1028" s="340" t="s">
        <v>277</v>
      </c>
      <c r="C1028" s="340" t="s">
        <v>839</v>
      </c>
      <c r="D1028" s="340" t="s">
        <v>694</v>
      </c>
      <c r="E1028" s="340">
        <v>96</v>
      </c>
      <c r="F1028" s="340">
        <v>13</v>
      </c>
      <c r="G1028" s="529">
        <v>978.29</v>
      </c>
      <c r="H1028" s="551">
        <f t="shared" si="38"/>
        <v>1220905.92</v>
      </c>
      <c r="I1028" s="340">
        <v>874</v>
      </c>
      <c r="J1028" s="712">
        <f t="shared" si="40"/>
        <v>1248</v>
      </c>
      <c r="K1028" s="685" t="str">
        <f>UPPER((TEXT(Tabla5[[#This Row],[FECHA]],"MMM")))</f>
        <v>JUN</v>
      </c>
      <c r="L1028" s="780">
        <f>YEAR(Tabla5[[#This Row],[FECHA]])</f>
        <v>2025</v>
      </c>
      <c r="M1028" s="749">
        <v>458</v>
      </c>
      <c r="N1028" s="441" t="s">
        <v>678</v>
      </c>
      <c r="O1028" s="441" t="s">
        <v>713</v>
      </c>
      <c r="P1028" s="441" t="s">
        <v>110</v>
      </c>
    </row>
    <row r="1029" spans="1:16" ht="13.8">
      <c r="A1029" s="531">
        <v>45823</v>
      </c>
      <c r="B1029" s="340" t="s">
        <v>277</v>
      </c>
      <c r="C1029" s="340" t="s">
        <v>264</v>
      </c>
      <c r="D1029" s="340" t="s">
        <v>694</v>
      </c>
      <c r="E1029" s="340">
        <v>96</v>
      </c>
      <c r="F1029" s="340">
        <v>16</v>
      </c>
      <c r="G1029" s="529">
        <v>978.29</v>
      </c>
      <c r="H1029" s="551">
        <f t="shared" si="38"/>
        <v>1502653.4399999999</v>
      </c>
      <c r="I1029" s="340">
        <v>1082</v>
      </c>
      <c r="J1029" s="712">
        <f t="shared" si="40"/>
        <v>1536</v>
      </c>
      <c r="K1029" s="685" t="str">
        <f>UPPER((TEXT(Tabla5[[#This Row],[FECHA]],"MMM")))</f>
        <v>JUN</v>
      </c>
      <c r="L1029" s="780">
        <f>YEAR(Tabla5[[#This Row],[FECHA]])</f>
        <v>2025</v>
      </c>
      <c r="M1029" s="749">
        <v>458</v>
      </c>
      <c r="N1029" s="441" t="s">
        <v>678</v>
      </c>
      <c r="O1029" s="441" t="s">
        <v>713</v>
      </c>
      <c r="P1029" s="441" t="s">
        <v>110</v>
      </c>
    </row>
    <row r="1030" spans="1:16" ht="13.8">
      <c r="A1030" s="531">
        <v>45825</v>
      </c>
      <c r="B1030" s="340" t="s">
        <v>277</v>
      </c>
      <c r="C1030" s="340" t="s">
        <v>840</v>
      </c>
      <c r="D1030" s="340" t="s">
        <v>694</v>
      </c>
      <c r="E1030" s="340">
        <v>96</v>
      </c>
      <c r="F1030" s="340">
        <v>5</v>
      </c>
      <c r="G1030" s="529">
        <v>978.29</v>
      </c>
      <c r="H1030" s="551">
        <f t="shared" si="38"/>
        <v>469579.19999999995</v>
      </c>
      <c r="I1030" s="340">
        <v>478</v>
      </c>
      <c r="J1030" s="712">
        <f t="shared" si="40"/>
        <v>480</v>
      </c>
      <c r="K1030" s="685" t="str">
        <f>UPPER((TEXT(Tabla5[[#This Row],[FECHA]],"MMM")))</f>
        <v>JUN</v>
      </c>
      <c r="L1030" s="780">
        <f>YEAR(Tabla5[[#This Row],[FECHA]])</f>
        <v>2025</v>
      </c>
      <c r="M1030" s="749">
        <v>458</v>
      </c>
      <c r="N1030" s="441" t="s">
        <v>678</v>
      </c>
      <c r="O1030" s="441" t="s">
        <v>713</v>
      </c>
      <c r="P1030" s="441" t="s">
        <v>110</v>
      </c>
    </row>
    <row r="1031" spans="1:16" ht="13.8">
      <c r="A1031" s="531">
        <v>45829</v>
      </c>
      <c r="B1031" s="340" t="s">
        <v>277</v>
      </c>
      <c r="C1031" s="340" t="s">
        <v>264</v>
      </c>
      <c r="D1031" s="340" t="s">
        <v>694</v>
      </c>
      <c r="E1031" s="340">
        <v>96</v>
      </c>
      <c r="F1031" s="340">
        <v>17</v>
      </c>
      <c r="G1031" s="529">
        <v>978.29</v>
      </c>
      <c r="H1031" s="551">
        <f t="shared" si="38"/>
        <v>1596569.28</v>
      </c>
      <c r="I1031" s="340">
        <v>1258</v>
      </c>
      <c r="J1031" s="712">
        <f t="shared" si="40"/>
        <v>1632</v>
      </c>
      <c r="K1031" s="685" t="str">
        <f>UPPER((TEXT(Tabla5[[#This Row],[FECHA]],"MMM")))</f>
        <v>JUN</v>
      </c>
      <c r="L1031" s="780">
        <f>YEAR(Tabla5[[#This Row],[FECHA]])</f>
        <v>2025</v>
      </c>
      <c r="M1031" s="749">
        <v>458</v>
      </c>
      <c r="N1031" s="441" t="s">
        <v>678</v>
      </c>
      <c r="O1031" s="441" t="s">
        <v>713</v>
      </c>
      <c r="P1031" s="441" t="s">
        <v>110</v>
      </c>
    </row>
    <row r="1032" spans="1:16" ht="13.8">
      <c r="A1032" s="531">
        <v>45830</v>
      </c>
      <c r="B1032" s="340" t="s">
        <v>277</v>
      </c>
      <c r="C1032" s="340" t="s">
        <v>264</v>
      </c>
      <c r="D1032" s="340" t="s">
        <v>694</v>
      </c>
      <c r="E1032" s="340">
        <v>96</v>
      </c>
      <c r="F1032" s="340">
        <v>18</v>
      </c>
      <c r="G1032" s="529">
        <v>978.29</v>
      </c>
      <c r="H1032" s="551">
        <f t="shared" si="38"/>
        <v>1690485.1199999999</v>
      </c>
      <c r="I1032" s="340">
        <v>1306</v>
      </c>
      <c r="J1032" s="712">
        <f t="shared" si="40"/>
        <v>1728</v>
      </c>
      <c r="K1032" s="685" t="str">
        <f>UPPER((TEXT(Tabla5[[#This Row],[FECHA]],"MMM")))</f>
        <v>JUN</v>
      </c>
      <c r="L1032" s="780">
        <f>YEAR(Tabla5[[#This Row],[FECHA]])</f>
        <v>2025</v>
      </c>
      <c r="M1032" s="749">
        <v>458</v>
      </c>
      <c r="N1032" s="441" t="s">
        <v>678</v>
      </c>
      <c r="O1032" s="441" t="s">
        <v>713</v>
      </c>
      <c r="P1032" s="441" t="s">
        <v>110</v>
      </c>
    </row>
    <row r="1033" spans="1:16" ht="13.8">
      <c r="A1033" s="531">
        <v>45831</v>
      </c>
      <c r="B1033" s="340" t="s">
        <v>277</v>
      </c>
      <c r="C1033" s="340" t="s">
        <v>264</v>
      </c>
      <c r="D1033" s="340" t="s">
        <v>694</v>
      </c>
      <c r="E1033" s="340">
        <v>96</v>
      </c>
      <c r="F1033" s="340">
        <v>16</v>
      </c>
      <c r="G1033" s="529">
        <v>978.29</v>
      </c>
      <c r="H1033" s="551">
        <f t="shared" si="38"/>
        <v>1502653.4399999999</v>
      </c>
      <c r="I1033" s="340">
        <v>1288</v>
      </c>
      <c r="J1033" s="712">
        <f t="shared" si="40"/>
        <v>1536</v>
      </c>
      <c r="K1033" s="685" t="str">
        <f>UPPER((TEXT(Tabla5[[#This Row],[FECHA]],"MMM")))</f>
        <v>JUN</v>
      </c>
      <c r="L1033" s="780">
        <f>YEAR(Tabla5[[#This Row],[FECHA]])</f>
        <v>2025</v>
      </c>
      <c r="M1033" s="749">
        <v>458</v>
      </c>
      <c r="N1033" s="441" t="s">
        <v>678</v>
      </c>
      <c r="O1033" s="441" t="s">
        <v>713</v>
      </c>
      <c r="P1033" s="441" t="s">
        <v>110</v>
      </c>
    </row>
    <row r="1034" spans="1:16" ht="13.8">
      <c r="A1034" s="531">
        <v>45836</v>
      </c>
      <c r="B1034" s="340" t="s">
        <v>277</v>
      </c>
      <c r="C1034" s="340" t="s">
        <v>264</v>
      </c>
      <c r="D1034" s="340" t="s">
        <v>694</v>
      </c>
      <c r="E1034" s="340">
        <v>96</v>
      </c>
      <c r="F1034" s="340">
        <v>18</v>
      </c>
      <c r="G1034" s="529">
        <v>978.29</v>
      </c>
      <c r="H1034" s="551">
        <f t="shared" si="38"/>
        <v>1690485.1199999999</v>
      </c>
      <c r="I1034" s="340">
        <v>1432</v>
      </c>
      <c r="J1034" s="712">
        <f t="shared" si="40"/>
        <v>1728</v>
      </c>
      <c r="K1034" s="685" t="str">
        <f>UPPER((TEXT(Tabla5[[#This Row],[FECHA]],"MMM")))</f>
        <v>JUN</v>
      </c>
      <c r="L1034" s="780">
        <f>YEAR(Tabla5[[#This Row],[FECHA]])</f>
        <v>2025</v>
      </c>
      <c r="M1034" s="749">
        <v>458</v>
      </c>
      <c r="N1034" s="441" t="s">
        <v>678</v>
      </c>
      <c r="O1034" s="441" t="s">
        <v>713</v>
      </c>
      <c r="P1034" s="441" t="s">
        <v>110</v>
      </c>
    </row>
    <row r="1035" spans="1:16" ht="13.8">
      <c r="A1035" s="531">
        <v>45837</v>
      </c>
      <c r="B1035" s="340" t="s">
        <v>277</v>
      </c>
      <c r="C1035" s="340" t="s">
        <v>264</v>
      </c>
      <c r="D1035" s="340" t="s">
        <v>694</v>
      </c>
      <c r="E1035" s="340">
        <v>96</v>
      </c>
      <c r="F1035" s="340">
        <v>18</v>
      </c>
      <c r="G1035" s="529">
        <v>978.29</v>
      </c>
      <c r="H1035" s="551">
        <f t="shared" si="38"/>
        <v>1690485.1199999999</v>
      </c>
      <c r="I1035" s="340">
        <v>1500</v>
      </c>
      <c r="J1035" s="712">
        <f t="shared" si="40"/>
        <v>1728</v>
      </c>
      <c r="K1035" s="685" t="str">
        <f>UPPER((TEXT(Tabla5[[#This Row],[FECHA]],"MMM")))</f>
        <v>JUN</v>
      </c>
      <c r="L1035" s="780">
        <f>YEAR(Tabla5[[#This Row],[FECHA]])</f>
        <v>2025</v>
      </c>
      <c r="M1035" s="749">
        <v>458</v>
      </c>
      <c r="N1035" s="441" t="s">
        <v>678</v>
      </c>
      <c r="O1035" s="441" t="s">
        <v>713</v>
      </c>
      <c r="P1035" s="441" t="s">
        <v>110</v>
      </c>
    </row>
    <row r="1036" spans="1:16" ht="13.8">
      <c r="A1036" s="531">
        <v>45838</v>
      </c>
      <c r="B1036" s="340" t="s">
        <v>277</v>
      </c>
      <c r="C1036" s="340" t="s">
        <v>264</v>
      </c>
      <c r="D1036" s="340" t="s">
        <v>694</v>
      </c>
      <c r="E1036" s="340">
        <v>96</v>
      </c>
      <c r="F1036" s="340">
        <v>18</v>
      </c>
      <c r="G1036" s="529">
        <v>978.29</v>
      </c>
      <c r="H1036" s="551">
        <f t="shared" si="38"/>
        <v>1690485.1199999999</v>
      </c>
      <c r="I1036" s="340">
        <v>1476</v>
      </c>
      <c r="J1036" s="712">
        <f t="shared" si="40"/>
        <v>1728</v>
      </c>
      <c r="K1036" s="685" t="str">
        <f>UPPER((TEXT(Tabla5[[#This Row],[FECHA]],"MMM")))</f>
        <v>JUN</v>
      </c>
      <c r="L1036" s="780">
        <f>YEAR(Tabla5[[#This Row],[FECHA]])</f>
        <v>2025</v>
      </c>
      <c r="M1036" s="749">
        <v>458</v>
      </c>
      <c r="N1036" s="441" t="s">
        <v>678</v>
      </c>
      <c r="O1036" s="441" t="s">
        <v>713</v>
      </c>
      <c r="P1036" s="441" t="s">
        <v>110</v>
      </c>
    </row>
    <row r="1037" spans="1:16" ht="13.8" customHeight="1">
      <c r="A1037" s="531">
        <v>45843</v>
      </c>
      <c r="B1037" s="340" t="s">
        <v>277</v>
      </c>
      <c r="C1037" s="340" t="s">
        <v>264</v>
      </c>
      <c r="D1037" s="340" t="s">
        <v>694</v>
      </c>
      <c r="E1037" s="340">
        <v>96</v>
      </c>
      <c r="F1037" s="340">
        <v>17</v>
      </c>
      <c r="G1037" s="529">
        <v>978.29</v>
      </c>
      <c r="H1037" s="529">
        <f t="shared" si="38"/>
        <v>1596569.28</v>
      </c>
      <c r="I1037" s="340">
        <v>1384</v>
      </c>
      <c r="J1037" s="712">
        <f>E1037*F1037</f>
        <v>1632</v>
      </c>
      <c r="K1037" s="685" t="str">
        <f>UPPER((TEXT(Tabla5[[#This Row],[FECHA]],"MMM")))</f>
        <v>JUL</v>
      </c>
      <c r="L1037" s="780">
        <f>YEAR(Tabla5[[#This Row],[FECHA]])</f>
        <v>2025</v>
      </c>
      <c r="M1037" s="749">
        <v>474</v>
      </c>
      <c r="N1037" s="441" t="s">
        <v>678</v>
      </c>
      <c r="O1037" s="441" t="s">
        <v>713</v>
      </c>
      <c r="P1037" s="441" t="s">
        <v>110</v>
      </c>
    </row>
    <row r="1038" spans="1:16" ht="13.8">
      <c r="A1038" s="531">
        <v>45844</v>
      </c>
      <c r="B1038" s="340" t="s">
        <v>277</v>
      </c>
      <c r="C1038" s="340" t="s">
        <v>264</v>
      </c>
      <c r="D1038" s="340" t="s">
        <v>694</v>
      </c>
      <c r="E1038" s="340">
        <v>96</v>
      </c>
      <c r="F1038" s="340">
        <v>18</v>
      </c>
      <c r="G1038" s="529">
        <v>978.29</v>
      </c>
      <c r="H1038" s="529">
        <f t="shared" si="38"/>
        <v>1690485.1199999999</v>
      </c>
      <c r="I1038" s="340">
        <v>1498</v>
      </c>
      <c r="J1038" s="712">
        <f t="shared" ref="J1038:J1071" si="41">E1038*F1038</f>
        <v>1728</v>
      </c>
      <c r="K1038" s="685" t="str">
        <f>UPPER((TEXT(Tabla5[[#This Row],[FECHA]],"MMM")))</f>
        <v>JUL</v>
      </c>
      <c r="L1038" s="780">
        <f>YEAR(Tabla5[[#This Row],[FECHA]])</f>
        <v>2025</v>
      </c>
      <c r="M1038" s="749">
        <v>474</v>
      </c>
      <c r="N1038" s="441" t="s">
        <v>678</v>
      </c>
      <c r="O1038" s="441" t="s">
        <v>713</v>
      </c>
      <c r="P1038" s="441" t="s">
        <v>110</v>
      </c>
    </row>
    <row r="1039" spans="1:16" ht="13.8">
      <c r="A1039" s="531">
        <v>45850</v>
      </c>
      <c r="B1039" s="340" t="s">
        <v>277</v>
      </c>
      <c r="C1039" s="340" t="s">
        <v>264</v>
      </c>
      <c r="D1039" s="340" t="s">
        <v>694</v>
      </c>
      <c r="E1039" s="340">
        <v>96</v>
      </c>
      <c r="F1039" s="340">
        <v>16</v>
      </c>
      <c r="G1039" s="529">
        <v>978.29</v>
      </c>
      <c r="H1039" s="529">
        <f t="shared" si="38"/>
        <v>1502653.4399999999</v>
      </c>
      <c r="I1039" s="340">
        <v>1244</v>
      </c>
      <c r="J1039" s="712">
        <f t="shared" si="41"/>
        <v>1536</v>
      </c>
      <c r="K1039" s="685" t="str">
        <f>UPPER((TEXT(Tabla5[[#This Row],[FECHA]],"MMM")))</f>
        <v>JUL</v>
      </c>
      <c r="L1039" s="780">
        <f>YEAR(Tabla5[[#This Row],[FECHA]])</f>
        <v>2025</v>
      </c>
      <c r="M1039" s="749">
        <v>474</v>
      </c>
      <c r="N1039" s="441" t="s">
        <v>678</v>
      </c>
      <c r="O1039" s="441" t="s">
        <v>713</v>
      </c>
      <c r="P1039" s="441" t="s">
        <v>110</v>
      </c>
    </row>
    <row r="1040" spans="1:16" ht="13.8">
      <c r="A1040" s="531">
        <v>45851</v>
      </c>
      <c r="B1040" s="340" t="s">
        <v>277</v>
      </c>
      <c r="C1040" s="340" t="s">
        <v>264</v>
      </c>
      <c r="D1040" s="340" t="s">
        <v>694</v>
      </c>
      <c r="E1040" s="340">
        <v>96</v>
      </c>
      <c r="F1040" s="340">
        <v>18</v>
      </c>
      <c r="G1040" s="529">
        <v>978.29</v>
      </c>
      <c r="H1040" s="529">
        <f t="shared" si="38"/>
        <v>1690485.1199999999</v>
      </c>
      <c r="I1040" s="340">
        <v>1462</v>
      </c>
      <c r="J1040" s="712">
        <f t="shared" si="41"/>
        <v>1728</v>
      </c>
      <c r="K1040" s="685" t="str">
        <f>UPPER((TEXT(Tabla5[[#This Row],[FECHA]],"MMM")))</f>
        <v>JUL</v>
      </c>
      <c r="L1040" s="780">
        <f>YEAR(Tabla5[[#This Row],[FECHA]])</f>
        <v>2025</v>
      </c>
      <c r="M1040" s="749">
        <v>474</v>
      </c>
      <c r="N1040" s="441" t="s">
        <v>678</v>
      </c>
      <c r="O1040" s="441" t="s">
        <v>713</v>
      </c>
      <c r="P1040" s="441" t="s">
        <v>110</v>
      </c>
    </row>
    <row r="1041" spans="1:16" ht="13.8">
      <c r="A1041" s="531">
        <v>45855</v>
      </c>
      <c r="B1041" s="340" t="s">
        <v>272</v>
      </c>
      <c r="C1041" s="340" t="s">
        <v>273</v>
      </c>
      <c r="D1041" s="340" t="s">
        <v>260</v>
      </c>
      <c r="E1041" s="340">
        <v>58</v>
      </c>
      <c r="F1041" s="340">
        <v>4</v>
      </c>
      <c r="G1041" s="529">
        <v>978.29</v>
      </c>
      <c r="H1041" s="529">
        <f t="shared" si="38"/>
        <v>226963.28</v>
      </c>
      <c r="I1041" s="340">
        <v>123</v>
      </c>
      <c r="J1041" s="712">
        <f t="shared" si="41"/>
        <v>232</v>
      </c>
      <c r="K1041" s="685" t="str">
        <f>UPPER((TEXT(Tabla5[[#This Row],[FECHA]],"MMM")))</f>
        <v>JUL</v>
      </c>
      <c r="L1041" s="780">
        <f>YEAR(Tabla5[[#This Row],[FECHA]])</f>
        <v>2025</v>
      </c>
      <c r="M1041" s="749">
        <v>474</v>
      </c>
      <c r="N1041" s="441" t="s">
        <v>679</v>
      </c>
      <c r="O1041" s="441" t="s">
        <v>712</v>
      </c>
      <c r="P1041" s="441" t="s">
        <v>110</v>
      </c>
    </row>
    <row r="1042" spans="1:16" ht="13.8">
      <c r="A1042" s="531">
        <v>45857</v>
      </c>
      <c r="B1042" s="340" t="s">
        <v>253</v>
      </c>
      <c r="C1042" s="340" t="s">
        <v>258</v>
      </c>
      <c r="D1042" s="340" t="s">
        <v>694</v>
      </c>
      <c r="E1042" s="340">
        <v>96</v>
      </c>
      <c r="F1042" s="340">
        <v>17</v>
      </c>
      <c r="G1042" s="529">
        <v>978.29</v>
      </c>
      <c r="H1042" s="529">
        <f t="shared" si="38"/>
        <v>1596569.28</v>
      </c>
      <c r="I1042" s="340">
        <v>1452</v>
      </c>
      <c r="J1042" s="712">
        <f t="shared" si="41"/>
        <v>1632</v>
      </c>
      <c r="K1042" s="685" t="str">
        <f>UPPER((TEXT(Tabla5[[#This Row],[FECHA]],"MMM")))</f>
        <v>JUL</v>
      </c>
      <c r="L1042" s="780">
        <f>YEAR(Tabla5[[#This Row],[FECHA]])</f>
        <v>2025</v>
      </c>
      <c r="M1042" s="749">
        <v>474</v>
      </c>
      <c r="N1042" s="441" t="s">
        <v>678</v>
      </c>
      <c r="O1042" s="441" t="s">
        <v>713</v>
      </c>
      <c r="P1042" s="441" t="s">
        <v>110</v>
      </c>
    </row>
    <row r="1043" spans="1:16" ht="13.8">
      <c r="A1043" s="531">
        <v>45858</v>
      </c>
      <c r="B1043" s="340" t="s">
        <v>253</v>
      </c>
      <c r="C1043" s="340" t="s">
        <v>258</v>
      </c>
      <c r="D1043" s="340" t="s">
        <v>694</v>
      </c>
      <c r="E1043" s="340">
        <v>96</v>
      </c>
      <c r="F1043" s="340">
        <v>17</v>
      </c>
      <c r="G1043" s="529">
        <v>978.29</v>
      </c>
      <c r="H1043" s="529">
        <f t="shared" si="38"/>
        <v>1596569.28</v>
      </c>
      <c r="I1043" s="340">
        <v>1400</v>
      </c>
      <c r="J1043" s="712">
        <f t="shared" si="41"/>
        <v>1632</v>
      </c>
      <c r="K1043" s="685" t="str">
        <f>UPPER((TEXT(Tabla5[[#This Row],[FECHA]],"MMM")))</f>
        <v>JUL</v>
      </c>
      <c r="L1043" s="780">
        <f>YEAR(Tabla5[[#This Row],[FECHA]])</f>
        <v>2025</v>
      </c>
      <c r="M1043" s="749">
        <v>474</v>
      </c>
      <c r="N1043" s="441" t="s">
        <v>678</v>
      </c>
      <c r="O1043" s="441" t="s">
        <v>713</v>
      </c>
      <c r="P1043" s="441" t="s">
        <v>110</v>
      </c>
    </row>
    <row r="1044" spans="1:16" ht="13.8">
      <c r="A1044" s="531">
        <v>45859</v>
      </c>
      <c r="B1044" s="340" t="s">
        <v>272</v>
      </c>
      <c r="C1044" s="340" t="s">
        <v>273</v>
      </c>
      <c r="D1044" s="340" t="s">
        <v>260</v>
      </c>
      <c r="E1044" s="340">
        <v>58</v>
      </c>
      <c r="F1044" s="340">
        <v>4</v>
      </c>
      <c r="G1044" s="529">
        <v>978.29</v>
      </c>
      <c r="H1044" s="529">
        <f t="shared" si="38"/>
        <v>226963.28</v>
      </c>
      <c r="I1044" s="340">
        <v>174</v>
      </c>
      <c r="J1044" s="712">
        <f t="shared" si="41"/>
        <v>232</v>
      </c>
      <c r="K1044" s="685" t="str">
        <f>UPPER((TEXT(Tabla5[[#This Row],[FECHA]],"MMM")))</f>
        <v>JUL</v>
      </c>
      <c r="L1044" s="780">
        <f>YEAR(Tabla5[[#This Row],[FECHA]])</f>
        <v>2025</v>
      </c>
      <c r="M1044" s="749">
        <v>474</v>
      </c>
      <c r="N1044" s="441" t="s">
        <v>679</v>
      </c>
      <c r="O1044" s="441" t="s">
        <v>712</v>
      </c>
      <c r="P1044" s="441" t="s">
        <v>110</v>
      </c>
    </row>
    <row r="1045" spans="1:16" ht="13.8">
      <c r="A1045" s="531">
        <v>45859</v>
      </c>
      <c r="B1045" s="340" t="s">
        <v>263</v>
      </c>
      <c r="C1045" s="340" t="s">
        <v>264</v>
      </c>
      <c r="D1045" s="340" t="s">
        <v>897</v>
      </c>
      <c r="E1045" s="340">
        <v>76</v>
      </c>
      <c r="F1045" s="340">
        <v>9</v>
      </c>
      <c r="G1045" s="529">
        <v>978.29</v>
      </c>
      <c r="H1045" s="529">
        <f t="shared" si="38"/>
        <v>669150.36</v>
      </c>
      <c r="I1045" s="340">
        <v>1214</v>
      </c>
      <c r="J1045" s="712">
        <f t="shared" si="41"/>
        <v>684</v>
      </c>
      <c r="K1045" s="685" t="str">
        <f>UPPER((TEXT(Tabla5[[#This Row],[FECHA]],"MMM")))</f>
        <v>JUL</v>
      </c>
      <c r="L1045" s="780">
        <f>YEAR(Tabla5[[#This Row],[FECHA]])</f>
        <v>2025</v>
      </c>
      <c r="M1045" s="749">
        <v>474</v>
      </c>
      <c r="N1045" s="441" t="s">
        <v>676</v>
      </c>
      <c r="O1045" s="441" t="s">
        <v>712</v>
      </c>
      <c r="P1045" s="441" t="s">
        <v>110</v>
      </c>
    </row>
    <row r="1046" spans="1:16" ht="13.8">
      <c r="A1046" s="531">
        <v>45860</v>
      </c>
      <c r="B1046" s="340" t="s">
        <v>272</v>
      </c>
      <c r="C1046" s="340" t="s">
        <v>278</v>
      </c>
      <c r="D1046" s="340" t="s">
        <v>260</v>
      </c>
      <c r="E1046" s="340">
        <v>58</v>
      </c>
      <c r="F1046" s="340">
        <v>4</v>
      </c>
      <c r="G1046" s="529">
        <v>978.29</v>
      </c>
      <c r="H1046" s="529">
        <f t="shared" si="38"/>
        <v>226963.28</v>
      </c>
      <c r="I1046" s="340">
        <v>188</v>
      </c>
      <c r="J1046" s="712">
        <f t="shared" si="41"/>
        <v>232</v>
      </c>
      <c r="K1046" s="685" t="str">
        <f>UPPER((TEXT(Tabla5[[#This Row],[FECHA]],"MMM")))</f>
        <v>JUL</v>
      </c>
      <c r="L1046" s="780">
        <f>YEAR(Tabla5[[#This Row],[FECHA]])</f>
        <v>2025</v>
      </c>
      <c r="M1046" s="749">
        <v>474</v>
      </c>
      <c r="N1046" s="441" t="s">
        <v>679</v>
      </c>
      <c r="O1046" s="441" t="s">
        <v>712</v>
      </c>
      <c r="P1046" s="441" t="s">
        <v>110</v>
      </c>
    </row>
    <row r="1047" spans="1:16" ht="13.8">
      <c r="A1047" s="531">
        <v>45860</v>
      </c>
      <c r="B1047" s="340" t="s">
        <v>263</v>
      </c>
      <c r="C1047" s="340" t="s">
        <v>264</v>
      </c>
      <c r="D1047" s="340" t="s">
        <v>897</v>
      </c>
      <c r="E1047" s="340">
        <v>76</v>
      </c>
      <c r="F1047" s="340">
        <v>9</v>
      </c>
      <c r="G1047" s="529">
        <v>978.29</v>
      </c>
      <c r="H1047" s="529">
        <f t="shared" si="38"/>
        <v>669150.36</v>
      </c>
      <c r="I1047" s="340">
        <v>1298</v>
      </c>
      <c r="J1047" s="712">
        <f t="shared" si="41"/>
        <v>684</v>
      </c>
      <c r="K1047" s="685" t="str">
        <f>UPPER((TEXT(Tabla5[[#This Row],[FECHA]],"MMM")))</f>
        <v>JUL</v>
      </c>
      <c r="L1047" s="780">
        <f>YEAR(Tabla5[[#This Row],[FECHA]])</f>
        <v>2025</v>
      </c>
      <c r="M1047" s="749">
        <v>474</v>
      </c>
      <c r="N1047" s="441" t="s">
        <v>676</v>
      </c>
      <c r="O1047" s="441" t="s">
        <v>712</v>
      </c>
      <c r="P1047" s="441" t="s">
        <v>110</v>
      </c>
    </row>
    <row r="1048" spans="1:16" ht="13.8">
      <c r="A1048" s="531">
        <v>45860</v>
      </c>
      <c r="B1048" s="340" t="s">
        <v>267</v>
      </c>
      <c r="C1048" s="340" t="s">
        <v>898</v>
      </c>
      <c r="D1048" s="340" t="s">
        <v>260</v>
      </c>
      <c r="E1048" s="340">
        <v>58</v>
      </c>
      <c r="F1048" s="340">
        <v>4</v>
      </c>
      <c r="G1048" s="529">
        <v>978.29</v>
      </c>
      <c r="H1048" s="529">
        <f t="shared" si="38"/>
        <v>226963.28</v>
      </c>
      <c r="I1048" s="340">
        <v>432</v>
      </c>
      <c r="J1048" s="712">
        <f t="shared" si="41"/>
        <v>232</v>
      </c>
      <c r="K1048" s="685" t="str">
        <f>UPPER((TEXT(Tabla5[[#This Row],[FECHA]],"MMM")))</f>
        <v>JUL</v>
      </c>
      <c r="L1048" s="780">
        <f>YEAR(Tabla5[[#This Row],[FECHA]])</f>
        <v>2025</v>
      </c>
      <c r="M1048" s="749">
        <v>474</v>
      </c>
      <c r="N1048" s="441" t="s">
        <v>680</v>
      </c>
      <c r="O1048" s="441" t="s">
        <v>712</v>
      </c>
      <c r="P1048" s="441" t="s">
        <v>110</v>
      </c>
    </row>
    <row r="1049" spans="1:16" ht="13.8">
      <c r="A1049" s="531">
        <v>45861</v>
      </c>
      <c r="B1049" s="340" t="s">
        <v>272</v>
      </c>
      <c r="C1049" s="340" t="s">
        <v>278</v>
      </c>
      <c r="D1049" s="340" t="s">
        <v>260</v>
      </c>
      <c r="E1049" s="340">
        <v>58</v>
      </c>
      <c r="F1049" s="340">
        <v>4</v>
      </c>
      <c r="G1049" s="529">
        <v>978.29</v>
      </c>
      <c r="H1049" s="529">
        <f t="shared" si="38"/>
        <v>226963.28</v>
      </c>
      <c r="I1049" s="340">
        <v>196</v>
      </c>
      <c r="J1049" s="712">
        <f t="shared" si="41"/>
        <v>232</v>
      </c>
      <c r="K1049" s="685" t="str">
        <f>UPPER((TEXT(Tabla5[[#This Row],[FECHA]],"MMM")))</f>
        <v>JUL</v>
      </c>
      <c r="L1049" s="780">
        <f>YEAR(Tabla5[[#This Row],[FECHA]])</f>
        <v>2025</v>
      </c>
      <c r="M1049" s="749">
        <v>474</v>
      </c>
      <c r="N1049" s="441" t="s">
        <v>679</v>
      </c>
      <c r="O1049" s="441" t="s">
        <v>712</v>
      </c>
      <c r="P1049" s="441" t="s">
        <v>110</v>
      </c>
    </row>
    <row r="1050" spans="1:16" ht="13.8">
      <c r="A1050" s="531">
        <v>45861</v>
      </c>
      <c r="B1050" s="340" t="s">
        <v>263</v>
      </c>
      <c r="C1050" s="340" t="s">
        <v>264</v>
      </c>
      <c r="D1050" s="340" t="s">
        <v>897</v>
      </c>
      <c r="E1050" s="340">
        <v>76</v>
      </c>
      <c r="F1050" s="340">
        <v>9</v>
      </c>
      <c r="G1050" s="529">
        <v>978.29</v>
      </c>
      <c r="H1050" s="529">
        <f t="shared" si="38"/>
        <v>669150.36</v>
      </c>
      <c r="I1050" s="340">
        <v>1147</v>
      </c>
      <c r="J1050" s="712">
        <f t="shared" si="41"/>
        <v>684</v>
      </c>
      <c r="K1050" s="685" t="str">
        <f>UPPER((TEXT(Tabla5[[#This Row],[FECHA]],"MMM")))</f>
        <v>JUL</v>
      </c>
      <c r="L1050" s="780">
        <f>YEAR(Tabla5[[#This Row],[FECHA]])</f>
        <v>2025</v>
      </c>
      <c r="M1050" s="749">
        <v>474</v>
      </c>
      <c r="N1050" s="441" t="s">
        <v>676</v>
      </c>
      <c r="O1050" s="441" t="s">
        <v>712</v>
      </c>
      <c r="P1050" s="441" t="s">
        <v>110</v>
      </c>
    </row>
    <row r="1051" spans="1:16" ht="13.8">
      <c r="A1051" s="531">
        <v>45861</v>
      </c>
      <c r="B1051" s="340" t="s">
        <v>267</v>
      </c>
      <c r="C1051" s="340" t="s">
        <v>898</v>
      </c>
      <c r="D1051" s="340" t="s">
        <v>260</v>
      </c>
      <c r="E1051" s="340">
        <v>58</v>
      </c>
      <c r="F1051" s="340">
        <v>5</v>
      </c>
      <c r="G1051" s="529">
        <v>978.29</v>
      </c>
      <c r="H1051" s="529">
        <f t="shared" si="38"/>
        <v>283704.09999999998</v>
      </c>
      <c r="I1051" s="340">
        <v>525</v>
      </c>
      <c r="J1051" s="712">
        <f t="shared" si="41"/>
        <v>290</v>
      </c>
      <c r="K1051" s="685" t="str">
        <f>UPPER((TEXT(Tabla5[[#This Row],[FECHA]],"MMM")))</f>
        <v>JUL</v>
      </c>
      <c r="L1051" s="780">
        <f>YEAR(Tabla5[[#This Row],[FECHA]])</f>
        <v>2025</v>
      </c>
      <c r="M1051" s="749">
        <v>474</v>
      </c>
      <c r="N1051" s="441" t="s">
        <v>680</v>
      </c>
      <c r="O1051" s="441" t="s">
        <v>712</v>
      </c>
      <c r="P1051" s="441" t="s">
        <v>110</v>
      </c>
    </row>
    <row r="1052" spans="1:16" ht="13.8">
      <c r="A1052" s="531">
        <v>45862</v>
      </c>
      <c r="B1052" s="340" t="s">
        <v>272</v>
      </c>
      <c r="C1052" s="340" t="s">
        <v>278</v>
      </c>
      <c r="D1052" s="340" t="s">
        <v>260</v>
      </c>
      <c r="E1052" s="340">
        <v>58</v>
      </c>
      <c r="F1052" s="340">
        <v>4</v>
      </c>
      <c r="G1052" s="529">
        <v>978.29</v>
      </c>
      <c r="H1052" s="529">
        <f t="shared" si="38"/>
        <v>226963.28</v>
      </c>
      <c r="I1052" s="340">
        <v>172</v>
      </c>
      <c r="J1052" s="712">
        <f t="shared" si="41"/>
        <v>232</v>
      </c>
      <c r="K1052" s="685" t="str">
        <f>UPPER((TEXT(Tabla5[[#This Row],[FECHA]],"MMM")))</f>
        <v>JUL</v>
      </c>
      <c r="L1052" s="780">
        <f>YEAR(Tabla5[[#This Row],[FECHA]])</f>
        <v>2025</v>
      </c>
      <c r="M1052" s="749">
        <v>474</v>
      </c>
      <c r="N1052" s="441" t="s">
        <v>679</v>
      </c>
      <c r="O1052" s="441" t="s">
        <v>712</v>
      </c>
      <c r="P1052" s="441" t="s">
        <v>110</v>
      </c>
    </row>
    <row r="1053" spans="1:16" ht="13.8">
      <c r="A1053" s="531">
        <v>45862</v>
      </c>
      <c r="B1053" s="340" t="s">
        <v>263</v>
      </c>
      <c r="C1053" s="340" t="s">
        <v>264</v>
      </c>
      <c r="D1053" s="340" t="s">
        <v>897</v>
      </c>
      <c r="E1053" s="340">
        <v>76</v>
      </c>
      <c r="F1053" s="340">
        <v>9</v>
      </c>
      <c r="G1053" s="529">
        <v>978.29</v>
      </c>
      <c r="H1053" s="529">
        <f t="shared" si="38"/>
        <v>669150.36</v>
      </c>
      <c r="I1053" s="340">
        <v>1030</v>
      </c>
      <c r="J1053" s="712">
        <f t="shared" si="41"/>
        <v>684</v>
      </c>
      <c r="K1053" s="685" t="str">
        <f>UPPER((TEXT(Tabla5[[#This Row],[FECHA]],"MMM")))</f>
        <v>JUL</v>
      </c>
      <c r="L1053" s="780">
        <f>YEAR(Tabla5[[#This Row],[FECHA]])</f>
        <v>2025</v>
      </c>
      <c r="M1053" s="749">
        <v>474</v>
      </c>
      <c r="N1053" s="441" t="s">
        <v>676</v>
      </c>
      <c r="O1053" s="441" t="s">
        <v>712</v>
      </c>
      <c r="P1053" s="441" t="s">
        <v>110</v>
      </c>
    </row>
    <row r="1054" spans="1:16" ht="13.8">
      <c r="A1054" s="531">
        <v>45862</v>
      </c>
      <c r="B1054" s="340" t="s">
        <v>267</v>
      </c>
      <c r="C1054" s="340" t="s">
        <v>898</v>
      </c>
      <c r="D1054" s="340" t="s">
        <v>260</v>
      </c>
      <c r="E1054" s="340">
        <v>58</v>
      </c>
      <c r="F1054" s="340">
        <v>4</v>
      </c>
      <c r="G1054" s="529">
        <v>978.29</v>
      </c>
      <c r="H1054" s="529">
        <f t="shared" si="38"/>
        <v>226963.28</v>
      </c>
      <c r="I1054" s="340">
        <v>559</v>
      </c>
      <c r="J1054" s="712">
        <f t="shared" si="41"/>
        <v>232</v>
      </c>
      <c r="K1054" s="685" t="str">
        <f>UPPER((TEXT(Tabla5[[#This Row],[FECHA]],"MMM")))</f>
        <v>JUL</v>
      </c>
      <c r="L1054" s="780">
        <f>YEAR(Tabla5[[#This Row],[FECHA]])</f>
        <v>2025</v>
      </c>
      <c r="M1054" s="749">
        <v>474</v>
      </c>
      <c r="N1054" s="441" t="s">
        <v>680</v>
      </c>
      <c r="O1054" s="441" t="s">
        <v>712</v>
      </c>
      <c r="P1054" s="441" t="s">
        <v>110</v>
      </c>
    </row>
    <row r="1055" spans="1:16" ht="13.8">
      <c r="A1055" s="531">
        <v>45863</v>
      </c>
      <c r="B1055" s="340" t="s">
        <v>272</v>
      </c>
      <c r="C1055" s="340" t="s">
        <v>278</v>
      </c>
      <c r="D1055" s="340" t="s">
        <v>260</v>
      </c>
      <c r="E1055" s="340">
        <v>58</v>
      </c>
      <c r="F1055" s="340">
        <v>4</v>
      </c>
      <c r="G1055" s="529">
        <v>978.29</v>
      </c>
      <c r="H1055" s="529">
        <f t="shared" si="38"/>
        <v>226963.28</v>
      </c>
      <c r="I1055" s="340">
        <v>154</v>
      </c>
      <c r="J1055" s="712">
        <f t="shared" si="41"/>
        <v>232</v>
      </c>
      <c r="K1055" s="685" t="str">
        <f>UPPER((TEXT(Tabla5[[#This Row],[FECHA]],"MMM")))</f>
        <v>JUL</v>
      </c>
      <c r="L1055" s="780">
        <f>YEAR(Tabla5[[#This Row],[FECHA]])</f>
        <v>2025</v>
      </c>
      <c r="M1055" s="749">
        <v>474</v>
      </c>
      <c r="N1055" s="441" t="s">
        <v>679</v>
      </c>
      <c r="O1055" s="441" t="s">
        <v>712</v>
      </c>
      <c r="P1055" s="441" t="s">
        <v>110</v>
      </c>
    </row>
    <row r="1056" spans="1:16" ht="13.8">
      <c r="A1056" s="531">
        <v>45863</v>
      </c>
      <c r="B1056" s="340" t="s">
        <v>263</v>
      </c>
      <c r="C1056" s="340" t="s">
        <v>264</v>
      </c>
      <c r="D1056" s="340" t="s">
        <v>897</v>
      </c>
      <c r="E1056" s="340">
        <v>76</v>
      </c>
      <c r="F1056" s="340">
        <v>9</v>
      </c>
      <c r="G1056" s="529">
        <v>978.29</v>
      </c>
      <c r="H1056" s="529">
        <f t="shared" si="38"/>
        <v>669150.36</v>
      </c>
      <c r="I1056" s="340">
        <v>1314</v>
      </c>
      <c r="J1056" s="712">
        <f t="shared" si="41"/>
        <v>684</v>
      </c>
      <c r="K1056" s="685" t="str">
        <f>UPPER((TEXT(Tabla5[[#This Row],[FECHA]],"MMM")))</f>
        <v>JUL</v>
      </c>
      <c r="L1056" s="780">
        <f>YEAR(Tabla5[[#This Row],[FECHA]])</f>
        <v>2025</v>
      </c>
      <c r="M1056" s="749">
        <v>474</v>
      </c>
      <c r="N1056" s="441" t="s">
        <v>676</v>
      </c>
      <c r="O1056" s="441" t="s">
        <v>712</v>
      </c>
      <c r="P1056" s="441" t="s">
        <v>110</v>
      </c>
    </row>
    <row r="1057" spans="1:16" ht="13.8">
      <c r="A1057" s="531">
        <v>45863</v>
      </c>
      <c r="B1057" s="340" t="s">
        <v>267</v>
      </c>
      <c r="C1057" s="340" t="s">
        <v>898</v>
      </c>
      <c r="D1057" s="340" t="s">
        <v>260</v>
      </c>
      <c r="E1057" s="340">
        <v>58</v>
      </c>
      <c r="F1057" s="340">
        <v>5</v>
      </c>
      <c r="G1057" s="529">
        <v>978.29</v>
      </c>
      <c r="H1057" s="529">
        <f t="shared" si="38"/>
        <v>283704.09999999998</v>
      </c>
      <c r="I1057" s="340">
        <v>587</v>
      </c>
      <c r="J1057" s="712">
        <f t="shared" si="41"/>
        <v>290</v>
      </c>
      <c r="K1057" s="685" t="str">
        <f>UPPER((TEXT(Tabla5[[#This Row],[FECHA]],"MMM")))</f>
        <v>JUL</v>
      </c>
      <c r="L1057" s="780">
        <f>YEAR(Tabla5[[#This Row],[FECHA]])</f>
        <v>2025</v>
      </c>
      <c r="M1057" s="749">
        <v>474</v>
      </c>
      <c r="N1057" s="441" t="s">
        <v>680</v>
      </c>
      <c r="O1057" s="441" t="s">
        <v>712</v>
      </c>
      <c r="P1057" s="441" t="s">
        <v>110</v>
      </c>
    </row>
    <row r="1058" spans="1:16" ht="13.8">
      <c r="A1058" s="531">
        <v>45864</v>
      </c>
      <c r="B1058" s="340" t="s">
        <v>272</v>
      </c>
      <c r="C1058" s="340" t="s">
        <v>282</v>
      </c>
      <c r="D1058" s="340" t="s">
        <v>897</v>
      </c>
      <c r="E1058" s="340">
        <v>76</v>
      </c>
      <c r="F1058" s="340">
        <v>3</v>
      </c>
      <c r="G1058" s="529">
        <v>978.29</v>
      </c>
      <c r="H1058" s="529">
        <f t="shared" si="38"/>
        <v>223050.12</v>
      </c>
      <c r="I1058" s="340">
        <v>371</v>
      </c>
      <c r="J1058" s="712">
        <f t="shared" si="41"/>
        <v>228</v>
      </c>
      <c r="K1058" s="685" t="str">
        <f>UPPER((TEXT(Tabla5[[#This Row],[FECHA]],"MMM")))</f>
        <v>JUL</v>
      </c>
      <c r="L1058" s="780">
        <f>YEAR(Tabla5[[#This Row],[FECHA]])</f>
        <v>2025</v>
      </c>
      <c r="M1058" s="749">
        <v>474</v>
      </c>
      <c r="N1058" s="441" t="s">
        <v>676</v>
      </c>
      <c r="O1058" s="441" t="s">
        <v>712</v>
      </c>
      <c r="P1058" s="441" t="s">
        <v>110</v>
      </c>
    </row>
    <row r="1059" spans="1:16" ht="13.8">
      <c r="A1059" s="531">
        <v>45864</v>
      </c>
      <c r="B1059" s="340" t="s">
        <v>263</v>
      </c>
      <c r="C1059" s="340" t="s">
        <v>283</v>
      </c>
      <c r="D1059" s="340" t="s">
        <v>694</v>
      </c>
      <c r="E1059" s="340">
        <v>96</v>
      </c>
      <c r="F1059" s="340">
        <v>17</v>
      </c>
      <c r="G1059" s="529">
        <v>978.29</v>
      </c>
      <c r="H1059" s="529">
        <f t="shared" si="38"/>
        <v>1596569.28</v>
      </c>
      <c r="I1059" s="340">
        <v>1270</v>
      </c>
      <c r="J1059" s="712">
        <f t="shared" si="41"/>
        <v>1632</v>
      </c>
      <c r="K1059" s="685" t="str">
        <f>UPPER((TEXT(Tabla5[[#This Row],[FECHA]],"MMM")))</f>
        <v>JUL</v>
      </c>
      <c r="L1059" s="780">
        <f>YEAR(Tabla5[[#This Row],[FECHA]])</f>
        <v>2025</v>
      </c>
      <c r="M1059" s="749">
        <v>474</v>
      </c>
      <c r="N1059" s="441" t="s">
        <v>678</v>
      </c>
      <c r="O1059" s="441" t="s">
        <v>713</v>
      </c>
      <c r="P1059" s="441" t="s">
        <v>110</v>
      </c>
    </row>
    <row r="1060" spans="1:16" ht="13.8">
      <c r="A1060" s="531">
        <v>45865</v>
      </c>
      <c r="B1060" s="340" t="s">
        <v>253</v>
      </c>
      <c r="C1060" s="340" t="s">
        <v>258</v>
      </c>
      <c r="D1060" s="340" t="s">
        <v>694</v>
      </c>
      <c r="E1060" s="340">
        <v>96</v>
      </c>
      <c r="F1060" s="340">
        <v>16</v>
      </c>
      <c r="G1060" s="529">
        <v>978.29</v>
      </c>
      <c r="H1060" s="529">
        <f t="shared" si="38"/>
        <v>1502653.4399999999</v>
      </c>
      <c r="I1060" s="340">
        <v>1200</v>
      </c>
      <c r="J1060" s="712">
        <f t="shared" si="41"/>
        <v>1536</v>
      </c>
      <c r="K1060" s="685" t="str">
        <f>UPPER((TEXT(Tabla5[[#This Row],[FECHA]],"MMM")))</f>
        <v>JUL</v>
      </c>
      <c r="L1060" s="780">
        <f>YEAR(Tabla5[[#This Row],[FECHA]])</f>
        <v>2025</v>
      </c>
      <c r="M1060" s="749">
        <v>474</v>
      </c>
      <c r="N1060" s="441" t="s">
        <v>678</v>
      </c>
      <c r="O1060" s="441" t="s">
        <v>713</v>
      </c>
      <c r="P1060" s="441" t="s">
        <v>110</v>
      </c>
    </row>
    <row r="1061" spans="1:16" ht="13.8">
      <c r="A1061" s="531">
        <v>45866</v>
      </c>
      <c r="B1061" s="340" t="s">
        <v>272</v>
      </c>
      <c r="C1061" s="340" t="s">
        <v>278</v>
      </c>
      <c r="D1061" s="340" t="s">
        <v>260</v>
      </c>
      <c r="E1061" s="340">
        <v>58</v>
      </c>
      <c r="F1061" s="340">
        <v>4</v>
      </c>
      <c r="G1061" s="529">
        <v>978.29</v>
      </c>
      <c r="H1061" s="529">
        <f t="shared" si="38"/>
        <v>226963.28</v>
      </c>
      <c r="I1061" s="340">
        <v>181</v>
      </c>
      <c r="J1061" s="712">
        <f t="shared" si="41"/>
        <v>232</v>
      </c>
      <c r="K1061" s="685" t="str">
        <f>UPPER((TEXT(Tabla5[[#This Row],[FECHA]],"MMM")))</f>
        <v>JUL</v>
      </c>
      <c r="L1061" s="780">
        <f>YEAR(Tabla5[[#This Row],[FECHA]])</f>
        <v>2025</v>
      </c>
      <c r="M1061" s="749">
        <v>474</v>
      </c>
      <c r="N1061" s="441" t="s">
        <v>679</v>
      </c>
      <c r="O1061" s="441" t="s">
        <v>712</v>
      </c>
      <c r="P1061" s="441" t="s">
        <v>110</v>
      </c>
    </row>
    <row r="1062" spans="1:16" ht="13.8">
      <c r="A1062" s="531">
        <v>45866</v>
      </c>
      <c r="B1062" s="340" t="s">
        <v>263</v>
      </c>
      <c r="C1062" s="340" t="s">
        <v>264</v>
      </c>
      <c r="D1062" s="340" t="s">
        <v>897</v>
      </c>
      <c r="E1062" s="340">
        <v>76</v>
      </c>
      <c r="F1062" s="340">
        <v>9</v>
      </c>
      <c r="G1062" s="529">
        <v>978.29</v>
      </c>
      <c r="H1062" s="529">
        <f t="shared" si="38"/>
        <v>669150.36</v>
      </c>
      <c r="I1062" s="340">
        <v>1345</v>
      </c>
      <c r="J1062" s="712">
        <f t="shared" si="41"/>
        <v>684</v>
      </c>
      <c r="K1062" s="685" t="str">
        <f>UPPER((TEXT(Tabla5[[#This Row],[FECHA]],"MMM")))</f>
        <v>JUL</v>
      </c>
      <c r="L1062" s="780">
        <f>YEAR(Tabla5[[#This Row],[FECHA]])</f>
        <v>2025</v>
      </c>
      <c r="M1062" s="749">
        <v>474</v>
      </c>
      <c r="N1062" s="441" t="s">
        <v>676</v>
      </c>
      <c r="O1062" s="441" t="s">
        <v>712</v>
      </c>
      <c r="P1062" s="441" t="s">
        <v>110</v>
      </c>
    </row>
    <row r="1063" spans="1:16" ht="13.8">
      <c r="A1063" s="531">
        <v>45867</v>
      </c>
      <c r="B1063" s="340" t="s">
        <v>272</v>
      </c>
      <c r="C1063" s="340" t="s">
        <v>278</v>
      </c>
      <c r="D1063" s="340" t="s">
        <v>260</v>
      </c>
      <c r="E1063" s="340">
        <v>58</v>
      </c>
      <c r="F1063" s="340">
        <v>4</v>
      </c>
      <c r="G1063" s="529">
        <v>978.29</v>
      </c>
      <c r="H1063" s="529">
        <f t="shared" si="38"/>
        <v>226963.28</v>
      </c>
      <c r="I1063" s="340">
        <v>186</v>
      </c>
      <c r="J1063" s="712">
        <f t="shared" si="41"/>
        <v>232</v>
      </c>
      <c r="K1063" s="685" t="str">
        <f>UPPER((TEXT(Tabla5[[#This Row],[FECHA]],"MMM")))</f>
        <v>JUL</v>
      </c>
      <c r="L1063" s="780">
        <f>YEAR(Tabla5[[#This Row],[FECHA]])</f>
        <v>2025</v>
      </c>
      <c r="M1063" s="749">
        <v>474</v>
      </c>
      <c r="N1063" s="441" t="s">
        <v>679</v>
      </c>
      <c r="O1063" s="441" t="s">
        <v>712</v>
      </c>
      <c r="P1063" s="441" t="s">
        <v>110</v>
      </c>
    </row>
    <row r="1064" spans="1:16" ht="13.8">
      <c r="A1064" s="531">
        <v>45867</v>
      </c>
      <c r="B1064" s="340" t="s">
        <v>263</v>
      </c>
      <c r="C1064" s="340" t="s">
        <v>264</v>
      </c>
      <c r="D1064" s="340" t="s">
        <v>897</v>
      </c>
      <c r="E1064" s="340">
        <v>76</v>
      </c>
      <c r="F1064" s="340">
        <v>9</v>
      </c>
      <c r="G1064" s="529">
        <v>978.29</v>
      </c>
      <c r="H1064" s="529">
        <f t="shared" si="38"/>
        <v>669150.36</v>
      </c>
      <c r="I1064" s="340">
        <v>1331</v>
      </c>
      <c r="J1064" s="712">
        <f t="shared" si="41"/>
        <v>684</v>
      </c>
      <c r="K1064" s="685" t="str">
        <f>UPPER((TEXT(Tabla5[[#This Row],[FECHA]],"MMM")))</f>
        <v>JUL</v>
      </c>
      <c r="L1064" s="780">
        <f>YEAR(Tabla5[[#This Row],[FECHA]])</f>
        <v>2025</v>
      </c>
      <c r="M1064" s="749">
        <v>474</v>
      </c>
      <c r="N1064" s="441" t="s">
        <v>676</v>
      </c>
      <c r="O1064" s="441" t="s">
        <v>712</v>
      </c>
      <c r="P1064" s="441" t="s">
        <v>110</v>
      </c>
    </row>
    <row r="1065" spans="1:16" ht="13.8">
      <c r="A1065" s="531">
        <v>45867</v>
      </c>
      <c r="B1065" s="340" t="s">
        <v>267</v>
      </c>
      <c r="C1065" s="340" t="s">
        <v>898</v>
      </c>
      <c r="D1065" s="340" t="s">
        <v>260</v>
      </c>
      <c r="E1065" s="340">
        <v>58</v>
      </c>
      <c r="F1065" s="340">
        <v>4</v>
      </c>
      <c r="G1065" s="529">
        <v>978.29</v>
      </c>
      <c r="H1065" s="529">
        <f t="shared" si="38"/>
        <v>226963.28</v>
      </c>
      <c r="I1065" s="340">
        <v>542</v>
      </c>
      <c r="J1065" s="712">
        <f t="shared" si="41"/>
        <v>232</v>
      </c>
      <c r="K1065" s="685" t="str">
        <f>UPPER((TEXT(Tabla5[[#This Row],[FECHA]],"MMM")))</f>
        <v>JUL</v>
      </c>
      <c r="L1065" s="780">
        <f>YEAR(Tabla5[[#This Row],[FECHA]])</f>
        <v>2025</v>
      </c>
      <c r="M1065" s="749">
        <v>474</v>
      </c>
      <c r="N1065" s="441" t="s">
        <v>680</v>
      </c>
      <c r="O1065" s="441" t="s">
        <v>712</v>
      </c>
      <c r="P1065" s="441" t="s">
        <v>110</v>
      </c>
    </row>
    <row r="1066" spans="1:16" ht="13.8">
      <c r="A1066" s="531">
        <v>45868</v>
      </c>
      <c r="B1066" s="340" t="s">
        <v>272</v>
      </c>
      <c r="C1066" s="340" t="s">
        <v>278</v>
      </c>
      <c r="D1066" s="340" t="s">
        <v>260</v>
      </c>
      <c r="E1066" s="340">
        <v>58</v>
      </c>
      <c r="F1066" s="340">
        <v>4</v>
      </c>
      <c r="G1066" s="529">
        <v>978.29</v>
      </c>
      <c r="H1066" s="529">
        <f t="shared" si="38"/>
        <v>226963.28</v>
      </c>
      <c r="I1066" s="340">
        <v>204</v>
      </c>
      <c r="J1066" s="712">
        <f t="shared" si="41"/>
        <v>232</v>
      </c>
      <c r="K1066" s="685" t="str">
        <f>UPPER((TEXT(Tabla5[[#This Row],[FECHA]],"MMM")))</f>
        <v>JUL</v>
      </c>
      <c r="L1066" s="780">
        <f>YEAR(Tabla5[[#This Row],[FECHA]])</f>
        <v>2025</v>
      </c>
      <c r="M1066" s="749">
        <v>474</v>
      </c>
      <c r="N1066" s="441" t="s">
        <v>679</v>
      </c>
      <c r="O1066" s="441" t="s">
        <v>712</v>
      </c>
      <c r="P1066" s="441" t="s">
        <v>110</v>
      </c>
    </row>
    <row r="1067" spans="1:16" ht="13.8">
      <c r="A1067" s="531">
        <v>45868</v>
      </c>
      <c r="B1067" s="340" t="s">
        <v>263</v>
      </c>
      <c r="C1067" s="340" t="s">
        <v>264</v>
      </c>
      <c r="D1067" s="340" t="s">
        <v>897</v>
      </c>
      <c r="E1067" s="340">
        <v>76</v>
      </c>
      <c r="F1067" s="340">
        <v>9</v>
      </c>
      <c r="G1067" s="529">
        <v>978.29</v>
      </c>
      <c r="H1067" s="529">
        <f t="shared" si="38"/>
        <v>669150.36</v>
      </c>
      <c r="I1067" s="340">
        <v>1121</v>
      </c>
      <c r="J1067" s="712">
        <f t="shared" si="41"/>
        <v>684</v>
      </c>
      <c r="K1067" s="685" t="str">
        <f>UPPER((TEXT(Tabla5[[#This Row],[FECHA]],"MMM")))</f>
        <v>JUL</v>
      </c>
      <c r="L1067" s="780">
        <f>YEAR(Tabla5[[#This Row],[FECHA]])</f>
        <v>2025</v>
      </c>
      <c r="M1067" s="749">
        <v>474</v>
      </c>
      <c r="N1067" s="441" t="s">
        <v>676</v>
      </c>
      <c r="O1067" s="441" t="s">
        <v>712</v>
      </c>
      <c r="P1067" s="441" t="s">
        <v>110</v>
      </c>
    </row>
    <row r="1068" spans="1:16" ht="13.8">
      <c r="A1068" s="531">
        <v>45868</v>
      </c>
      <c r="B1068" s="340" t="s">
        <v>267</v>
      </c>
      <c r="C1068" s="340" t="s">
        <v>898</v>
      </c>
      <c r="D1068" s="340" t="s">
        <v>260</v>
      </c>
      <c r="E1068" s="340">
        <v>58</v>
      </c>
      <c r="F1068" s="340">
        <v>5</v>
      </c>
      <c r="G1068" s="529">
        <v>978.29</v>
      </c>
      <c r="H1068" s="529">
        <f t="shared" si="38"/>
        <v>283704.09999999998</v>
      </c>
      <c r="I1068" s="340">
        <v>637</v>
      </c>
      <c r="J1068" s="712">
        <f t="shared" si="41"/>
        <v>290</v>
      </c>
      <c r="K1068" s="685" t="str">
        <f>UPPER((TEXT(Tabla5[[#This Row],[FECHA]],"MMM")))</f>
        <v>JUL</v>
      </c>
      <c r="L1068" s="780">
        <f>YEAR(Tabla5[[#This Row],[FECHA]])</f>
        <v>2025</v>
      </c>
      <c r="M1068" s="749">
        <v>474</v>
      </c>
      <c r="N1068" s="441" t="s">
        <v>680</v>
      </c>
      <c r="O1068" s="441" t="s">
        <v>712</v>
      </c>
      <c r="P1068" s="441" t="s">
        <v>110</v>
      </c>
    </row>
    <row r="1069" spans="1:16" ht="13.8">
      <c r="A1069" s="531">
        <v>45869</v>
      </c>
      <c r="B1069" s="340" t="s">
        <v>272</v>
      </c>
      <c r="C1069" s="340" t="s">
        <v>278</v>
      </c>
      <c r="D1069" s="340" t="s">
        <v>260</v>
      </c>
      <c r="E1069" s="340">
        <v>58</v>
      </c>
      <c r="F1069" s="340">
        <v>4</v>
      </c>
      <c r="G1069" s="529">
        <v>978.29</v>
      </c>
      <c r="H1069" s="529">
        <f t="shared" si="38"/>
        <v>226963.28</v>
      </c>
      <c r="I1069" s="340">
        <v>170</v>
      </c>
      <c r="J1069" s="712">
        <f t="shared" si="41"/>
        <v>232</v>
      </c>
      <c r="K1069" s="685" t="str">
        <f>UPPER((TEXT(Tabla5[[#This Row],[FECHA]],"MMM")))</f>
        <v>JUL</v>
      </c>
      <c r="L1069" s="780">
        <f>YEAR(Tabla5[[#This Row],[FECHA]])</f>
        <v>2025</v>
      </c>
      <c r="M1069" s="749">
        <v>474</v>
      </c>
      <c r="N1069" s="441" t="s">
        <v>679</v>
      </c>
      <c r="O1069" s="441" t="s">
        <v>712</v>
      </c>
      <c r="P1069" s="441" t="s">
        <v>110</v>
      </c>
    </row>
    <row r="1070" spans="1:16" ht="13.8">
      <c r="A1070" s="531">
        <v>45869</v>
      </c>
      <c r="B1070" s="340" t="s">
        <v>263</v>
      </c>
      <c r="C1070" s="340" t="s">
        <v>264</v>
      </c>
      <c r="D1070" s="340" t="s">
        <v>897</v>
      </c>
      <c r="E1070" s="340">
        <v>76</v>
      </c>
      <c r="F1070" s="340">
        <v>9</v>
      </c>
      <c r="G1070" s="529">
        <v>978.29</v>
      </c>
      <c r="H1070" s="529">
        <f t="shared" si="38"/>
        <v>669150.36</v>
      </c>
      <c r="I1070" s="340">
        <v>1048</v>
      </c>
      <c r="J1070" s="712">
        <f t="shared" si="41"/>
        <v>684</v>
      </c>
      <c r="K1070" s="685" t="str">
        <f>UPPER((TEXT(Tabla5[[#This Row],[FECHA]],"MMM")))</f>
        <v>JUL</v>
      </c>
      <c r="L1070" s="780">
        <f>YEAR(Tabla5[[#This Row],[FECHA]])</f>
        <v>2025</v>
      </c>
      <c r="M1070" s="749">
        <v>474</v>
      </c>
      <c r="N1070" s="441" t="s">
        <v>676</v>
      </c>
      <c r="O1070" s="441" t="s">
        <v>712</v>
      </c>
      <c r="P1070" s="441" t="s">
        <v>110</v>
      </c>
    </row>
    <row r="1071" spans="1:16" ht="13.8">
      <c r="A1071" s="531">
        <v>45869</v>
      </c>
      <c r="B1071" s="340" t="s">
        <v>267</v>
      </c>
      <c r="C1071" s="340" t="s">
        <v>898</v>
      </c>
      <c r="D1071" s="340" t="s">
        <v>260</v>
      </c>
      <c r="E1071" s="340">
        <v>58</v>
      </c>
      <c r="F1071" s="340">
        <v>4</v>
      </c>
      <c r="G1071" s="529">
        <v>978.29</v>
      </c>
      <c r="H1071" s="529">
        <f t="shared" si="38"/>
        <v>226963.28</v>
      </c>
      <c r="I1071" s="340">
        <v>502</v>
      </c>
      <c r="J1071" s="712">
        <f t="shared" si="41"/>
        <v>232</v>
      </c>
      <c r="K1071" s="685" t="str">
        <f>UPPER((TEXT(Tabla5[[#This Row],[FECHA]],"MMM")))</f>
        <v>JUL</v>
      </c>
      <c r="L1071" s="780">
        <f>YEAR(Tabla5[[#This Row],[FECHA]])</f>
        <v>2025</v>
      </c>
      <c r="M1071" s="749">
        <v>474</v>
      </c>
      <c r="N1071" s="441" t="s">
        <v>680</v>
      </c>
      <c r="O1071" s="441" t="s">
        <v>712</v>
      </c>
      <c r="P1071" s="441" t="s">
        <v>110</v>
      </c>
    </row>
    <row r="1072" spans="1:16" ht="13.8">
      <c r="A1072" s="1021">
        <v>45853</v>
      </c>
      <c r="B1072" s="1022" t="s">
        <v>900</v>
      </c>
      <c r="C1072" s="1022" t="s">
        <v>901</v>
      </c>
      <c r="D1072" s="1022" t="s">
        <v>902</v>
      </c>
      <c r="E1072" s="1022">
        <v>12</v>
      </c>
      <c r="F1072" s="1022">
        <v>4</v>
      </c>
      <c r="G1072" s="1023">
        <v>978.29</v>
      </c>
      <c r="H1072" s="529">
        <f t="shared" si="38"/>
        <v>46957.919999999998</v>
      </c>
      <c r="I1072" s="1022">
        <v>25</v>
      </c>
      <c r="J1072" s="712">
        <f>E1072*F1072</f>
        <v>48</v>
      </c>
      <c r="K1072" s="685" t="str">
        <f>UPPER((TEXT(Tabla5[[#This Row],[FECHA]],"MMM")))</f>
        <v>JUL</v>
      </c>
      <c r="L1072" s="780">
        <f>YEAR(Tabla5[[#This Row],[FECHA]])</f>
        <v>2025</v>
      </c>
      <c r="M1072" s="441">
        <v>475</v>
      </c>
      <c r="N1072" s="441" t="s">
        <v>678</v>
      </c>
      <c r="O1072" s="441" t="s">
        <v>678</v>
      </c>
      <c r="P1072" s="441" t="s">
        <v>909</v>
      </c>
    </row>
    <row r="1073" spans="1:16" ht="13.8">
      <c r="A1073" s="1024">
        <v>45856</v>
      </c>
      <c r="B1073" s="1022" t="s">
        <v>900</v>
      </c>
      <c r="C1073" s="1022"/>
      <c r="D1073" s="1022" t="s">
        <v>903</v>
      </c>
      <c r="E1073" s="1022">
        <v>6</v>
      </c>
      <c r="F1073" s="1022">
        <v>3</v>
      </c>
      <c r="G1073" s="1023">
        <v>978.29</v>
      </c>
      <c r="H1073" s="529">
        <f t="shared" si="38"/>
        <v>17609.22</v>
      </c>
      <c r="I1073" s="1022">
        <v>0</v>
      </c>
      <c r="J1073" s="712">
        <f t="shared" ref="J1073:J1077" si="42">E1073*F1073</f>
        <v>18</v>
      </c>
      <c r="K1073" s="685" t="str">
        <f>UPPER((TEXT(Tabla5[[#This Row],[FECHA]],"MMM")))</f>
        <v>JUL</v>
      </c>
      <c r="L1073" s="780">
        <f>YEAR(Tabla5[[#This Row],[FECHA]])</f>
        <v>2025</v>
      </c>
      <c r="M1073" s="441">
        <v>475</v>
      </c>
      <c r="N1073" s="441" t="s">
        <v>678</v>
      </c>
      <c r="O1073" s="441" t="s">
        <v>678</v>
      </c>
      <c r="P1073" s="441" t="s">
        <v>909</v>
      </c>
    </row>
    <row r="1074" spans="1:16" ht="13.8">
      <c r="A1074" s="757">
        <v>45856</v>
      </c>
      <c r="B1074" s="1022" t="s">
        <v>904</v>
      </c>
      <c r="C1074" s="1022"/>
      <c r="D1074" s="1022" t="s">
        <v>903</v>
      </c>
      <c r="E1074" s="1022">
        <v>6</v>
      </c>
      <c r="F1074" s="1022">
        <v>1</v>
      </c>
      <c r="G1074" s="1023">
        <v>978.29</v>
      </c>
      <c r="H1074" s="529">
        <f t="shared" si="38"/>
        <v>5869.74</v>
      </c>
      <c r="I1074" s="1022">
        <v>0</v>
      </c>
      <c r="J1074" s="712">
        <f t="shared" si="42"/>
        <v>6</v>
      </c>
      <c r="K1074" s="685" t="str">
        <f>UPPER((TEXT(Tabla5[[#This Row],[FECHA]],"MMM")))</f>
        <v>JUL</v>
      </c>
      <c r="L1074" s="780">
        <f>YEAR(Tabla5[[#This Row],[FECHA]])</f>
        <v>2025</v>
      </c>
      <c r="M1074" s="441">
        <v>475</v>
      </c>
      <c r="N1074" s="441" t="s">
        <v>678</v>
      </c>
      <c r="O1074" s="441" t="s">
        <v>678</v>
      </c>
      <c r="P1074" s="441" t="s">
        <v>909</v>
      </c>
    </row>
    <row r="1075" spans="1:16" ht="13.8">
      <c r="A1075" s="1024">
        <v>45856</v>
      </c>
      <c r="B1075" s="1022" t="s">
        <v>905</v>
      </c>
      <c r="C1075" s="1022"/>
      <c r="D1075" s="1022" t="s">
        <v>906</v>
      </c>
      <c r="E1075" s="1022">
        <v>6</v>
      </c>
      <c r="F1075" s="1022">
        <v>4</v>
      </c>
      <c r="G1075" s="1023">
        <v>978.29</v>
      </c>
      <c r="H1075" s="529">
        <f t="shared" si="38"/>
        <v>23478.959999999999</v>
      </c>
      <c r="I1075" s="1022">
        <v>92</v>
      </c>
      <c r="J1075" s="712">
        <f t="shared" si="42"/>
        <v>24</v>
      </c>
      <c r="K1075" s="685" t="str">
        <f>UPPER((TEXT(Tabla5[[#This Row],[FECHA]],"MMM")))</f>
        <v>JUL</v>
      </c>
      <c r="L1075" s="780">
        <f>YEAR(Tabla5[[#This Row],[FECHA]])</f>
        <v>2025</v>
      </c>
      <c r="M1075" s="441">
        <v>475</v>
      </c>
      <c r="N1075" s="441" t="s">
        <v>678</v>
      </c>
      <c r="O1075" s="441" t="s">
        <v>678</v>
      </c>
      <c r="P1075" s="441" t="s">
        <v>909</v>
      </c>
    </row>
    <row r="1076" spans="1:16" ht="13.8">
      <c r="A1076" s="1021">
        <v>45857</v>
      </c>
      <c r="B1076" s="1022" t="s">
        <v>900</v>
      </c>
      <c r="C1076" s="1022" t="s">
        <v>901</v>
      </c>
      <c r="D1076" s="1025" t="s">
        <v>907</v>
      </c>
      <c r="E1076" s="1022">
        <v>40</v>
      </c>
      <c r="F1076" s="1022">
        <v>4</v>
      </c>
      <c r="G1076" s="1023">
        <v>978.29</v>
      </c>
      <c r="H1076" s="529">
        <f t="shared" ref="H1076:H1077" si="43">E1076*F1076*G1076</f>
        <v>156526.39999999999</v>
      </c>
      <c r="I1076" s="1022">
        <v>69</v>
      </c>
      <c r="J1076" s="712">
        <f t="shared" si="42"/>
        <v>160</v>
      </c>
      <c r="K1076" s="685" t="str">
        <f>UPPER((TEXT(Tabla5[[#This Row],[FECHA]],"MMM")))</f>
        <v>JUL</v>
      </c>
      <c r="L1076" s="780">
        <f>YEAR(Tabla5[[#This Row],[FECHA]])</f>
        <v>2025</v>
      </c>
      <c r="M1076" s="441">
        <v>475</v>
      </c>
      <c r="N1076" s="441" t="s">
        <v>678</v>
      </c>
      <c r="O1076" s="441" t="s">
        <v>678</v>
      </c>
      <c r="P1076" s="441" t="s">
        <v>909</v>
      </c>
    </row>
    <row r="1077" spans="1:16" ht="13.8">
      <c r="A1077" s="1021">
        <v>45857</v>
      </c>
      <c r="B1077" s="1022" t="s">
        <v>904</v>
      </c>
      <c r="C1077" s="1022" t="s">
        <v>901</v>
      </c>
      <c r="D1077" s="1025" t="s">
        <v>908</v>
      </c>
      <c r="E1077" s="1022">
        <v>40</v>
      </c>
      <c r="F1077" s="1022">
        <v>4</v>
      </c>
      <c r="G1077" s="1023">
        <v>978.29</v>
      </c>
      <c r="H1077" s="529">
        <f t="shared" si="43"/>
        <v>156526.39999999999</v>
      </c>
      <c r="I1077" s="1022">
        <v>38</v>
      </c>
      <c r="J1077" s="712">
        <f t="shared" si="42"/>
        <v>160</v>
      </c>
      <c r="K1077" s="685" t="str">
        <f>UPPER((TEXT(Tabla5[[#This Row],[FECHA]],"MMM")))</f>
        <v>JUL</v>
      </c>
      <c r="L1077" s="780">
        <f>YEAR(Tabla5[[#This Row],[FECHA]])</f>
        <v>2025</v>
      </c>
      <c r="M1077" s="441">
        <v>475</v>
      </c>
      <c r="N1077" s="441" t="s">
        <v>678</v>
      </c>
      <c r="O1077" s="441" t="s">
        <v>678</v>
      </c>
      <c r="P1077" s="441" t="s">
        <v>909</v>
      </c>
    </row>
    <row r="1078" spans="1:16" ht="13.8">
      <c r="A1078" s="531">
        <v>45870</v>
      </c>
      <c r="B1078" s="340" t="s">
        <v>272</v>
      </c>
      <c r="C1078" s="340" t="s">
        <v>278</v>
      </c>
      <c r="D1078" s="340" t="s">
        <v>260</v>
      </c>
      <c r="E1078" s="340">
        <v>58</v>
      </c>
      <c r="F1078" s="340">
        <v>4</v>
      </c>
      <c r="G1078" s="529">
        <v>978.29</v>
      </c>
      <c r="H1078" s="551">
        <f>E1078*F1078*G1078</f>
        <v>226963.28</v>
      </c>
      <c r="I1078" s="340">
        <v>158</v>
      </c>
      <c r="J1078" s="712">
        <f>E1078*F1078</f>
        <v>232</v>
      </c>
      <c r="K1078" s="685" t="str">
        <f>UPPER((TEXT(Tabla5[[#This Row],[FECHA]],"MMM")))</f>
        <v>AGO</v>
      </c>
      <c r="L1078" s="780">
        <f>YEAR(Tabla5[[#This Row],[FECHA]])</f>
        <v>2025</v>
      </c>
      <c r="M1078" s="441">
        <v>508</v>
      </c>
      <c r="N1078" s="441" t="s">
        <v>679</v>
      </c>
      <c r="O1078" s="441" t="s">
        <v>712</v>
      </c>
      <c r="P1078" s="441" t="s">
        <v>110</v>
      </c>
    </row>
    <row r="1079" spans="1:16" ht="13.8">
      <c r="A1079" s="531">
        <v>45870</v>
      </c>
      <c r="B1079" s="340" t="s">
        <v>277</v>
      </c>
      <c r="C1079" s="340" t="s">
        <v>264</v>
      </c>
      <c r="D1079" s="340" t="s">
        <v>897</v>
      </c>
      <c r="E1079" s="340">
        <v>76</v>
      </c>
      <c r="F1079" s="340">
        <v>9</v>
      </c>
      <c r="G1079" s="529">
        <v>978.29</v>
      </c>
      <c r="H1079" s="551">
        <f t="shared" ref="H1079:H1142" si="44">E1079*F1079*G1079</f>
        <v>669150.36</v>
      </c>
      <c r="I1079" s="340">
        <v>1355</v>
      </c>
      <c r="J1079" s="712">
        <f t="shared" ref="J1079:J1142" si="45">E1079*F1079</f>
        <v>684</v>
      </c>
      <c r="K1079" s="685" t="str">
        <f>UPPER((TEXT(Tabla5[[#This Row],[FECHA]],"MMM")))</f>
        <v>AGO</v>
      </c>
      <c r="L1079" s="780">
        <f>YEAR(Tabla5[[#This Row],[FECHA]])</f>
        <v>2025</v>
      </c>
      <c r="M1079" s="441">
        <v>508</v>
      </c>
      <c r="N1079" s="441" t="s">
        <v>676</v>
      </c>
      <c r="O1079" s="441" t="s">
        <v>712</v>
      </c>
      <c r="P1079" s="441" t="s">
        <v>110</v>
      </c>
    </row>
    <row r="1080" spans="1:16" ht="13.8">
      <c r="A1080" s="531">
        <v>45870</v>
      </c>
      <c r="B1080" s="340" t="s">
        <v>295</v>
      </c>
      <c r="C1080" s="340" t="s">
        <v>268</v>
      </c>
      <c r="D1080" s="340" t="s">
        <v>260</v>
      </c>
      <c r="E1080" s="340">
        <v>58</v>
      </c>
      <c r="F1080" s="340">
        <v>5</v>
      </c>
      <c r="G1080" s="529">
        <v>978.29</v>
      </c>
      <c r="H1080" s="551">
        <f t="shared" si="44"/>
        <v>283704.09999999998</v>
      </c>
      <c r="I1080" s="340">
        <v>631</v>
      </c>
      <c r="J1080" s="712">
        <f t="shared" si="45"/>
        <v>290</v>
      </c>
      <c r="K1080" s="685" t="str">
        <f>UPPER((TEXT(Tabla5[[#This Row],[FECHA]],"MMM")))</f>
        <v>AGO</v>
      </c>
      <c r="L1080" s="780">
        <f>YEAR(Tabla5[[#This Row],[FECHA]])</f>
        <v>2025</v>
      </c>
      <c r="M1080" s="441">
        <v>508</v>
      </c>
      <c r="N1080" s="441" t="s">
        <v>680</v>
      </c>
      <c r="O1080" s="441" t="s">
        <v>712</v>
      </c>
      <c r="P1080" s="441" t="s">
        <v>110</v>
      </c>
    </row>
    <row r="1081" spans="1:16" ht="13.8">
      <c r="A1081" s="531">
        <v>45871</v>
      </c>
      <c r="B1081" s="340" t="s">
        <v>272</v>
      </c>
      <c r="C1081" s="340" t="s">
        <v>282</v>
      </c>
      <c r="D1081" s="340" t="s">
        <v>897</v>
      </c>
      <c r="E1081" s="340">
        <v>76</v>
      </c>
      <c r="F1081" s="340">
        <v>4</v>
      </c>
      <c r="G1081" s="529">
        <v>978.29</v>
      </c>
      <c r="H1081" s="551">
        <f t="shared" si="44"/>
        <v>297400.15999999997</v>
      </c>
      <c r="I1081" s="340">
        <v>529</v>
      </c>
      <c r="J1081" s="712">
        <f t="shared" si="45"/>
        <v>304</v>
      </c>
      <c r="K1081" s="685" t="str">
        <f>UPPER((TEXT(Tabla5[[#This Row],[FECHA]],"MMM")))</f>
        <v>AGO</v>
      </c>
      <c r="L1081" s="780">
        <f>YEAR(Tabla5[[#This Row],[FECHA]])</f>
        <v>2025</v>
      </c>
      <c r="M1081" s="441">
        <v>508</v>
      </c>
      <c r="N1081" s="441" t="s">
        <v>676</v>
      </c>
      <c r="O1081" s="441" t="s">
        <v>712</v>
      </c>
      <c r="P1081" s="441" t="s">
        <v>110</v>
      </c>
    </row>
    <row r="1082" spans="1:16" ht="13.8">
      <c r="A1082" s="531">
        <v>45871</v>
      </c>
      <c r="B1082" s="340" t="s">
        <v>263</v>
      </c>
      <c r="C1082" s="340" t="s">
        <v>938</v>
      </c>
      <c r="D1082" s="340" t="s">
        <v>694</v>
      </c>
      <c r="E1082" s="340">
        <v>96</v>
      </c>
      <c r="F1082" s="340">
        <v>15</v>
      </c>
      <c r="G1082" s="529">
        <v>978.29</v>
      </c>
      <c r="H1082" s="551">
        <f t="shared" si="44"/>
        <v>1408737.5999999999</v>
      </c>
      <c r="I1082" s="340">
        <v>1122</v>
      </c>
      <c r="J1082" s="712">
        <f t="shared" si="45"/>
        <v>1440</v>
      </c>
      <c r="K1082" s="685" t="str">
        <f>UPPER((TEXT(Tabla5[[#This Row],[FECHA]],"MMM")))</f>
        <v>AGO</v>
      </c>
      <c r="L1082" s="780">
        <f>YEAR(Tabla5[[#This Row],[FECHA]])</f>
        <v>2025</v>
      </c>
      <c r="M1082" s="441">
        <v>508</v>
      </c>
      <c r="N1082" s="441" t="s">
        <v>678</v>
      </c>
      <c r="O1082" s="441" t="s">
        <v>713</v>
      </c>
      <c r="P1082" s="441" t="s">
        <v>110</v>
      </c>
    </row>
    <row r="1083" spans="1:16" ht="13.8">
      <c r="A1083" s="778">
        <v>45872</v>
      </c>
      <c r="B1083" s="340" t="s">
        <v>277</v>
      </c>
      <c r="C1083" s="340" t="s">
        <v>264</v>
      </c>
      <c r="D1083" s="340" t="s">
        <v>694</v>
      </c>
      <c r="E1083" s="340">
        <v>96</v>
      </c>
      <c r="F1083" s="340">
        <v>16</v>
      </c>
      <c r="G1083" s="529">
        <v>978.29</v>
      </c>
      <c r="H1083" s="551">
        <f t="shared" si="44"/>
        <v>1502653.4399999999</v>
      </c>
      <c r="I1083" s="340">
        <v>1336</v>
      </c>
      <c r="J1083" s="712">
        <f t="shared" si="45"/>
        <v>1536</v>
      </c>
      <c r="K1083" s="685" t="str">
        <f>UPPER((TEXT(Tabla5[[#This Row],[FECHA]],"MMM")))</f>
        <v>AGO</v>
      </c>
      <c r="L1083" s="780">
        <f>YEAR(Tabla5[[#This Row],[FECHA]])</f>
        <v>2025</v>
      </c>
      <c r="M1083" s="441">
        <v>508</v>
      </c>
      <c r="N1083" s="441" t="s">
        <v>678</v>
      </c>
      <c r="O1083" s="441" t="s">
        <v>713</v>
      </c>
      <c r="P1083" s="441" t="s">
        <v>110</v>
      </c>
    </row>
    <row r="1084" spans="1:16" ht="13.8">
      <c r="A1084" s="778">
        <v>45873</v>
      </c>
      <c r="B1084" s="340" t="s">
        <v>272</v>
      </c>
      <c r="C1084" s="340" t="s">
        <v>273</v>
      </c>
      <c r="D1084" s="340" t="s">
        <v>260</v>
      </c>
      <c r="E1084" s="340">
        <v>58</v>
      </c>
      <c r="F1084" s="340">
        <v>4</v>
      </c>
      <c r="G1084" s="529">
        <v>978.29</v>
      </c>
      <c r="H1084" s="551">
        <f t="shared" si="44"/>
        <v>226963.28</v>
      </c>
      <c r="I1084" s="340">
        <v>192</v>
      </c>
      <c r="J1084" s="712">
        <f t="shared" si="45"/>
        <v>232</v>
      </c>
      <c r="K1084" s="685" t="str">
        <f>UPPER((TEXT(Tabla5[[#This Row],[FECHA]],"MMM")))</f>
        <v>AGO</v>
      </c>
      <c r="L1084" s="780">
        <f>YEAR(Tabla5[[#This Row],[FECHA]])</f>
        <v>2025</v>
      </c>
      <c r="M1084" s="441">
        <v>508</v>
      </c>
      <c r="N1084" s="441" t="s">
        <v>679</v>
      </c>
      <c r="O1084" s="441" t="s">
        <v>712</v>
      </c>
      <c r="P1084" s="441" t="s">
        <v>110</v>
      </c>
    </row>
    <row r="1085" spans="1:16" ht="13.8">
      <c r="A1085" s="778">
        <v>45873</v>
      </c>
      <c r="B1085" s="340" t="s">
        <v>295</v>
      </c>
      <c r="C1085" s="340" t="s">
        <v>258</v>
      </c>
      <c r="D1085" s="340" t="s">
        <v>897</v>
      </c>
      <c r="E1085" s="340">
        <v>76</v>
      </c>
      <c r="F1085" s="340">
        <v>9</v>
      </c>
      <c r="G1085" s="529">
        <v>978.29</v>
      </c>
      <c r="H1085" s="551">
        <f t="shared" si="44"/>
        <v>669150.36</v>
      </c>
      <c r="I1085" s="340">
        <v>1322</v>
      </c>
      <c r="J1085" s="712">
        <f t="shared" si="45"/>
        <v>684</v>
      </c>
      <c r="K1085" s="685" t="str">
        <f>UPPER((TEXT(Tabla5[[#This Row],[FECHA]],"MMM")))</f>
        <v>AGO</v>
      </c>
      <c r="L1085" s="780">
        <f>YEAR(Tabla5[[#This Row],[FECHA]])</f>
        <v>2025</v>
      </c>
      <c r="M1085" s="441">
        <v>508</v>
      </c>
      <c r="N1085" s="441" t="s">
        <v>676</v>
      </c>
      <c r="O1085" s="441" t="s">
        <v>712</v>
      </c>
      <c r="P1085" s="441" t="s">
        <v>110</v>
      </c>
    </row>
    <row r="1086" spans="1:16" ht="13.8">
      <c r="A1086" s="778">
        <v>45874</v>
      </c>
      <c r="B1086" s="340" t="s">
        <v>272</v>
      </c>
      <c r="C1086" s="340" t="s">
        <v>278</v>
      </c>
      <c r="D1086" s="340" t="s">
        <v>260</v>
      </c>
      <c r="E1086" s="340">
        <v>58</v>
      </c>
      <c r="F1086" s="340">
        <v>4</v>
      </c>
      <c r="G1086" s="529">
        <v>978.29</v>
      </c>
      <c r="H1086" s="551">
        <f t="shared" si="44"/>
        <v>226963.28</v>
      </c>
      <c r="I1086" s="340">
        <v>190</v>
      </c>
      <c r="J1086" s="712">
        <f t="shared" si="45"/>
        <v>232</v>
      </c>
      <c r="K1086" s="685" t="str">
        <f>UPPER((TEXT(Tabla5[[#This Row],[FECHA]],"MMM")))</f>
        <v>AGO</v>
      </c>
      <c r="L1086" s="780">
        <f>YEAR(Tabla5[[#This Row],[FECHA]])</f>
        <v>2025</v>
      </c>
      <c r="M1086" s="441">
        <v>508</v>
      </c>
      <c r="N1086" s="441" t="s">
        <v>679</v>
      </c>
      <c r="O1086" s="441" t="s">
        <v>712</v>
      </c>
      <c r="P1086" s="441" t="s">
        <v>110</v>
      </c>
    </row>
    <row r="1087" spans="1:16" ht="13.8">
      <c r="A1087" s="778">
        <v>45874</v>
      </c>
      <c r="B1087" s="340" t="s">
        <v>287</v>
      </c>
      <c r="C1087" s="340" t="s">
        <v>290</v>
      </c>
      <c r="D1087" s="340" t="s">
        <v>897</v>
      </c>
      <c r="E1087" s="340">
        <v>76</v>
      </c>
      <c r="F1087" s="340">
        <v>9</v>
      </c>
      <c r="G1087" s="529">
        <v>978.29</v>
      </c>
      <c r="H1087" s="551">
        <f t="shared" si="44"/>
        <v>669150.36</v>
      </c>
      <c r="I1087" s="340">
        <v>1333</v>
      </c>
      <c r="J1087" s="712">
        <f t="shared" si="45"/>
        <v>684</v>
      </c>
      <c r="K1087" s="685" t="str">
        <f>UPPER((TEXT(Tabla5[[#This Row],[FECHA]],"MMM")))</f>
        <v>AGO</v>
      </c>
      <c r="L1087" s="780">
        <f>YEAR(Tabla5[[#This Row],[FECHA]])</f>
        <v>2025</v>
      </c>
      <c r="M1087" s="441">
        <v>508</v>
      </c>
      <c r="N1087" s="441" t="s">
        <v>676</v>
      </c>
      <c r="O1087" s="441" t="s">
        <v>712</v>
      </c>
      <c r="P1087" s="441" t="s">
        <v>110</v>
      </c>
    </row>
    <row r="1088" spans="1:16" ht="13.8">
      <c r="A1088" s="778">
        <v>45874</v>
      </c>
      <c r="B1088" s="340" t="s">
        <v>253</v>
      </c>
      <c r="C1088" s="340" t="s">
        <v>268</v>
      </c>
      <c r="D1088" s="340" t="s">
        <v>260</v>
      </c>
      <c r="E1088" s="340">
        <v>58</v>
      </c>
      <c r="F1088" s="340">
        <v>4</v>
      </c>
      <c r="G1088" s="529">
        <v>978.29</v>
      </c>
      <c r="H1088" s="551">
        <f t="shared" si="44"/>
        <v>226963.28</v>
      </c>
      <c r="I1088" s="340">
        <v>607</v>
      </c>
      <c r="J1088" s="712">
        <f t="shared" si="45"/>
        <v>232</v>
      </c>
      <c r="K1088" s="685" t="str">
        <f>UPPER((TEXT(Tabla5[[#This Row],[FECHA]],"MMM")))</f>
        <v>AGO</v>
      </c>
      <c r="L1088" s="780">
        <f>YEAR(Tabla5[[#This Row],[FECHA]])</f>
        <v>2025</v>
      </c>
      <c r="M1088" s="441">
        <v>508</v>
      </c>
      <c r="N1088" s="441" t="s">
        <v>680</v>
      </c>
      <c r="O1088" s="441" t="s">
        <v>712</v>
      </c>
      <c r="P1088" s="441" t="s">
        <v>110</v>
      </c>
    </row>
    <row r="1089" spans="1:16" ht="13.8">
      <c r="A1089" s="778">
        <v>45875</v>
      </c>
      <c r="B1089" s="340" t="s">
        <v>272</v>
      </c>
      <c r="C1089" s="340" t="s">
        <v>278</v>
      </c>
      <c r="D1089" s="340" t="s">
        <v>260</v>
      </c>
      <c r="E1089" s="340">
        <v>58</v>
      </c>
      <c r="F1089" s="340">
        <v>4</v>
      </c>
      <c r="G1089" s="529">
        <v>978.29</v>
      </c>
      <c r="H1089" s="551">
        <f t="shared" si="44"/>
        <v>226963.28</v>
      </c>
      <c r="I1089" s="340">
        <v>203</v>
      </c>
      <c r="J1089" s="712">
        <f t="shared" si="45"/>
        <v>232</v>
      </c>
      <c r="K1089" s="685" t="str">
        <f>UPPER((TEXT(Tabla5[[#This Row],[FECHA]],"MMM")))</f>
        <v>AGO</v>
      </c>
      <c r="L1089" s="780">
        <f>YEAR(Tabla5[[#This Row],[FECHA]])</f>
        <v>2025</v>
      </c>
      <c r="M1089" s="441">
        <v>508</v>
      </c>
      <c r="N1089" s="441" t="s">
        <v>679</v>
      </c>
      <c r="O1089" s="441" t="s">
        <v>712</v>
      </c>
      <c r="P1089" s="441" t="s">
        <v>110</v>
      </c>
    </row>
    <row r="1090" spans="1:16" ht="13.8">
      <c r="A1090" s="778">
        <v>45875</v>
      </c>
      <c r="B1090" s="340" t="s">
        <v>287</v>
      </c>
      <c r="C1090" s="340" t="s">
        <v>290</v>
      </c>
      <c r="D1090" s="340" t="s">
        <v>897</v>
      </c>
      <c r="E1090" s="340">
        <v>76</v>
      </c>
      <c r="F1090" s="340">
        <v>9</v>
      </c>
      <c r="G1090" s="529">
        <v>978.29</v>
      </c>
      <c r="H1090" s="551">
        <f t="shared" si="44"/>
        <v>669150.36</v>
      </c>
      <c r="I1090" s="340">
        <v>1106</v>
      </c>
      <c r="J1090" s="712">
        <f t="shared" si="45"/>
        <v>684</v>
      </c>
      <c r="K1090" s="685" t="str">
        <f>UPPER((TEXT(Tabla5[[#This Row],[FECHA]],"MMM")))</f>
        <v>AGO</v>
      </c>
      <c r="L1090" s="780">
        <f>YEAR(Tabla5[[#This Row],[FECHA]])</f>
        <v>2025</v>
      </c>
      <c r="M1090" s="441">
        <v>508</v>
      </c>
      <c r="N1090" s="441" t="s">
        <v>676</v>
      </c>
      <c r="O1090" s="441" t="s">
        <v>712</v>
      </c>
      <c r="P1090" s="441" t="s">
        <v>110</v>
      </c>
    </row>
    <row r="1091" spans="1:16" ht="13.8">
      <c r="A1091" s="778">
        <v>45875</v>
      </c>
      <c r="B1091" s="340" t="s">
        <v>253</v>
      </c>
      <c r="C1091" s="340" t="s">
        <v>268</v>
      </c>
      <c r="D1091" s="340" t="s">
        <v>260</v>
      </c>
      <c r="E1091" s="340">
        <v>58</v>
      </c>
      <c r="F1091" s="340">
        <v>5</v>
      </c>
      <c r="G1091" s="529">
        <v>978.29</v>
      </c>
      <c r="H1091" s="551">
        <f t="shared" si="44"/>
        <v>283704.09999999998</v>
      </c>
      <c r="I1091" s="340">
        <v>569</v>
      </c>
      <c r="J1091" s="712">
        <f t="shared" si="45"/>
        <v>290</v>
      </c>
      <c r="K1091" s="685" t="str">
        <f>UPPER((TEXT(Tabla5[[#This Row],[FECHA]],"MMM")))</f>
        <v>AGO</v>
      </c>
      <c r="L1091" s="780">
        <f>YEAR(Tabla5[[#This Row],[FECHA]])</f>
        <v>2025</v>
      </c>
      <c r="M1091" s="441">
        <v>508</v>
      </c>
      <c r="N1091" s="441" t="s">
        <v>680</v>
      </c>
      <c r="O1091" s="441" t="s">
        <v>712</v>
      </c>
      <c r="P1091" s="441" t="s">
        <v>110</v>
      </c>
    </row>
    <row r="1092" spans="1:16" ht="13.8">
      <c r="A1092" s="778">
        <v>45876</v>
      </c>
      <c r="B1092" s="340" t="s">
        <v>277</v>
      </c>
      <c r="C1092" s="340" t="s">
        <v>264</v>
      </c>
      <c r="D1092" s="340" t="s">
        <v>694</v>
      </c>
      <c r="E1092" s="340">
        <v>96</v>
      </c>
      <c r="F1092" s="340">
        <v>15</v>
      </c>
      <c r="G1092" s="529">
        <v>978.29</v>
      </c>
      <c r="H1092" s="551">
        <f t="shared" si="44"/>
        <v>1408737.5999999999</v>
      </c>
      <c r="I1092" s="340">
        <v>1134</v>
      </c>
      <c r="J1092" s="712">
        <f t="shared" si="45"/>
        <v>1440</v>
      </c>
      <c r="K1092" s="685" t="str">
        <f>UPPER((TEXT(Tabla5[[#This Row],[FECHA]],"MMM")))</f>
        <v>AGO</v>
      </c>
      <c r="L1092" s="780">
        <f>YEAR(Tabla5[[#This Row],[FECHA]])</f>
        <v>2025</v>
      </c>
      <c r="M1092" s="441">
        <v>508</v>
      </c>
      <c r="N1092" s="441" t="s">
        <v>678</v>
      </c>
      <c r="O1092" s="441" t="s">
        <v>713</v>
      </c>
      <c r="P1092" s="441" t="s">
        <v>110</v>
      </c>
    </row>
    <row r="1093" spans="1:16" ht="13.8">
      <c r="A1093" s="778">
        <v>45877</v>
      </c>
      <c r="B1093" s="340" t="s">
        <v>272</v>
      </c>
      <c r="C1093" s="340" t="s">
        <v>278</v>
      </c>
      <c r="D1093" s="340" t="s">
        <v>260</v>
      </c>
      <c r="E1093" s="340">
        <v>58</v>
      </c>
      <c r="F1093" s="340">
        <v>4</v>
      </c>
      <c r="G1093" s="529">
        <v>978.29</v>
      </c>
      <c r="H1093" s="551">
        <f t="shared" si="44"/>
        <v>226963.28</v>
      </c>
      <c r="I1093" s="340">
        <v>167</v>
      </c>
      <c r="J1093" s="712">
        <f t="shared" si="45"/>
        <v>232</v>
      </c>
      <c r="K1093" s="685" t="str">
        <f>UPPER((TEXT(Tabla5[[#This Row],[FECHA]],"MMM")))</f>
        <v>AGO</v>
      </c>
      <c r="L1093" s="780">
        <f>YEAR(Tabla5[[#This Row],[FECHA]])</f>
        <v>2025</v>
      </c>
      <c r="M1093" s="441">
        <v>508</v>
      </c>
      <c r="N1093" s="441" t="s">
        <v>679</v>
      </c>
      <c r="O1093" s="441" t="s">
        <v>712</v>
      </c>
      <c r="P1093" s="441" t="s">
        <v>110</v>
      </c>
    </row>
    <row r="1094" spans="1:16" ht="13.8">
      <c r="A1094" s="778">
        <v>45877</v>
      </c>
      <c r="B1094" s="340" t="s">
        <v>295</v>
      </c>
      <c r="C1094" s="340" t="s">
        <v>268</v>
      </c>
      <c r="D1094" s="340" t="s">
        <v>260</v>
      </c>
      <c r="E1094" s="340">
        <v>58</v>
      </c>
      <c r="F1094" s="340">
        <v>5</v>
      </c>
      <c r="G1094" s="529">
        <v>978.29</v>
      </c>
      <c r="H1094" s="551">
        <f t="shared" si="44"/>
        <v>283704.09999999998</v>
      </c>
      <c r="I1094" s="340">
        <v>526</v>
      </c>
      <c r="J1094" s="712">
        <f t="shared" si="45"/>
        <v>290</v>
      </c>
      <c r="K1094" s="685" t="str">
        <f>UPPER((TEXT(Tabla5[[#This Row],[FECHA]],"MMM")))</f>
        <v>AGO</v>
      </c>
      <c r="L1094" s="780">
        <f>YEAR(Tabla5[[#This Row],[FECHA]])</f>
        <v>2025</v>
      </c>
      <c r="M1094" s="441">
        <v>508</v>
      </c>
      <c r="N1094" s="441" t="s">
        <v>680</v>
      </c>
      <c r="O1094" s="441" t="s">
        <v>712</v>
      </c>
      <c r="P1094" s="441" t="s">
        <v>110</v>
      </c>
    </row>
    <row r="1095" spans="1:16" ht="13.8">
      <c r="A1095" s="778">
        <v>45878</v>
      </c>
      <c r="B1095" s="340" t="s">
        <v>272</v>
      </c>
      <c r="C1095" s="340" t="s">
        <v>282</v>
      </c>
      <c r="D1095" s="340" t="s">
        <v>897</v>
      </c>
      <c r="E1095" s="340">
        <v>76</v>
      </c>
      <c r="F1095" s="340">
        <v>3</v>
      </c>
      <c r="G1095" s="529">
        <v>978.29</v>
      </c>
      <c r="H1095" s="551">
        <f t="shared" si="44"/>
        <v>223050.12</v>
      </c>
      <c r="I1095" s="340">
        <v>333</v>
      </c>
      <c r="J1095" s="712">
        <f t="shared" si="45"/>
        <v>228</v>
      </c>
      <c r="K1095" s="685" t="str">
        <f>UPPER((TEXT(Tabla5[[#This Row],[FECHA]],"MMM")))</f>
        <v>AGO</v>
      </c>
      <c r="L1095" s="780">
        <f>YEAR(Tabla5[[#This Row],[FECHA]])</f>
        <v>2025</v>
      </c>
      <c r="M1095" s="441">
        <v>508</v>
      </c>
      <c r="N1095" s="441" t="s">
        <v>676</v>
      </c>
      <c r="O1095" s="441" t="s">
        <v>712</v>
      </c>
      <c r="P1095" s="441" t="s">
        <v>110</v>
      </c>
    </row>
    <row r="1096" spans="1:16" ht="13.8">
      <c r="A1096" s="778">
        <v>45878</v>
      </c>
      <c r="B1096" s="340" t="s">
        <v>287</v>
      </c>
      <c r="C1096" s="340" t="s">
        <v>939</v>
      </c>
      <c r="D1096" s="340" t="s">
        <v>694</v>
      </c>
      <c r="E1096" s="340">
        <v>96</v>
      </c>
      <c r="F1096" s="340">
        <v>11</v>
      </c>
      <c r="G1096" s="529">
        <v>978.29</v>
      </c>
      <c r="H1096" s="551">
        <f t="shared" si="44"/>
        <v>1033074.24</v>
      </c>
      <c r="I1096" s="340">
        <v>1000</v>
      </c>
      <c r="J1096" s="712">
        <f t="shared" si="45"/>
        <v>1056</v>
      </c>
      <c r="K1096" s="685" t="str">
        <f>UPPER((TEXT(Tabla5[[#This Row],[FECHA]],"MMM")))</f>
        <v>AGO</v>
      </c>
      <c r="L1096" s="780">
        <f>YEAR(Tabla5[[#This Row],[FECHA]])</f>
        <v>2025</v>
      </c>
      <c r="M1096" s="441">
        <v>508</v>
      </c>
      <c r="N1096" s="441" t="s">
        <v>678</v>
      </c>
      <c r="O1096" s="441" t="s">
        <v>713</v>
      </c>
      <c r="P1096" s="441" t="s">
        <v>110</v>
      </c>
    </row>
    <row r="1097" spans="1:16" ht="13.8">
      <c r="A1097" s="778">
        <v>45878</v>
      </c>
      <c r="B1097" s="340" t="s">
        <v>284</v>
      </c>
      <c r="C1097" s="340" t="s">
        <v>283</v>
      </c>
      <c r="D1097" s="340" t="s">
        <v>694</v>
      </c>
      <c r="E1097" s="340">
        <v>96</v>
      </c>
      <c r="F1097" s="340">
        <v>6</v>
      </c>
      <c r="G1097" s="529">
        <v>978.29</v>
      </c>
      <c r="H1097" s="551">
        <f t="shared" si="44"/>
        <v>563495.04</v>
      </c>
      <c r="I1097" s="340">
        <v>490</v>
      </c>
      <c r="J1097" s="712">
        <f t="shared" si="45"/>
        <v>576</v>
      </c>
      <c r="K1097" s="685" t="str">
        <f>UPPER((TEXT(Tabla5[[#This Row],[FECHA]],"MMM")))</f>
        <v>AGO</v>
      </c>
      <c r="L1097" s="780">
        <f>YEAR(Tabla5[[#This Row],[FECHA]])</f>
        <v>2025</v>
      </c>
      <c r="M1097" s="441">
        <v>508</v>
      </c>
      <c r="N1097" s="441" t="s">
        <v>678</v>
      </c>
      <c r="O1097" s="441" t="s">
        <v>713</v>
      </c>
      <c r="P1097" s="441" t="s">
        <v>110</v>
      </c>
    </row>
    <row r="1098" spans="1:16" ht="13.8">
      <c r="A1098" s="778">
        <v>45879</v>
      </c>
      <c r="B1098" s="340" t="s">
        <v>289</v>
      </c>
      <c r="C1098" s="340" t="s">
        <v>290</v>
      </c>
      <c r="D1098" s="340" t="s">
        <v>694</v>
      </c>
      <c r="E1098" s="340">
        <v>96</v>
      </c>
      <c r="F1098" s="340">
        <v>17</v>
      </c>
      <c r="G1098" s="529">
        <v>978.29</v>
      </c>
      <c r="H1098" s="551">
        <f t="shared" si="44"/>
        <v>1596569.28</v>
      </c>
      <c r="I1098" s="340">
        <v>1428</v>
      </c>
      <c r="J1098" s="712">
        <f t="shared" si="45"/>
        <v>1632</v>
      </c>
      <c r="K1098" s="685" t="str">
        <f>UPPER((TEXT(Tabla5[[#This Row],[FECHA]],"MMM")))</f>
        <v>AGO</v>
      </c>
      <c r="L1098" s="780">
        <f>YEAR(Tabla5[[#This Row],[FECHA]])</f>
        <v>2025</v>
      </c>
      <c r="M1098" s="441">
        <v>508</v>
      </c>
      <c r="N1098" s="441" t="s">
        <v>678</v>
      </c>
      <c r="O1098" s="441" t="s">
        <v>713</v>
      </c>
      <c r="P1098" s="441" t="s">
        <v>110</v>
      </c>
    </row>
    <row r="1099" spans="1:16" ht="13.8">
      <c r="A1099" s="778">
        <v>45880</v>
      </c>
      <c r="B1099" s="340" t="s">
        <v>272</v>
      </c>
      <c r="C1099" s="340" t="s">
        <v>273</v>
      </c>
      <c r="D1099" s="340" t="s">
        <v>260</v>
      </c>
      <c r="E1099" s="340">
        <v>58</v>
      </c>
      <c r="F1099" s="340">
        <v>4</v>
      </c>
      <c r="G1099" s="529">
        <v>978.29</v>
      </c>
      <c r="H1099" s="551">
        <f t="shared" si="44"/>
        <v>226963.28</v>
      </c>
      <c r="I1099" s="340">
        <v>190</v>
      </c>
      <c r="J1099" s="712">
        <f t="shared" si="45"/>
        <v>232</v>
      </c>
      <c r="K1099" s="685" t="str">
        <f>UPPER((TEXT(Tabla5[[#This Row],[FECHA]],"MMM")))</f>
        <v>AGO</v>
      </c>
      <c r="L1099" s="780">
        <f>YEAR(Tabla5[[#This Row],[FECHA]])</f>
        <v>2025</v>
      </c>
      <c r="M1099" s="441">
        <v>508</v>
      </c>
      <c r="N1099" s="441" t="s">
        <v>679</v>
      </c>
      <c r="O1099" s="441" t="s">
        <v>712</v>
      </c>
      <c r="P1099" s="441" t="s">
        <v>110</v>
      </c>
    </row>
    <row r="1100" spans="1:16" ht="13.8">
      <c r="A1100" s="778">
        <v>45880</v>
      </c>
      <c r="B1100" s="340" t="s">
        <v>295</v>
      </c>
      <c r="C1100" s="340" t="s">
        <v>258</v>
      </c>
      <c r="D1100" s="340" t="s">
        <v>897</v>
      </c>
      <c r="E1100" s="340">
        <v>76</v>
      </c>
      <c r="F1100" s="340">
        <v>9</v>
      </c>
      <c r="G1100" s="529">
        <v>978.29</v>
      </c>
      <c r="H1100" s="551">
        <f t="shared" si="44"/>
        <v>669150.36</v>
      </c>
      <c r="I1100" s="340">
        <v>1356</v>
      </c>
      <c r="J1100" s="712">
        <f t="shared" si="45"/>
        <v>684</v>
      </c>
      <c r="K1100" s="685" t="str">
        <f>UPPER((TEXT(Tabla5[[#This Row],[FECHA]],"MMM")))</f>
        <v>AGO</v>
      </c>
      <c r="L1100" s="780">
        <f>YEAR(Tabla5[[#This Row],[FECHA]])</f>
        <v>2025</v>
      </c>
      <c r="M1100" s="441">
        <v>508</v>
      </c>
      <c r="N1100" s="441" t="s">
        <v>676</v>
      </c>
      <c r="O1100" s="441" t="s">
        <v>712</v>
      </c>
      <c r="P1100" s="441" t="s">
        <v>110</v>
      </c>
    </row>
    <row r="1101" spans="1:16" ht="13.8">
      <c r="A1101" s="778">
        <v>45881</v>
      </c>
      <c r="B1101" s="340" t="s">
        <v>272</v>
      </c>
      <c r="C1101" s="340" t="s">
        <v>278</v>
      </c>
      <c r="D1101" s="340" t="s">
        <v>260</v>
      </c>
      <c r="E1101" s="340">
        <v>58</v>
      </c>
      <c r="F1101" s="340">
        <v>4</v>
      </c>
      <c r="G1101" s="529">
        <v>978.29</v>
      </c>
      <c r="H1101" s="551">
        <f t="shared" si="44"/>
        <v>226963.28</v>
      </c>
      <c r="I1101" s="340">
        <v>210</v>
      </c>
      <c r="J1101" s="712">
        <f t="shared" si="45"/>
        <v>232</v>
      </c>
      <c r="K1101" s="685" t="str">
        <f>UPPER((TEXT(Tabla5[[#This Row],[FECHA]],"MMM")))</f>
        <v>AGO</v>
      </c>
      <c r="L1101" s="780">
        <f>YEAR(Tabla5[[#This Row],[FECHA]])</f>
        <v>2025</v>
      </c>
      <c r="M1101" s="441">
        <v>508</v>
      </c>
      <c r="N1101" s="441" t="s">
        <v>679</v>
      </c>
      <c r="O1101" s="441" t="s">
        <v>712</v>
      </c>
      <c r="P1101" s="441" t="s">
        <v>110</v>
      </c>
    </row>
    <row r="1102" spans="1:16" ht="13.8">
      <c r="A1102" s="778">
        <v>45881</v>
      </c>
      <c r="B1102" s="340" t="s">
        <v>263</v>
      </c>
      <c r="C1102" s="340" t="s">
        <v>264</v>
      </c>
      <c r="D1102" s="340" t="s">
        <v>897</v>
      </c>
      <c r="E1102" s="340">
        <v>76</v>
      </c>
      <c r="F1102" s="340">
        <v>11</v>
      </c>
      <c r="G1102" s="529">
        <v>978.29</v>
      </c>
      <c r="H1102" s="551">
        <f t="shared" si="44"/>
        <v>817850.44</v>
      </c>
      <c r="I1102" s="340">
        <v>1493</v>
      </c>
      <c r="J1102" s="712">
        <f t="shared" si="45"/>
        <v>836</v>
      </c>
      <c r="K1102" s="685" t="str">
        <f>UPPER((TEXT(Tabla5[[#This Row],[FECHA]],"MMM")))</f>
        <v>AGO</v>
      </c>
      <c r="L1102" s="780">
        <f>YEAR(Tabla5[[#This Row],[FECHA]])</f>
        <v>2025</v>
      </c>
      <c r="M1102" s="441">
        <v>508</v>
      </c>
      <c r="N1102" s="441" t="s">
        <v>676</v>
      </c>
      <c r="O1102" s="441" t="s">
        <v>712</v>
      </c>
      <c r="P1102" s="441" t="s">
        <v>110</v>
      </c>
    </row>
    <row r="1103" spans="1:16" ht="13.8">
      <c r="A1103" s="778">
        <v>45881</v>
      </c>
      <c r="B1103" s="340" t="s">
        <v>403</v>
      </c>
      <c r="C1103" s="340" t="s">
        <v>404</v>
      </c>
      <c r="D1103" s="340" t="s">
        <v>260</v>
      </c>
      <c r="E1103" s="340">
        <v>58</v>
      </c>
      <c r="F1103" s="340">
        <v>4</v>
      </c>
      <c r="G1103" s="529">
        <v>978.29</v>
      </c>
      <c r="H1103" s="551">
        <f t="shared" si="44"/>
        <v>226963.28</v>
      </c>
      <c r="I1103" s="340">
        <v>524</v>
      </c>
      <c r="J1103" s="712">
        <f t="shared" si="45"/>
        <v>232</v>
      </c>
      <c r="K1103" s="685" t="str">
        <f>UPPER((TEXT(Tabla5[[#This Row],[FECHA]],"MMM")))</f>
        <v>AGO</v>
      </c>
      <c r="L1103" s="780">
        <f>YEAR(Tabla5[[#This Row],[FECHA]])</f>
        <v>2025</v>
      </c>
      <c r="M1103" s="441">
        <v>508</v>
      </c>
      <c r="N1103" s="441" t="s">
        <v>680</v>
      </c>
      <c r="O1103" s="441" t="s">
        <v>712</v>
      </c>
      <c r="P1103" s="441" t="s">
        <v>110</v>
      </c>
    </row>
    <row r="1104" spans="1:16" ht="13.8">
      <c r="A1104" s="778">
        <v>45882</v>
      </c>
      <c r="B1104" s="340" t="s">
        <v>272</v>
      </c>
      <c r="C1104" s="340" t="s">
        <v>278</v>
      </c>
      <c r="D1104" s="340" t="s">
        <v>260</v>
      </c>
      <c r="E1104" s="340">
        <v>58</v>
      </c>
      <c r="F1104" s="340">
        <v>4</v>
      </c>
      <c r="G1104" s="529">
        <v>978.29</v>
      </c>
      <c r="H1104" s="551">
        <f t="shared" si="44"/>
        <v>226963.28</v>
      </c>
      <c r="I1104" s="340">
        <v>211</v>
      </c>
      <c r="J1104" s="712">
        <f t="shared" si="45"/>
        <v>232</v>
      </c>
      <c r="K1104" s="685" t="str">
        <f>UPPER((TEXT(Tabla5[[#This Row],[FECHA]],"MMM")))</f>
        <v>AGO</v>
      </c>
      <c r="L1104" s="780">
        <f>YEAR(Tabla5[[#This Row],[FECHA]])</f>
        <v>2025</v>
      </c>
      <c r="M1104" s="441">
        <v>508</v>
      </c>
      <c r="N1104" s="441" t="s">
        <v>679</v>
      </c>
      <c r="O1104" s="441" t="s">
        <v>712</v>
      </c>
      <c r="P1104" s="441" t="s">
        <v>110</v>
      </c>
    </row>
    <row r="1105" spans="1:16" ht="13.8">
      <c r="A1105" s="778">
        <v>45882</v>
      </c>
      <c r="B1105" s="340" t="s">
        <v>263</v>
      </c>
      <c r="C1105" s="340" t="s">
        <v>264</v>
      </c>
      <c r="D1105" s="340" t="s">
        <v>897</v>
      </c>
      <c r="E1105" s="340">
        <v>76</v>
      </c>
      <c r="F1105" s="340">
        <v>9</v>
      </c>
      <c r="G1105" s="529">
        <v>978.29</v>
      </c>
      <c r="H1105" s="551">
        <f t="shared" si="44"/>
        <v>669150.36</v>
      </c>
      <c r="I1105" s="340">
        <v>1193</v>
      </c>
      <c r="J1105" s="712">
        <f t="shared" si="45"/>
        <v>684</v>
      </c>
      <c r="K1105" s="685" t="str">
        <f>UPPER((TEXT(Tabla5[[#This Row],[FECHA]],"MMM")))</f>
        <v>AGO</v>
      </c>
      <c r="L1105" s="780">
        <f>YEAR(Tabla5[[#This Row],[FECHA]])</f>
        <v>2025</v>
      </c>
      <c r="M1105" s="441">
        <v>508</v>
      </c>
      <c r="N1105" s="441" t="s">
        <v>676</v>
      </c>
      <c r="O1105" s="441" t="s">
        <v>712</v>
      </c>
      <c r="P1105" s="441" t="s">
        <v>110</v>
      </c>
    </row>
    <row r="1106" spans="1:16" ht="13.8">
      <c r="A1106" s="778">
        <v>45882</v>
      </c>
      <c r="B1106" s="340" t="s">
        <v>403</v>
      </c>
      <c r="C1106" s="340" t="s">
        <v>404</v>
      </c>
      <c r="D1106" s="340" t="s">
        <v>260</v>
      </c>
      <c r="E1106" s="340">
        <v>58</v>
      </c>
      <c r="F1106" s="340">
        <v>5</v>
      </c>
      <c r="G1106" s="529">
        <v>978.29</v>
      </c>
      <c r="H1106" s="551">
        <f t="shared" si="44"/>
        <v>283704.09999999998</v>
      </c>
      <c r="I1106" s="340">
        <v>547</v>
      </c>
      <c r="J1106" s="712">
        <f t="shared" si="45"/>
        <v>290</v>
      </c>
      <c r="K1106" s="685" t="str">
        <f>UPPER((TEXT(Tabla5[[#This Row],[FECHA]],"MMM")))</f>
        <v>AGO</v>
      </c>
      <c r="L1106" s="780">
        <f>YEAR(Tabla5[[#This Row],[FECHA]])</f>
        <v>2025</v>
      </c>
      <c r="M1106" s="441">
        <v>508</v>
      </c>
      <c r="N1106" s="441" t="s">
        <v>680</v>
      </c>
      <c r="O1106" s="441" t="s">
        <v>712</v>
      </c>
      <c r="P1106" s="441" t="s">
        <v>110</v>
      </c>
    </row>
    <row r="1107" spans="1:16" ht="13.8">
      <c r="A1107" s="778">
        <v>45883</v>
      </c>
      <c r="B1107" s="340" t="s">
        <v>272</v>
      </c>
      <c r="C1107" s="340" t="s">
        <v>278</v>
      </c>
      <c r="D1107" s="340" t="s">
        <v>260</v>
      </c>
      <c r="E1107" s="340">
        <v>58</v>
      </c>
      <c r="F1107" s="340">
        <v>4</v>
      </c>
      <c r="G1107" s="529">
        <v>978.29</v>
      </c>
      <c r="H1107" s="551">
        <f t="shared" si="44"/>
        <v>226963.28</v>
      </c>
      <c r="I1107" s="340">
        <v>204</v>
      </c>
      <c r="J1107" s="712">
        <f t="shared" si="45"/>
        <v>232</v>
      </c>
      <c r="K1107" s="685" t="str">
        <f>UPPER((TEXT(Tabla5[[#This Row],[FECHA]],"MMM")))</f>
        <v>AGO</v>
      </c>
      <c r="L1107" s="780">
        <f>YEAR(Tabla5[[#This Row],[FECHA]])</f>
        <v>2025</v>
      </c>
      <c r="M1107" s="441">
        <v>508</v>
      </c>
      <c r="N1107" s="441" t="s">
        <v>679</v>
      </c>
      <c r="O1107" s="441" t="s">
        <v>712</v>
      </c>
      <c r="P1107" s="441" t="s">
        <v>110</v>
      </c>
    </row>
    <row r="1108" spans="1:16" ht="13.8">
      <c r="A1108" s="778">
        <v>45883</v>
      </c>
      <c r="B1108" s="340" t="s">
        <v>287</v>
      </c>
      <c r="C1108" s="340" t="s">
        <v>290</v>
      </c>
      <c r="D1108" s="340" t="s">
        <v>897</v>
      </c>
      <c r="E1108" s="340">
        <v>76</v>
      </c>
      <c r="F1108" s="340">
        <v>9</v>
      </c>
      <c r="G1108" s="529">
        <v>978.29</v>
      </c>
      <c r="H1108" s="551">
        <f t="shared" si="44"/>
        <v>669150.36</v>
      </c>
      <c r="I1108" s="340">
        <v>1047</v>
      </c>
      <c r="J1108" s="712">
        <f t="shared" si="45"/>
        <v>684</v>
      </c>
      <c r="K1108" s="685" t="str">
        <f>UPPER((TEXT(Tabla5[[#This Row],[FECHA]],"MMM")))</f>
        <v>AGO</v>
      </c>
      <c r="L1108" s="780">
        <f>YEAR(Tabla5[[#This Row],[FECHA]])</f>
        <v>2025</v>
      </c>
      <c r="M1108" s="441">
        <v>508</v>
      </c>
      <c r="N1108" s="441" t="s">
        <v>676</v>
      </c>
      <c r="O1108" s="441" t="s">
        <v>712</v>
      </c>
      <c r="P1108" s="441" t="s">
        <v>110</v>
      </c>
    </row>
    <row r="1109" spans="1:16" ht="13.8">
      <c r="A1109" s="778">
        <v>45883</v>
      </c>
      <c r="B1109" s="340" t="s">
        <v>284</v>
      </c>
      <c r="C1109" s="340" t="s">
        <v>285</v>
      </c>
      <c r="D1109" s="340" t="s">
        <v>260</v>
      </c>
      <c r="E1109" s="340">
        <v>58</v>
      </c>
      <c r="F1109" s="340">
        <v>4</v>
      </c>
      <c r="G1109" s="529">
        <v>978.29</v>
      </c>
      <c r="H1109" s="551">
        <f t="shared" si="44"/>
        <v>226963.28</v>
      </c>
      <c r="I1109" s="340">
        <v>506</v>
      </c>
      <c r="J1109" s="712">
        <f t="shared" si="45"/>
        <v>232</v>
      </c>
      <c r="K1109" s="685" t="str">
        <f>UPPER((TEXT(Tabla5[[#This Row],[FECHA]],"MMM")))</f>
        <v>AGO</v>
      </c>
      <c r="L1109" s="780">
        <f>YEAR(Tabla5[[#This Row],[FECHA]])</f>
        <v>2025</v>
      </c>
      <c r="M1109" s="441">
        <v>508</v>
      </c>
      <c r="N1109" s="441" t="s">
        <v>680</v>
      </c>
      <c r="O1109" s="441" t="s">
        <v>712</v>
      </c>
      <c r="P1109" s="441" t="s">
        <v>110</v>
      </c>
    </row>
    <row r="1110" spans="1:16" ht="13.8">
      <c r="A1110" s="778">
        <v>45884</v>
      </c>
      <c r="B1110" s="340" t="s">
        <v>272</v>
      </c>
      <c r="C1110" s="340" t="s">
        <v>278</v>
      </c>
      <c r="D1110" s="340" t="s">
        <v>260</v>
      </c>
      <c r="E1110" s="340">
        <v>58</v>
      </c>
      <c r="F1110" s="340">
        <v>4</v>
      </c>
      <c r="G1110" s="529">
        <v>978.29</v>
      </c>
      <c r="H1110" s="551">
        <f t="shared" si="44"/>
        <v>226963.28</v>
      </c>
      <c r="I1110" s="340">
        <v>179</v>
      </c>
      <c r="J1110" s="712">
        <f t="shared" si="45"/>
        <v>232</v>
      </c>
      <c r="K1110" s="685" t="str">
        <f>UPPER((TEXT(Tabla5[[#This Row],[FECHA]],"MMM")))</f>
        <v>AGO</v>
      </c>
      <c r="L1110" s="780">
        <f>YEAR(Tabla5[[#This Row],[FECHA]])</f>
        <v>2025</v>
      </c>
      <c r="M1110" s="441">
        <v>508</v>
      </c>
      <c r="N1110" s="441" t="s">
        <v>679</v>
      </c>
      <c r="O1110" s="441" t="s">
        <v>712</v>
      </c>
      <c r="P1110" s="441" t="s">
        <v>110</v>
      </c>
    </row>
    <row r="1111" spans="1:16" ht="13.8">
      <c r="A1111" s="778">
        <v>45884</v>
      </c>
      <c r="B1111" s="340" t="s">
        <v>263</v>
      </c>
      <c r="C1111" s="340" t="s">
        <v>264</v>
      </c>
      <c r="D1111" s="340" t="s">
        <v>897</v>
      </c>
      <c r="E1111" s="340">
        <v>76</v>
      </c>
      <c r="F1111" s="340">
        <v>9</v>
      </c>
      <c r="G1111" s="529">
        <v>978.29</v>
      </c>
      <c r="H1111" s="551">
        <f t="shared" si="44"/>
        <v>669150.36</v>
      </c>
      <c r="I1111" s="340">
        <v>1296</v>
      </c>
      <c r="J1111" s="712">
        <f t="shared" si="45"/>
        <v>684</v>
      </c>
      <c r="K1111" s="685" t="str">
        <f>UPPER((TEXT(Tabla5[[#This Row],[FECHA]],"MMM")))</f>
        <v>AGO</v>
      </c>
      <c r="L1111" s="780">
        <f>YEAR(Tabla5[[#This Row],[FECHA]])</f>
        <v>2025</v>
      </c>
      <c r="M1111" s="441">
        <v>508</v>
      </c>
      <c r="N1111" s="441" t="s">
        <v>676</v>
      </c>
      <c r="O1111" s="441" t="s">
        <v>712</v>
      </c>
      <c r="P1111" s="441" t="s">
        <v>110</v>
      </c>
    </row>
    <row r="1112" spans="1:16" ht="13.8">
      <c r="A1112" s="778">
        <v>45884</v>
      </c>
      <c r="B1112" s="340" t="s">
        <v>403</v>
      </c>
      <c r="C1112" s="340" t="s">
        <v>404</v>
      </c>
      <c r="D1112" s="340" t="s">
        <v>260</v>
      </c>
      <c r="E1112" s="340">
        <v>58</v>
      </c>
      <c r="F1112" s="340">
        <v>5</v>
      </c>
      <c r="G1112" s="529">
        <v>978.29</v>
      </c>
      <c r="H1112" s="551">
        <f t="shared" si="44"/>
        <v>283704.09999999998</v>
      </c>
      <c r="I1112" s="340">
        <v>534</v>
      </c>
      <c r="J1112" s="712">
        <f t="shared" si="45"/>
        <v>290</v>
      </c>
      <c r="K1112" s="685" t="str">
        <f>UPPER((TEXT(Tabla5[[#This Row],[FECHA]],"MMM")))</f>
        <v>AGO</v>
      </c>
      <c r="L1112" s="780">
        <f>YEAR(Tabla5[[#This Row],[FECHA]])</f>
        <v>2025</v>
      </c>
      <c r="M1112" s="441">
        <v>508</v>
      </c>
      <c r="N1112" s="441" t="s">
        <v>680</v>
      </c>
      <c r="O1112" s="441" t="s">
        <v>712</v>
      </c>
      <c r="P1112" s="441" t="s">
        <v>110</v>
      </c>
    </row>
    <row r="1113" spans="1:16" ht="13.8">
      <c r="A1113" s="778">
        <v>45885</v>
      </c>
      <c r="B1113" s="340" t="s">
        <v>272</v>
      </c>
      <c r="C1113" s="340" t="s">
        <v>282</v>
      </c>
      <c r="D1113" s="340" t="s">
        <v>897</v>
      </c>
      <c r="E1113" s="340">
        <v>76</v>
      </c>
      <c r="F1113" s="340">
        <v>3</v>
      </c>
      <c r="G1113" s="529">
        <v>978.29</v>
      </c>
      <c r="H1113" s="551">
        <f t="shared" si="44"/>
        <v>223050.12</v>
      </c>
      <c r="I1113" s="340">
        <v>387</v>
      </c>
      <c r="J1113" s="712">
        <f t="shared" si="45"/>
        <v>228</v>
      </c>
      <c r="K1113" s="685" t="str">
        <f>UPPER((TEXT(Tabla5[[#This Row],[FECHA]],"MMM")))</f>
        <v>AGO</v>
      </c>
      <c r="L1113" s="780">
        <f>YEAR(Tabla5[[#This Row],[FECHA]])</f>
        <v>2025</v>
      </c>
      <c r="M1113" s="441">
        <v>508</v>
      </c>
      <c r="N1113" s="441" t="s">
        <v>676</v>
      </c>
      <c r="O1113" s="441" t="s">
        <v>712</v>
      </c>
      <c r="P1113" s="441" t="s">
        <v>110</v>
      </c>
    </row>
    <row r="1114" spans="1:16" ht="13.8">
      <c r="A1114" s="778">
        <v>45885</v>
      </c>
      <c r="B1114" s="340" t="s">
        <v>295</v>
      </c>
      <c r="C1114" s="340" t="s">
        <v>276</v>
      </c>
      <c r="D1114" s="340" t="s">
        <v>694</v>
      </c>
      <c r="E1114" s="340">
        <v>96</v>
      </c>
      <c r="F1114" s="340">
        <v>17</v>
      </c>
      <c r="G1114" s="529">
        <v>978.29</v>
      </c>
      <c r="H1114" s="551">
        <f t="shared" si="44"/>
        <v>1596569.28</v>
      </c>
      <c r="I1114" s="340">
        <v>1352</v>
      </c>
      <c r="J1114" s="712">
        <f t="shared" si="45"/>
        <v>1632</v>
      </c>
      <c r="K1114" s="685" t="str">
        <f>UPPER((TEXT(Tabla5[[#This Row],[FECHA]],"MMM")))</f>
        <v>AGO</v>
      </c>
      <c r="L1114" s="780">
        <f>YEAR(Tabla5[[#This Row],[FECHA]])</f>
        <v>2025</v>
      </c>
      <c r="M1114" s="441">
        <v>508</v>
      </c>
      <c r="N1114" s="441" t="s">
        <v>678</v>
      </c>
      <c r="O1114" s="441" t="s">
        <v>713</v>
      </c>
      <c r="P1114" s="441" t="s">
        <v>110</v>
      </c>
    </row>
    <row r="1115" spans="1:16" ht="13.8">
      <c r="A1115" s="778">
        <v>45886</v>
      </c>
      <c r="B1115" s="340" t="s">
        <v>253</v>
      </c>
      <c r="C1115" s="340" t="s">
        <v>258</v>
      </c>
      <c r="D1115" s="340" t="s">
        <v>694</v>
      </c>
      <c r="E1115" s="340">
        <v>96</v>
      </c>
      <c r="F1115" s="340">
        <v>17</v>
      </c>
      <c r="G1115" s="529">
        <v>978.29</v>
      </c>
      <c r="H1115" s="551">
        <f t="shared" si="44"/>
        <v>1596569.28</v>
      </c>
      <c r="I1115" s="340">
        <v>1502</v>
      </c>
      <c r="J1115" s="712">
        <f t="shared" si="45"/>
        <v>1632</v>
      </c>
      <c r="K1115" s="685" t="str">
        <f>UPPER((TEXT(Tabla5[[#This Row],[FECHA]],"MMM")))</f>
        <v>AGO</v>
      </c>
      <c r="L1115" s="780">
        <f>YEAR(Tabla5[[#This Row],[FECHA]])</f>
        <v>2025</v>
      </c>
      <c r="M1115" s="441">
        <v>508</v>
      </c>
      <c r="N1115" s="441" t="s">
        <v>678</v>
      </c>
      <c r="O1115" s="441" t="s">
        <v>713</v>
      </c>
      <c r="P1115" s="441" t="s">
        <v>110</v>
      </c>
    </row>
    <row r="1116" spans="1:16" ht="13.8">
      <c r="A1116" s="778">
        <v>45887</v>
      </c>
      <c r="B1116" s="340" t="s">
        <v>289</v>
      </c>
      <c r="C1116" s="340" t="s">
        <v>290</v>
      </c>
      <c r="D1116" s="340" t="s">
        <v>694</v>
      </c>
      <c r="E1116" s="340">
        <v>96</v>
      </c>
      <c r="F1116" s="340">
        <v>16</v>
      </c>
      <c r="G1116" s="529">
        <v>978.29</v>
      </c>
      <c r="H1116" s="551">
        <f t="shared" si="44"/>
        <v>1502653.4399999999</v>
      </c>
      <c r="I1116" s="340">
        <v>1352</v>
      </c>
      <c r="J1116" s="712">
        <f t="shared" si="45"/>
        <v>1536</v>
      </c>
      <c r="K1116" s="685" t="str">
        <f>UPPER((TEXT(Tabla5[[#This Row],[FECHA]],"MMM")))</f>
        <v>AGO</v>
      </c>
      <c r="L1116" s="780">
        <f>YEAR(Tabla5[[#This Row],[FECHA]])</f>
        <v>2025</v>
      </c>
      <c r="M1116" s="441">
        <v>508</v>
      </c>
      <c r="N1116" s="441" t="s">
        <v>678</v>
      </c>
      <c r="O1116" s="441" t="s">
        <v>713</v>
      </c>
      <c r="P1116" s="441" t="s">
        <v>110</v>
      </c>
    </row>
    <row r="1117" spans="1:16" ht="13.8">
      <c r="A1117" s="778">
        <v>45888</v>
      </c>
      <c r="B1117" s="340" t="s">
        <v>272</v>
      </c>
      <c r="C1117" s="340" t="s">
        <v>278</v>
      </c>
      <c r="D1117" s="340" t="s">
        <v>260</v>
      </c>
      <c r="E1117" s="340">
        <v>58</v>
      </c>
      <c r="F1117" s="340">
        <v>4</v>
      </c>
      <c r="G1117" s="529">
        <v>978.29</v>
      </c>
      <c r="H1117" s="551">
        <f t="shared" si="44"/>
        <v>226963.28</v>
      </c>
      <c r="I1117" s="340">
        <v>232</v>
      </c>
      <c r="J1117" s="712">
        <f t="shared" si="45"/>
        <v>232</v>
      </c>
      <c r="K1117" s="685" t="str">
        <f>UPPER((TEXT(Tabla5[[#This Row],[FECHA]],"MMM")))</f>
        <v>AGO</v>
      </c>
      <c r="L1117" s="780">
        <f>YEAR(Tabla5[[#This Row],[FECHA]])</f>
        <v>2025</v>
      </c>
      <c r="M1117" s="441">
        <v>508</v>
      </c>
      <c r="N1117" s="441" t="s">
        <v>679</v>
      </c>
      <c r="O1117" s="441" t="s">
        <v>712</v>
      </c>
      <c r="P1117" s="441" t="s">
        <v>110</v>
      </c>
    </row>
    <row r="1118" spans="1:16" ht="13.8">
      <c r="A1118" s="778">
        <v>45888</v>
      </c>
      <c r="B1118" s="340" t="s">
        <v>263</v>
      </c>
      <c r="C1118" s="340" t="s">
        <v>264</v>
      </c>
      <c r="D1118" s="340" t="s">
        <v>897</v>
      </c>
      <c r="E1118" s="340">
        <v>76</v>
      </c>
      <c r="F1118" s="340">
        <v>9</v>
      </c>
      <c r="G1118" s="529">
        <v>978.29</v>
      </c>
      <c r="H1118" s="551">
        <f t="shared" si="44"/>
        <v>669150.36</v>
      </c>
      <c r="I1118" s="340">
        <v>1302</v>
      </c>
      <c r="J1118" s="712">
        <f t="shared" si="45"/>
        <v>684</v>
      </c>
      <c r="K1118" s="685" t="str">
        <f>UPPER((TEXT(Tabla5[[#This Row],[FECHA]],"MMM")))</f>
        <v>AGO</v>
      </c>
      <c r="L1118" s="780">
        <f>YEAR(Tabla5[[#This Row],[FECHA]])</f>
        <v>2025</v>
      </c>
      <c r="M1118" s="441">
        <v>508</v>
      </c>
      <c r="N1118" s="441" t="s">
        <v>676</v>
      </c>
      <c r="O1118" s="441" t="s">
        <v>712</v>
      </c>
      <c r="P1118" s="441" t="s">
        <v>110</v>
      </c>
    </row>
    <row r="1119" spans="1:16" ht="13.8">
      <c r="A1119" s="778">
        <v>45888</v>
      </c>
      <c r="B1119" s="340" t="s">
        <v>267</v>
      </c>
      <c r="C1119" s="340" t="s">
        <v>268</v>
      </c>
      <c r="D1119" s="340" t="s">
        <v>260</v>
      </c>
      <c r="E1119" s="340">
        <v>58</v>
      </c>
      <c r="F1119" s="340">
        <v>4</v>
      </c>
      <c r="G1119" s="529">
        <v>978.29</v>
      </c>
      <c r="H1119" s="551">
        <f t="shared" si="44"/>
        <v>226963.28</v>
      </c>
      <c r="I1119" s="340">
        <v>238</v>
      </c>
      <c r="J1119" s="712">
        <f t="shared" si="45"/>
        <v>232</v>
      </c>
      <c r="K1119" s="685" t="str">
        <f>UPPER((TEXT(Tabla5[[#This Row],[FECHA]],"MMM")))</f>
        <v>AGO</v>
      </c>
      <c r="L1119" s="780">
        <f>YEAR(Tabla5[[#This Row],[FECHA]])</f>
        <v>2025</v>
      </c>
      <c r="M1119" s="441">
        <v>508</v>
      </c>
      <c r="N1119" s="441" t="s">
        <v>680</v>
      </c>
      <c r="O1119" s="441" t="s">
        <v>712</v>
      </c>
      <c r="P1119" s="441" t="s">
        <v>110</v>
      </c>
    </row>
    <row r="1120" spans="1:16" ht="13.8">
      <c r="A1120" s="778">
        <v>45889</v>
      </c>
      <c r="B1120" s="340" t="s">
        <v>272</v>
      </c>
      <c r="C1120" s="340" t="s">
        <v>278</v>
      </c>
      <c r="D1120" s="340" t="s">
        <v>260</v>
      </c>
      <c r="E1120" s="340">
        <v>58</v>
      </c>
      <c r="F1120" s="340">
        <v>4</v>
      </c>
      <c r="G1120" s="529">
        <v>978.29</v>
      </c>
      <c r="H1120" s="551">
        <f t="shared" si="44"/>
        <v>226963.28</v>
      </c>
      <c r="I1120" s="340">
        <v>232</v>
      </c>
      <c r="J1120" s="712">
        <f t="shared" si="45"/>
        <v>232</v>
      </c>
      <c r="K1120" s="685" t="str">
        <f>UPPER((TEXT(Tabla5[[#This Row],[FECHA]],"MMM")))</f>
        <v>AGO</v>
      </c>
      <c r="L1120" s="780">
        <f>YEAR(Tabla5[[#This Row],[FECHA]])</f>
        <v>2025</v>
      </c>
      <c r="M1120" s="441">
        <v>508</v>
      </c>
      <c r="N1120" s="441" t="s">
        <v>679</v>
      </c>
      <c r="O1120" s="441" t="s">
        <v>712</v>
      </c>
      <c r="P1120" s="441" t="s">
        <v>110</v>
      </c>
    </row>
    <row r="1121" spans="1:16" ht="13.8">
      <c r="A1121" s="778">
        <v>45889</v>
      </c>
      <c r="B1121" s="340" t="s">
        <v>263</v>
      </c>
      <c r="C1121" s="340" t="s">
        <v>264</v>
      </c>
      <c r="D1121" s="340" t="s">
        <v>897</v>
      </c>
      <c r="E1121" s="340">
        <v>76</v>
      </c>
      <c r="F1121" s="340">
        <v>10</v>
      </c>
      <c r="G1121" s="529">
        <v>978.29</v>
      </c>
      <c r="H1121" s="551">
        <f t="shared" si="44"/>
        <v>743500.4</v>
      </c>
      <c r="I1121" s="340">
        <v>1237</v>
      </c>
      <c r="J1121" s="712">
        <f t="shared" si="45"/>
        <v>760</v>
      </c>
      <c r="K1121" s="685" t="str">
        <f>UPPER((TEXT(Tabla5[[#This Row],[FECHA]],"MMM")))</f>
        <v>AGO</v>
      </c>
      <c r="L1121" s="780">
        <f>YEAR(Tabla5[[#This Row],[FECHA]])</f>
        <v>2025</v>
      </c>
      <c r="M1121" s="441">
        <v>508</v>
      </c>
      <c r="N1121" s="441" t="s">
        <v>676</v>
      </c>
      <c r="O1121" s="441" t="s">
        <v>712</v>
      </c>
      <c r="P1121" s="441" t="s">
        <v>110</v>
      </c>
    </row>
    <row r="1122" spans="1:16" ht="13.8">
      <c r="A1122" s="778">
        <v>45889</v>
      </c>
      <c r="B1122" s="340" t="s">
        <v>403</v>
      </c>
      <c r="C1122" s="340" t="s">
        <v>404</v>
      </c>
      <c r="D1122" s="340" t="s">
        <v>260</v>
      </c>
      <c r="E1122" s="340">
        <v>58</v>
      </c>
      <c r="F1122" s="340">
        <v>5</v>
      </c>
      <c r="G1122" s="529">
        <v>978.29</v>
      </c>
      <c r="H1122" s="551">
        <f t="shared" si="44"/>
        <v>283704.09999999998</v>
      </c>
      <c r="I1122" s="340">
        <v>629</v>
      </c>
      <c r="J1122" s="712">
        <f t="shared" si="45"/>
        <v>290</v>
      </c>
      <c r="K1122" s="685" t="str">
        <f>UPPER((TEXT(Tabla5[[#This Row],[FECHA]],"MMM")))</f>
        <v>AGO</v>
      </c>
      <c r="L1122" s="780">
        <f>YEAR(Tabla5[[#This Row],[FECHA]])</f>
        <v>2025</v>
      </c>
      <c r="M1122" s="441">
        <v>508</v>
      </c>
      <c r="N1122" s="441" t="s">
        <v>680</v>
      </c>
      <c r="O1122" s="441" t="s">
        <v>712</v>
      </c>
      <c r="P1122" s="441" t="s">
        <v>110</v>
      </c>
    </row>
    <row r="1123" spans="1:16" ht="13.8">
      <c r="A1123" s="778">
        <v>45890</v>
      </c>
      <c r="B1123" s="340" t="s">
        <v>272</v>
      </c>
      <c r="C1123" s="340" t="s">
        <v>278</v>
      </c>
      <c r="D1123" s="340" t="s">
        <v>260</v>
      </c>
      <c r="E1123" s="340">
        <v>58</v>
      </c>
      <c r="F1123" s="340">
        <v>4</v>
      </c>
      <c r="G1123" s="529">
        <v>978.29</v>
      </c>
      <c r="H1123" s="551">
        <f t="shared" si="44"/>
        <v>226963.28</v>
      </c>
      <c r="I1123" s="340">
        <v>197</v>
      </c>
      <c r="J1123" s="712">
        <f t="shared" si="45"/>
        <v>232</v>
      </c>
      <c r="K1123" s="685" t="str">
        <f>UPPER((TEXT(Tabla5[[#This Row],[FECHA]],"MMM")))</f>
        <v>AGO</v>
      </c>
      <c r="L1123" s="780">
        <f>YEAR(Tabla5[[#This Row],[FECHA]])</f>
        <v>2025</v>
      </c>
      <c r="M1123" s="441">
        <v>508</v>
      </c>
      <c r="N1123" s="441" t="s">
        <v>679</v>
      </c>
      <c r="O1123" s="441" t="s">
        <v>712</v>
      </c>
      <c r="P1123" s="441" t="s">
        <v>110</v>
      </c>
    </row>
    <row r="1124" spans="1:16" ht="13.8">
      <c r="A1124" s="778">
        <v>45890</v>
      </c>
      <c r="B1124" s="340" t="s">
        <v>263</v>
      </c>
      <c r="C1124" s="340" t="s">
        <v>264</v>
      </c>
      <c r="D1124" s="340" t="s">
        <v>897</v>
      </c>
      <c r="E1124" s="340">
        <v>76</v>
      </c>
      <c r="F1124" s="340">
        <v>11</v>
      </c>
      <c r="G1124" s="529">
        <v>978.29</v>
      </c>
      <c r="H1124" s="551">
        <f t="shared" si="44"/>
        <v>817850.44</v>
      </c>
      <c r="I1124" s="340">
        <v>1317</v>
      </c>
      <c r="J1124" s="712">
        <f t="shared" si="45"/>
        <v>836</v>
      </c>
      <c r="K1124" s="685" t="str">
        <f>UPPER((TEXT(Tabla5[[#This Row],[FECHA]],"MMM")))</f>
        <v>AGO</v>
      </c>
      <c r="L1124" s="780">
        <f>YEAR(Tabla5[[#This Row],[FECHA]])</f>
        <v>2025</v>
      </c>
      <c r="M1124" s="441">
        <v>508</v>
      </c>
      <c r="N1124" s="441" t="s">
        <v>676</v>
      </c>
      <c r="O1124" s="441" t="s">
        <v>712</v>
      </c>
      <c r="P1124" s="441" t="s">
        <v>110</v>
      </c>
    </row>
    <row r="1125" spans="1:16" ht="13.8">
      <c r="A1125" s="778">
        <v>45890</v>
      </c>
      <c r="B1125" s="340" t="s">
        <v>403</v>
      </c>
      <c r="C1125" s="340" t="s">
        <v>404</v>
      </c>
      <c r="D1125" s="340" t="s">
        <v>260</v>
      </c>
      <c r="E1125" s="340">
        <v>58</v>
      </c>
      <c r="F1125" s="340">
        <v>4</v>
      </c>
      <c r="G1125" s="529">
        <v>978.29</v>
      </c>
      <c r="H1125" s="551">
        <f t="shared" si="44"/>
        <v>226963.28</v>
      </c>
      <c r="I1125" s="340">
        <v>293</v>
      </c>
      <c r="J1125" s="712">
        <f t="shared" si="45"/>
        <v>232</v>
      </c>
      <c r="K1125" s="685" t="str">
        <f>UPPER((TEXT(Tabla5[[#This Row],[FECHA]],"MMM")))</f>
        <v>AGO</v>
      </c>
      <c r="L1125" s="780">
        <f>YEAR(Tabla5[[#This Row],[FECHA]])</f>
        <v>2025</v>
      </c>
      <c r="M1125" s="441">
        <v>508</v>
      </c>
      <c r="N1125" s="441" t="s">
        <v>680</v>
      </c>
      <c r="O1125" s="441" t="s">
        <v>712</v>
      </c>
      <c r="P1125" s="441" t="s">
        <v>110</v>
      </c>
    </row>
    <row r="1126" spans="1:16" ht="13.8">
      <c r="A1126" s="778">
        <v>45891</v>
      </c>
      <c r="B1126" s="340" t="s">
        <v>272</v>
      </c>
      <c r="C1126" s="340" t="s">
        <v>278</v>
      </c>
      <c r="D1126" s="340" t="s">
        <v>260</v>
      </c>
      <c r="E1126" s="340">
        <v>58</v>
      </c>
      <c r="F1126" s="340">
        <v>4</v>
      </c>
      <c r="G1126" s="529">
        <v>978.29</v>
      </c>
      <c r="H1126" s="551">
        <f t="shared" si="44"/>
        <v>226963.28</v>
      </c>
      <c r="I1126" s="340">
        <v>159</v>
      </c>
      <c r="J1126" s="712">
        <f t="shared" si="45"/>
        <v>232</v>
      </c>
      <c r="K1126" s="685" t="str">
        <f>UPPER((TEXT(Tabla5[[#This Row],[FECHA]],"MMM")))</f>
        <v>AGO</v>
      </c>
      <c r="L1126" s="780">
        <f>YEAR(Tabla5[[#This Row],[FECHA]])</f>
        <v>2025</v>
      </c>
      <c r="M1126" s="441">
        <v>508</v>
      </c>
      <c r="N1126" s="441" t="s">
        <v>679</v>
      </c>
      <c r="O1126" s="441" t="s">
        <v>712</v>
      </c>
      <c r="P1126" s="441" t="s">
        <v>110</v>
      </c>
    </row>
    <row r="1127" spans="1:16" ht="13.8">
      <c r="A1127" s="778">
        <v>45891</v>
      </c>
      <c r="B1127" s="340" t="s">
        <v>263</v>
      </c>
      <c r="C1127" s="340" t="s">
        <v>264</v>
      </c>
      <c r="D1127" s="340" t="s">
        <v>897</v>
      </c>
      <c r="E1127" s="340">
        <v>76</v>
      </c>
      <c r="F1127" s="340">
        <v>9</v>
      </c>
      <c r="G1127" s="529">
        <v>978.29</v>
      </c>
      <c r="H1127" s="551">
        <f t="shared" si="44"/>
        <v>669150.36</v>
      </c>
      <c r="I1127" s="340">
        <v>1391</v>
      </c>
      <c r="J1127" s="712">
        <f t="shared" si="45"/>
        <v>684</v>
      </c>
      <c r="K1127" s="685" t="str">
        <f>UPPER((TEXT(Tabla5[[#This Row],[FECHA]],"MMM")))</f>
        <v>AGO</v>
      </c>
      <c r="L1127" s="780">
        <f>YEAR(Tabla5[[#This Row],[FECHA]])</f>
        <v>2025</v>
      </c>
      <c r="M1127" s="441">
        <v>508</v>
      </c>
      <c r="N1127" s="441" t="s">
        <v>676</v>
      </c>
      <c r="O1127" s="441" t="s">
        <v>712</v>
      </c>
      <c r="P1127" s="441" t="s">
        <v>110</v>
      </c>
    </row>
    <row r="1128" spans="1:16" ht="13.8">
      <c r="A1128" s="778">
        <v>45891</v>
      </c>
      <c r="B1128" s="340" t="s">
        <v>403</v>
      </c>
      <c r="C1128" s="340" t="s">
        <v>404</v>
      </c>
      <c r="D1128" s="340" t="s">
        <v>260</v>
      </c>
      <c r="E1128" s="340">
        <v>58</v>
      </c>
      <c r="F1128" s="340">
        <v>5</v>
      </c>
      <c r="G1128" s="529">
        <v>978.29</v>
      </c>
      <c r="H1128" s="551">
        <f t="shared" si="44"/>
        <v>283704.09999999998</v>
      </c>
      <c r="I1128" s="340">
        <v>531</v>
      </c>
      <c r="J1128" s="712">
        <f t="shared" si="45"/>
        <v>290</v>
      </c>
      <c r="K1128" s="685" t="str">
        <f>UPPER((TEXT(Tabla5[[#This Row],[FECHA]],"MMM")))</f>
        <v>AGO</v>
      </c>
      <c r="L1128" s="780">
        <f>YEAR(Tabla5[[#This Row],[FECHA]])</f>
        <v>2025</v>
      </c>
      <c r="M1128" s="441">
        <v>508</v>
      </c>
      <c r="N1128" s="441" t="s">
        <v>680</v>
      </c>
      <c r="O1128" s="441" t="s">
        <v>712</v>
      </c>
      <c r="P1128" s="441" t="s">
        <v>110</v>
      </c>
    </row>
    <row r="1129" spans="1:16" ht="13.8">
      <c r="A1129" s="778">
        <v>45892</v>
      </c>
      <c r="B1129" s="340" t="s">
        <v>269</v>
      </c>
      <c r="C1129" s="340" t="s">
        <v>940</v>
      </c>
      <c r="D1129" s="340" t="s">
        <v>897</v>
      </c>
      <c r="E1129" s="340">
        <v>76</v>
      </c>
      <c r="F1129" s="340">
        <v>4</v>
      </c>
      <c r="G1129" s="529">
        <v>978.29</v>
      </c>
      <c r="H1129" s="551">
        <f t="shared" si="44"/>
        <v>297400.15999999997</v>
      </c>
      <c r="I1129" s="340">
        <v>663</v>
      </c>
      <c r="J1129" s="712">
        <f t="shared" si="45"/>
        <v>304</v>
      </c>
      <c r="K1129" s="685" t="str">
        <f>UPPER((TEXT(Tabla5[[#This Row],[FECHA]],"MMM")))</f>
        <v>AGO</v>
      </c>
      <c r="L1129" s="780">
        <f>YEAR(Tabla5[[#This Row],[FECHA]])</f>
        <v>2025</v>
      </c>
      <c r="M1129" s="441">
        <v>508</v>
      </c>
      <c r="N1129" s="441" t="s">
        <v>676</v>
      </c>
      <c r="O1129" s="441" t="s">
        <v>712</v>
      </c>
      <c r="P1129" s="441" t="s">
        <v>110</v>
      </c>
    </row>
    <row r="1130" spans="1:16" ht="13.8">
      <c r="A1130" s="778">
        <v>45892</v>
      </c>
      <c r="B1130" s="340" t="s">
        <v>263</v>
      </c>
      <c r="C1130" s="340" t="s">
        <v>285</v>
      </c>
      <c r="D1130" s="340" t="s">
        <v>941</v>
      </c>
      <c r="E1130" s="340">
        <v>84</v>
      </c>
      <c r="F1130" s="340">
        <v>12</v>
      </c>
      <c r="G1130" s="529">
        <v>978.29</v>
      </c>
      <c r="H1130" s="551">
        <f t="shared" si="44"/>
        <v>986116.32</v>
      </c>
      <c r="I1130" s="340">
        <v>876</v>
      </c>
      <c r="J1130" s="712">
        <f t="shared" si="45"/>
        <v>1008</v>
      </c>
      <c r="K1130" s="685" t="str">
        <f>UPPER((TEXT(Tabla5[[#This Row],[FECHA]],"MMM")))</f>
        <v>AGO</v>
      </c>
      <c r="L1130" s="780">
        <f>YEAR(Tabla5[[#This Row],[FECHA]])</f>
        <v>2025</v>
      </c>
      <c r="M1130" s="441">
        <v>508</v>
      </c>
      <c r="N1130" s="441" t="s">
        <v>678</v>
      </c>
      <c r="O1130" s="441" t="s">
        <v>713</v>
      </c>
      <c r="P1130" s="441" t="s">
        <v>110</v>
      </c>
    </row>
    <row r="1131" spans="1:16" ht="13.8">
      <c r="A1131" s="778">
        <v>45892</v>
      </c>
      <c r="B1131" s="340" t="s">
        <v>403</v>
      </c>
      <c r="C1131" s="340" t="s">
        <v>288</v>
      </c>
      <c r="D1131" s="340" t="s">
        <v>694</v>
      </c>
      <c r="E1131" s="340">
        <v>96</v>
      </c>
      <c r="F1131" s="340">
        <v>4</v>
      </c>
      <c r="G1131" s="529">
        <v>978.29</v>
      </c>
      <c r="H1131" s="551">
        <f t="shared" si="44"/>
        <v>375663.35999999999</v>
      </c>
      <c r="I1131" s="340">
        <v>408</v>
      </c>
      <c r="J1131" s="712">
        <f t="shared" si="45"/>
        <v>384</v>
      </c>
      <c r="K1131" s="685" t="str">
        <f>UPPER((TEXT(Tabla5[[#This Row],[FECHA]],"MMM")))</f>
        <v>AGO</v>
      </c>
      <c r="L1131" s="780">
        <f>YEAR(Tabla5[[#This Row],[FECHA]])</f>
        <v>2025</v>
      </c>
      <c r="M1131" s="441">
        <v>508</v>
      </c>
      <c r="N1131" s="441" t="s">
        <v>678</v>
      </c>
      <c r="O1131" s="441" t="s">
        <v>713</v>
      </c>
      <c r="P1131" s="441" t="s">
        <v>110</v>
      </c>
    </row>
    <row r="1132" spans="1:16" ht="13.8">
      <c r="A1132" s="778">
        <v>45893</v>
      </c>
      <c r="B1132" s="340" t="s">
        <v>277</v>
      </c>
      <c r="C1132" s="340" t="s">
        <v>264</v>
      </c>
      <c r="D1132" s="340" t="s">
        <v>694</v>
      </c>
      <c r="E1132" s="340">
        <v>96</v>
      </c>
      <c r="F1132" s="340">
        <v>16</v>
      </c>
      <c r="G1132" s="529">
        <v>978.29</v>
      </c>
      <c r="H1132" s="551">
        <f t="shared" si="44"/>
        <v>1502653.4399999999</v>
      </c>
      <c r="I1132" s="340">
        <v>1256</v>
      </c>
      <c r="J1132" s="712">
        <f t="shared" si="45"/>
        <v>1536</v>
      </c>
      <c r="K1132" s="685" t="str">
        <f>UPPER((TEXT(Tabla5[[#This Row],[FECHA]],"MMM")))</f>
        <v>AGO</v>
      </c>
      <c r="L1132" s="780">
        <f>YEAR(Tabla5[[#This Row],[FECHA]])</f>
        <v>2025</v>
      </c>
      <c r="M1132" s="441">
        <v>508</v>
      </c>
      <c r="N1132" s="441" t="s">
        <v>678</v>
      </c>
      <c r="O1132" s="441" t="s">
        <v>713</v>
      </c>
      <c r="P1132" s="441" t="s">
        <v>110</v>
      </c>
    </row>
    <row r="1133" spans="1:16" ht="13.8">
      <c r="A1133" s="778">
        <v>45894</v>
      </c>
      <c r="B1133" s="340" t="s">
        <v>272</v>
      </c>
      <c r="C1133" s="340" t="s">
        <v>273</v>
      </c>
      <c r="D1133" s="340" t="s">
        <v>260</v>
      </c>
      <c r="E1133" s="340">
        <v>58</v>
      </c>
      <c r="F1133" s="340">
        <v>4</v>
      </c>
      <c r="G1133" s="529">
        <v>978.29</v>
      </c>
      <c r="H1133" s="551">
        <f t="shared" si="44"/>
        <v>226963.28</v>
      </c>
      <c r="I1133" s="340">
        <v>215</v>
      </c>
      <c r="J1133" s="712">
        <f t="shared" si="45"/>
        <v>232</v>
      </c>
      <c r="K1133" s="685" t="str">
        <f>UPPER((TEXT(Tabla5[[#This Row],[FECHA]],"MMM")))</f>
        <v>AGO</v>
      </c>
      <c r="L1133" s="780">
        <f>YEAR(Tabla5[[#This Row],[FECHA]])</f>
        <v>2025</v>
      </c>
      <c r="M1133" s="441">
        <v>508</v>
      </c>
      <c r="N1133" s="441" t="s">
        <v>679</v>
      </c>
      <c r="O1133" s="441" t="s">
        <v>712</v>
      </c>
      <c r="P1133" s="441" t="s">
        <v>110</v>
      </c>
    </row>
    <row r="1134" spans="1:16" ht="13.8">
      <c r="A1134" s="778">
        <v>45894</v>
      </c>
      <c r="B1134" s="340" t="s">
        <v>287</v>
      </c>
      <c r="C1134" s="340" t="s">
        <v>290</v>
      </c>
      <c r="D1134" s="340" t="s">
        <v>897</v>
      </c>
      <c r="E1134" s="340">
        <v>76</v>
      </c>
      <c r="F1134" s="340">
        <v>10</v>
      </c>
      <c r="G1134" s="529">
        <v>978.29</v>
      </c>
      <c r="H1134" s="551">
        <f t="shared" si="44"/>
        <v>743500.4</v>
      </c>
      <c r="I1134" s="340">
        <v>1443</v>
      </c>
      <c r="J1134" s="712">
        <f t="shared" si="45"/>
        <v>760</v>
      </c>
      <c r="K1134" s="685" t="str">
        <f>UPPER((TEXT(Tabla5[[#This Row],[FECHA]],"MMM")))</f>
        <v>AGO</v>
      </c>
      <c r="L1134" s="780">
        <f>YEAR(Tabla5[[#This Row],[FECHA]])</f>
        <v>2025</v>
      </c>
      <c r="M1134" s="441">
        <v>508</v>
      </c>
      <c r="N1134" s="441" t="s">
        <v>676</v>
      </c>
      <c r="O1134" s="441" t="s">
        <v>712</v>
      </c>
      <c r="P1134" s="441" t="s">
        <v>110</v>
      </c>
    </row>
    <row r="1135" spans="1:16" ht="13.8">
      <c r="A1135" s="778">
        <v>45895</v>
      </c>
      <c r="B1135" s="340" t="s">
        <v>272</v>
      </c>
      <c r="C1135" s="340" t="s">
        <v>278</v>
      </c>
      <c r="D1135" s="340" t="s">
        <v>260</v>
      </c>
      <c r="E1135" s="340">
        <v>58</v>
      </c>
      <c r="F1135" s="340">
        <v>4</v>
      </c>
      <c r="G1135" s="529">
        <v>978.29</v>
      </c>
      <c r="H1135" s="551">
        <f t="shared" si="44"/>
        <v>226963.28</v>
      </c>
      <c r="I1135" s="340">
        <v>227</v>
      </c>
      <c r="J1135" s="712">
        <f t="shared" si="45"/>
        <v>232</v>
      </c>
      <c r="K1135" s="685" t="str">
        <f>UPPER((TEXT(Tabla5[[#This Row],[FECHA]],"MMM")))</f>
        <v>AGO</v>
      </c>
      <c r="L1135" s="780">
        <f>YEAR(Tabla5[[#This Row],[FECHA]])</f>
        <v>2025</v>
      </c>
      <c r="M1135" s="441">
        <v>508</v>
      </c>
      <c r="N1135" s="441" t="s">
        <v>679</v>
      </c>
      <c r="O1135" s="441" t="s">
        <v>712</v>
      </c>
      <c r="P1135" s="441" t="s">
        <v>110</v>
      </c>
    </row>
    <row r="1136" spans="1:16" ht="13.8">
      <c r="A1136" s="778">
        <v>45895</v>
      </c>
      <c r="B1136" s="340" t="s">
        <v>287</v>
      </c>
      <c r="C1136" s="340" t="s">
        <v>290</v>
      </c>
      <c r="D1136" s="340" t="s">
        <v>897</v>
      </c>
      <c r="E1136" s="340">
        <v>76</v>
      </c>
      <c r="F1136" s="340">
        <v>10</v>
      </c>
      <c r="G1136" s="529">
        <v>978.29</v>
      </c>
      <c r="H1136" s="551">
        <f t="shared" si="44"/>
        <v>743500.4</v>
      </c>
      <c r="I1136" s="340">
        <v>1462</v>
      </c>
      <c r="J1136" s="712">
        <f t="shared" si="45"/>
        <v>760</v>
      </c>
      <c r="K1136" s="685" t="str">
        <f>UPPER((TEXT(Tabla5[[#This Row],[FECHA]],"MMM")))</f>
        <v>AGO</v>
      </c>
      <c r="L1136" s="780">
        <f>YEAR(Tabla5[[#This Row],[FECHA]])</f>
        <v>2025</v>
      </c>
      <c r="M1136" s="441">
        <v>508</v>
      </c>
      <c r="N1136" s="441" t="s">
        <v>676</v>
      </c>
      <c r="O1136" s="441" t="s">
        <v>712</v>
      </c>
      <c r="P1136" s="441" t="s">
        <v>110</v>
      </c>
    </row>
    <row r="1137" spans="1:16" ht="13.8">
      <c r="A1137" s="778">
        <v>45895</v>
      </c>
      <c r="B1137" s="340" t="s">
        <v>291</v>
      </c>
      <c r="C1137" s="340" t="s">
        <v>280</v>
      </c>
      <c r="D1137" s="340" t="s">
        <v>260</v>
      </c>
      <c r="E1137" s="340">
        <v>58</v>
      </c>
      <c r="F1137" s="340">
        <v>4</v>
      </c>
      <c r="G1137" s="529">
        <v>978.29</v>
      </c>
      <c r="H1137" s="551">
        <f t="shared" si="44"/>
        <v>226963.28</v>
      </c>
      <c r="I1137" s="340">
        <v>484</v>
      </c>
      <c r="J1137" s="712">
        <f t="shared" si="45"/>
        <v>232</v>
      </c>
      <c r="K1137" s="685" t="str">
        <f>UPPER((TEXT(Tabla5[[#This Row],[FECHA]],"MMM")))</f>
        <v>AGO</v>
      </c>
      <c r="L1137" s="780">
        <f>YEAR(Tabla5[[#This Row],[FECHA]])</f>
        <v>2025</v>
      </c>
      <c r="M1137" s="441">
        <v>508</v>
      </c>
      <c r="N1137" s="441" t="s">
        <v>680</v>
      </c>
      <c r="O1137" s="441" t="s">
        <v>712</v>
      </c>
      <c r="P1137" s="441" t="s">
        <v>110</v>
      </c>
    </row>
    <row r="1138" spans="1:16" ht="13.8">
      <c r="A1138" s="778">
        <v>45896</v>
      </c>
      <c r="B1138" s="340" t="s">
        <v>272</v>
      </c>
      <c r="C1138" s="340" t="s">
        <v>278</v>
      </c>
      <c r="D1138" s="340" t="s">
        <v>260</v>
      </c>
      <c r="E1138" s="340">
        <v>58</v>
      </c>
      <c r="F1138" s="340">
        <v>4</v>
      </c>
      <c r="G1138" s="529">
        <v>978.29</v>
      </c>
      <c r="H1138" s="551">
        <f t="shared" si="44"/>
        <v>226963.28</v>
      </c>
      <c r="I1138" s="340">
        <v>235</v>
      </c>
      <c r="J1138" s="712">
        <f t="shared" si="45"/>
        <v>232</v>
      </c>
      <c r="K1138" s="685" t="str">
        <f>UPPER((TEXT(Tabla5[[#This Row],[FECHA]],"MMM")))</f>
        <v>AGO</v>
      </c>
      <c r="L1138" s="780">
        <f>YEAR(Tabla5[[#This Row],[FECHA]])</f>
        <v>2025</v>
      </c>
      <c r="M1138" s="441">
        <v>508</v>
      </c>
      <c r="N1138" s="441" t="s">
        <v>679</v>
      </c>
      <c r="O1138" s="441" t="s">
        <v>712</v>
      </c>
      <c r="P1138" s="441" t="s">
        <v>110</v>
      </c>
    </row>
    <row r="1139" spans="1:16" ht="13.8">
      <c r="A1139" s="778">
        <v>45896</v>
      </c>
      <c r="B1139" s="340" t="s">
        <v>287</v>
      </c>
      <c r="C1139" s="340" t="s">
        <v>290</v>
      </c>
      <c r="D1139" s="340" t="s">
        <v>897</v>
      </c>
      <c r="E1139" s="340">
        <v>76</v>
      </c>
      <c r="F1139" s="340">
        <v>10</v>
      </c>
      <c r="G1139" s="529">
        <v>978.29</v>
      </c>
      <c r="H1139" s="551">
        <f t="shared" si="44"/>
        <v>743500.4</v>
      </c>
      <c r="I1139" s="340">
        <v>1180</v>
      </c>
      <c r="J1139" s="712">
        <f t="shared" si="45"/>
        <v>760</v>
      </c>
      <c r="K1139" s="685" t="str">
        <f>UPPER((TEXT(Tabla5[[#This Row],[FECHA]],"MMM")))</f>
        <v>AGO</v>
      </c>
      <c r="L1139" s="780">
        <f>YEAR(Tabla5[[#This Row],[FECHA]])</f>
        <v>2025</v>
      </c>
      <c r="M1139" s="441">
        <v>508</v>
      </c>
      <c r="N1139" s="441" t="s">
        <v>676</v>
      </c>
      <c r="O1139" s="441" t="s">
        <v>712</v>
      </c>
      <c r="P1139" s="441" t="s">
        <v>110</v>
      </c>
    </row>
    <row r="1140" spans="1:16" ht="13.8">
      <c r="A1140" s="778">
        <v>45896</v>
      </c>
      <c r="B1140" s="340" t="s">
        <v>284</v>
      </c>
      <c r="C1140" s="340" t="s">
        <v>285</v>
      </c>
      <c r="D1140" s="340" t="s">
        <v>260</v>
      </c>
      <c r="E1140" s="340">
        <v>58</v>
      </c>
      <c r="F1140" s="340">
        <v>5</v>
      </c>
      <c r="G1140" s="529">
        <v>978.29</v>
      </c>
      <c r="H1140" s="551">
        <f t="shared" si="44"/>
        <v>283704.09999999998</v>
      </c>
      <c r="I1140" s="340">
        <v>533</v>
      </c>
      <c r="J1140" s="712">
        <f t="shared" si="45"/>
        <v>290</v>
      </c>
      <c r="K1140" s="685" t="str">
        <f>UPPER((TEXT(Tabla5[[#This Row],[FECHA]],"MMM")))</f>
        <v>AGO</v>
      </c>
      <c r="L1140" s="780">
        <f>YEAR(Tabla5[[#This Row],[FECHA]])</f>
        <v>2025</v>
      </c>
      <c r="M1140" s="441">
        <v>508</v>
      </c>
      <c r="N1140" s="441" t="s">
        <v>680</v>
      </c>
      <c r="O1140" s="441" t="s">
        <v>712</v>
      </c>
      <c r="P1140" s="441" t="s">
        <v>110</v>
      </c>
    </row>
    <row r="1141" spans="1:16" ht="13.8">
      <c r="A1141" s="778">
        <v>45897</v>
      </c>
      <c r="B1141" s="340" t="s">
        <v>272</v>
      </c>
      <c r="C1141" s="340" t="s">
        <v>278</v>
      </c>
      <c r="D1141" s="340" t="s">
        <v>260</v>
      </c>
      <c r="E1141" s="340">
        <v>58</v>
      </c>
      <c r="F1141" s="340">
        <v>4</v>
      </c>
      <c r="G1141" s="529">
        <v>978.29</v>
      </c>
      <c r="H1141" s="551">
        <f t="shared" si="44"/>
        <v>226963.28</v>
      </c>
      <c r="I1141" s="340">
        <v>218</v>
      </c>
      <c r="J1141" s="712">
        <f t="shared" si="45"/>
        <v>232</v>
      </c>
      <c r="K1141" s="685" t="str">
        <f>UPPER((TEXT(Tabla5[[#This Row],[FECHA]],"MMM")))</f>
        <v>AGO</v>
      </c>
      <c r="L1141" s="780">
        <f>YEAR(Tabla5[[#This Row],[FECHA]])</f>
        <v>2025</v>
      </c>
      <c r="M1141" s="441">
        <v>508</v>
      </c>
      <c r="N1141" s="441" t="s">
        <v>679</v>
      </c>
      <c r="O1141" s="441" t="s">
        <v>712</v>
      </c>
      <c r="P1141" s="441" t="s">
        <v>110</v>
      </c>
    </row>
    <row r="1142" spans="1:16" ht="13.8">
      <c r="A1142" s="778">
        <v>45897</v>
      </c>
      <c r="B1142" s="340" t="s">
        <v>287</v>
      </c>
      <c r="C1142" s="340" t="s">
        <v>290</v>
      </c>
      <c r="D1142" s="340" t="s">
        <v>897</v>
      </c>
      <c r="E1142" s="340">
        <v>76</v>
      </c>
      <c r="F1142" s="340">
        <v>9</v>
      </c>
      <c r="G1142" s="529">
        <v>978.29</v>
      </c>
      <c r="H1142" s="551">
        <f t="shared" si="44"/>
        <v>669150.36</v>
      </c>
      <c r="I1142" s="340">
        <v>960</v>
      </c>
      <c r="J1142" s="712">
        <f t="shared" si="45"/>
        <v>684</v>
      </c>
      <c r="K1142" s="685" t="str">
        <f>UPPER((TEXT(Tabla5[[#This Row],[FECHA]],"MMM")))</f>
        <v>AGO</v>
      </c>
      <c r="L1142" s="780">
        <f>YEAR(Tabla5[[#This Row],[FECHA]])</f>
        <v>2025</v>
      </c>
      <c r="M1142" s="441">
        <v>508</v>
      </c>
      <c r="N1142" s="441" t="s">
        <v>676</v>
      </c>
      <c r="O1142" s="441" t="s">
        <v>712</v>
      </c>
      <c r="P1142" s="441" t="s">
        <v>110</v>
      </c>
    </row>
    <row r="1143" spans="1:16" ht="13.8">
      <c r="A1143" s="778">
        <v>45897</v>
      </c>
      <c r="B1143" s="340" t="s">
        <v>291</v>
      </c>
      <c r="C1143" s="340" t="s">
        <v>280</v>
      </c>
      <c r="D1143" s="340" t="s">
        <v>260</v>
      </c>
      <c r="E1143" s="340">
        <v>58</v>
      </c>
      <c r="F1143" s="340">
        <v>4</v>
      </c>
      <c r="G1143" s="529">
        <v>978.29</v>
      </c>
      <c r="H1143" s="551">
        <f t="shared" ref="H1143:H1148" si="46">E1143*F1143*G1143</f>
        <v>226963.28</v>
      </c>
      <c r="I1143" s="340">
        <v>392</v>
      </c>
      <c r="J1143" s="712">
        <f t="shared" ref="J1143:J1148" si="47">E1143*F1143</f>
        <v>232</v>
      </c>
      <c r="K1143" s="685" t="str">
        <f>UPPER((TEXT(Tabla5[[#This Row],[FECHA]],"MMM")))</f>
        <v>AGO</v>
      </c>
      <c r="L1143" s="780">
        <f>YEAR(Tabla5[[#This Row],[FECHA]])</f>
        <v>2025</v>
      </c>
      <c r="M1143" s="441">
        <v>508</v>
      </c>
      <c r="N1143" s="441" t="s">
        <v>680</v>
      </c>
      <c r="O1143" s="441" t="s">
        <v>712</v>
      </c>
      <c r="P1143" s="441" t="s">
        <v>110</v>
      </c>
    </row>
    <row r="1144" spans="1:16" ht="13.8">
      <c r="A1144" s="778">
        <v>45898</v>
      </c>
      <c r="B1144" s="340" t="s">
        <v>272</v>
      </c>
      <c r="C1144" s="340" t="s">
        <v>278</v>
      </c>
      <c r="D1144" s="340" t="s">
        <v>260</v>
      </c>
      <c r="E1144" s="340">
        <v>58</v>
      </c>
      <c r="F1144" s="340">
        <v>4</v>
      </c>
      <c r="G1144" s="529">
        <v>978.29</v>
      </c>
      <c r="H1144" s="551">
        <f t="shared" si="46"/>
        <v>226963.28</v>
      </c>
      <c r="I1144" s="340">
        <v>172</v>
      </c>
      <c r="J1144" s="712">
        <f t="shared" si="47"/>
        <v>232</v>
      </c>
      <c r="K1144" s="685" t="str">
        <f>UPPER((TEXT(Tabla5[[#This Row],[FECHA]],"MMM")))</f>
        <v>AGO</v>
      </c>
      <c r="L1144" s="780">
        <f>YEAR(Tabla5[[#This Row],[FECHA]])</f>
        <v>2025</v>
      </c>
      <c r="M1144" s="441">
        <v>508</v>
      </c>
      <c r="N1144" s="441" t="s">
        <v>679</v>
      </c>
      <c r="O1144" s="441" t="s">
        <v>712</v>
      </c>
      <c r="P1144" s="441" t="s">
        <v>110</v>
      </c>
    </row>
    <row r="1145" spans="1:16" ht="13.8">
      <c r="A1145" s="778">
        <v>45898</v>
      </c>
      <c r="B1145" s="340" t="s">
        <v>287</v>
      </c>
      <c r="C1145" s="340" t="s">
        <v>290</v>
      </c>
      <c r="D1145" s="340" t="s">
        <v>897</v>
      </c>
      <c r="E1145" s="340">
        <v>76</v>
      </c>
      <c r="F1145" s="340">
        <v>9</v>
      </c>
      <c r="G1145" s="529">
        <v>978.29</v>
      </c>
      <c r="H1145" s="551">
        <f t="shared" si="46"/>
        <v>669150.36</v>
      </c>
      <c r="I1145" s="340">
        <v>1325</v>
      </c>
      <c r="J1145" s="712">
        <f t="shared" si="47"/>
        <v>684</v>
      </c>
      <c r="K1145" s="685" t="str">
        <f>UPPER((TEXT(Tabla5[[#This Row],[FECHA]],"MMM")))</f>
        <v>AGO</v>
      </c>
      <c r="L1145" s="780">
        <f>YEAR(Tabla5[[#This Row],[FECHA]])</f>
        <v>2025</v>
      </c>
      <c r="M1145" s="441">
        <v>508</v>
      </c>
      <c r="N1145" s="441" t="s">
        <v>676</v>
      </c>
      <c r="O1145" s="441" t="s">
        <v>712</v>
      </c>
      <c r="P1145" s="441" t="s">
        <v>110</v>
      </c>
    </row>
    <row r="1146" spans="1:16" ht="13.8">
      <c r="A1146" s="778">
        <v>45898</v>
      </c>
      <c r="B1146" s="340" t="s">
        <v>291</v>
      </c>
      <c r="C1146" s="340" t="s">
        <v>280</v>
      </c>
      <c r="D1146" s="340" t="s">
        <v>260</v>
      </c>
      <c r="E1146" s="340">
        <v>58</v>
      </c>
      <c r="F1146" s="340">
        <v>4</v>
      </c>
      <c r="G1146" s="529">
        <v>978.29</v>
      </c>
      <c r="H1146" s="551">
        <f t="shared" si="46"/>
        <v>226963.28</v>
      </c>
      <c r="I1146" s="340">
        <v>473</v>
      </c>
      <c r="J1146" s="712">
        <f t="shared" si="47"/>
        <v>232</v>
      </c>
      <c r="K1146" s="685" t="str">
        <f>UPPER((TEXT(Tabla5[[#This Row],[FECHA]],"MMM")))</f>
        <v>AGO</v>
      </c>
      <c r="L1146" s="780">
        <f>YEAR(Tabla5[[#This Row],[FECHA]])</f>
        <v>2025</v>
      </c>
      <c r="M1146" s="441">
        <v>508</v>
      </c>
      <c r="N1146" s="441" t="s">
        <v>680</v>
      </c>
      <c r="O1146" s="441" t="s">
        <v>712</v>
      </c>
      <c r="P1146" s="441" t="s">
        <v>110</v>
      </c>
    </row>
    <row r="1147" spans="1:16" ht="13.8">
      <c r="A1147" s="778">
        <v>45899</v>
      </c>
      <c r="B1147" s="340" t="s">
        <v>269</v>
      </c>
      <c r="C1147" s="340" t="s">
        <v>357</v>
      </c>
      <c r="D1147" s="340" t="s">
        <v>897</v>
      </c>
      <c r="E1147" s="340">
        <v>76</v>
      </c>
      <c r="F1147" s="340">
        <v>3</v>
      </c>
      <c r="G1147" s="529">
        <v>978.29</v>
      </c>
      <c r="H1147" s="551">
        <f t="shared" si="46"/>
        <v>223050.12</v>
      </c>
      <c r="I1147" s="340">
        <v>475</v>
      </c>
      <c r="J1147" s="712">
        <f t="shared" si="47"/>
        <v>228</v>
      </c>
      <c r="K1147" s="685" t="str">
        <f>UPPER((TEXT(Tabla5[[#This Row],[FECHA]],"MMM")))</f>
        <v>AGO</v>
      </c>
      <c r="L1147" s="780">
        <f>YEAR(Tabla5[[#This Row],[FECHA]])</f>
        <v>2025</v>
      </c>
      <c r="M1147" s="441">
        <v>508</v>
      </c>
      <c r="N1147" s="441" t="s">
        <v>676</v>
      </c>
      <c r="O1147" s="441" t="s">
        <v>712</v>
      </c>
      <c r="P1147" s="441" t="s">
        <v>110</v>
      </c>
    </row>
    <row r="1148" spans="1:16" ht="13.8">
      <c r="A1148" s="778">
        <v>45899</v>
      </c>
      <c r="B1148" s="340" t="s">
        <v>263</v>
      </c>
      <c r="C1148" s="340" t="s">
        <v>283</v>
      </c>
      <c r="D1148" s="340" t="s">
        <v>694</v>
      </c>
      <c r="E1148" s="340">
        <v>96</v>
      </c>
      <c r="F1148" s="340">
        <v>13</v>
      </c>
      <c r="G1148" s="529">
        <v>978.29</v>
      </c>
      <c r="H1148" s="551">
        <f t="shared" si="46"/>
        <v>1220905.92</v>
      </c>
      <c r="I1148" s="340">
        <v>974</v>
      </c>
      <c r="J1148" s="712">
        <f t="shared" si="47"/>
        <v>1248</v>
      </c>
      <c r="K1148" s="685" t="str">
        <f>UPPER((TEXT(Tabla5[[#This Row],[FECHA]],"MMM")))</f>
        <v>AGO</v>
      </c>
      <c r="L1148" s="780">
        <f>YEAR(Tabla5[[#This Row],[FECHA]])</f>
        <v>2025</v>
      </c>
      <c r="M1148" s="441">
        <v>508</v>
      </c>
      <c r="N1148" s="441" t="s">
        <v>678</v>
      </c>
      <c r="O1148" s="441" t="s">
        <v>713</v>
      </c>
      <c r="P1148" s="441" t="s">
        <v>110</v>
      </c>
    </row>
    <row r="1149" spans="1:16" ht="13.8">
      <c r="A1149" s="1046">
        <v>45900</v>
      </c>
      <c r="B1149" s="779" t="s">
        <v>253</v>
      </c>
      <c r="C1149" s="779" t="s">
        <v>258</v>
      </c>
      <c r="D1149" s="779" t="s">
        <v>694</v>
      </c>
      <c r="E1149" s="779">
        <v>96</v>
      </c>
      <c r="F1149" s="779">
        <v>15</v>
      </c>
      <c r="G1149" s="1047">
        <v>978.29</v>
      </c>
      <c r="H1149" s="1048">
        <v>1408737.6</v>
      </c>
      <c r="I1149" s="779">
        <v>1132</v>
      </c>
      <c r="J1149" s="712">
        <f>E1149*F1149</f>
        <v>1440</v>
      </c>
      <c r="K1149" s="685" t="str">
        <f>UPPER((TEXT(Tabla5[[#This Row],[FECHA]],"MMM")))</f>
        <v>AGO</v>
      </c>
      <c r="L1149" s="780">
        <f>YEAR(Tabla5[[#This Row],[FECHA]])</f>
        <v>2025</v>
      </c>
      <c r="M1149" s="441">
        <v>508</v>
      </c>
      <c r="N1149" s="441" t="s">
        <v>678</v>
      </c>
      <c r="O1149" s="441" t="s">
        <v>713</v>
      </c>
      <c r="P1149" s="441" t="s">
        <v>110</v>
      </c>
    </row>
    <row r="1150" spans="1:16" ht="13.8">
      <c r="A1150" s="531">
        <v>45886</v>
      </c>
      <c r="B1150" s="340" t="s">
        <v>900</v>
      </c>
      <c r="C1150" s="340" t="s">
        <v>904</v>
      </c>
      <c r="D1150" s="753" t="s">
        <v>942</v>
      </c>
      <c r="E1150" s="340">
        <v>12</v>
      </c>
      <c r="F1150" s="340">
        <v>4</v>
      </c>
      <c r="G1150" s="529">
        <v>978.29</v>
      </c>
      <c r="H1150" s="529">
        <f t="shared" ref="H1150:H1151" si="48">E1150*F1150*G1150</f>
        <v>46957.919999999998</v>
      </c>
      <c r="I1150" s="340">
        <v>120</v>
      </c>
      <c r="J1150" s="441">
        <f>E1150*F1150</f>
        <v>48</v>
      </c>
      <c r="K1150" s="685" t="str">
        <f>UPPER((TEXT(Tabla5[[#This Row],[FECHA]],"MMM")))</f>
        <v>AGO</v>
      </c>
      <c r="L1150" s="1049">
        <f>YEAR(Tabla5[[#This Row],[FECHA]])</f>
        <v>2025</v>
      </c>
      <c r="M1150" s="441">
        <v>509</v>
      </c>
      <c r="N1150" s="441" t="s">
        <v>678</v>
      </c>
      <c r="O1150" s="441" t="s">
        <v>678</v>
      </c>
      <c r="P1150" s="441" t="s">
        <v>909</v>
      </c>
    </row>
    <row r="1151" spans="1:16" ht="13.8">
      <c r="A1151" s="531">
        <v>45886</v>
      </c>
      <c r="B1151" s="340" t="s">
        <v>901</v>
      </c>
      <c r="C1151" s="340" t="s">
        <v>943</v>
      </c>
      <c r="D1151" s="753" t="s">
        <v>942</v>
      </c>
      <c r="E1151" s="340">
        <v>12</v>
      </c>
      <c r="F1151" s="340">
        <v>4</v>
      </c>
      <c r="G1151" s="529">
        <v>978.29</v>
      </c>
      <c r="H1151" s="529">
        <f t="shared" si="48"/>
        <v>46957.919999999998</v>
      </c>
      <c r="I1151" s="340">
        <v>120</v>
      </c>
      <c r="J1151" s="441">
        <f>E1151*F1151</f>
        <v>48</v>
      </c>
      <c r="K1151" s="685" t="str">
        <f>UPPER((TEXT(Tabla5[[#This Row],[FECHA]],"MMM")))</f>
        <v>AGO</v>
      </c>
      <c r="L1151" s="1049">
        <f>YEAR(Tabla5[[#This Row],[FECHA]])</f>
        <v>2025</v>
      </c>
      <c r="M1151" s="441">
        <v>509</v>
      </c>
      <c r="N1151" s="441" t="s">
        <v>678</v>
      </c>
      <c r="O1151" s="441" t="s">
        <v>678</v>
      </c>
      <c r="P1151" s="441" t="s">
        <v>909</v>
      </c>
    </row>
    <row r="1152" spans="1:16">
      <c r="A1152" s="387">
        <v>45901</v>
      </c>
      <c r="B1152" s="340" t="s">
        <v>272</v>
      </c>
      <c r="C1152" s="340" t="s">
        <v>278</v>
      </c>
      <c r="D1152" s="340" t="s">
        <v>260</v>
      </c>
      <c r="E1152" s="340">
        <v>58</v>
      </c>
      <c r="F1152" s="340">
        <v>4</v>
      </c>
      <c r="G1152" s="340">
        <v>978.29</v>
      </c>
      <c r="H1152" s="1072">
        <v>226963.28</v>
      </c>
      <c r="I1152" s="340">
        <v>202</v>
      </c>
      <c r="J1152" s="441">
        <v>232</v>
      </c>
      <c r="K1152" s="685" t="str">
        <f>UPPER((TEXT(Tabla5[[#This Row],[FECHA]],"MMM")))</f>
        <v>SEP</v>
      </c>
      <c r="L1152" s="1049">
        <f>YEAR(Tabla5[[#This Row],[FECHA]])</f>
        <v>2025</v>
      </c>
      <c r="M1152" s="441">
        <v>526</v>
      </c>
      <c r="N1152" s="441" t="s">
        <v>679</v>
      </c>
      <c r="O1152" s="441" t="s">
        <v>712</v>
      </c>
      <c r="P1152" s="441" t="s">
        <v>110</v>
      </c>
    </row>
    <row r="1153" spans="1:16">
      <c r="A1153" s="387">
        <v>45901</v>
      </c>
      <c r="B1153" s="340" t="s">
        <v>277</v>
      </c>
      <c r="C1153" s="340" t="s">
        <v>264</v>
      </c>
      <c r="D1153" s="340" t="s">
        <v>897</v>
      </c>
      <c r="E1153" s="340">
        <v>76</v>
      </c>
      <c r="F1153" s="340">
        <v>9</v>
      </c>
      <c r="G1153" s="340">
        <v>978.29</v>
      </c>
      <c r="H1153" s="1072">
        <v>669150.36</v>
      </c>
      <c r="I1153" s="340">
        <v>1256</v>
      </c>
      <c r="J1153" s="441">
        <v>684</v>
      </c>
      <c r="K1153" s="685" t="str">
        <f>UPPER((TEXT(Tabla5[[#This Row],[FECHA]],"MMM")))</f>
        <v>SEP</v>
      </c>
      <c r="L1153" s="1049">
        <f>YEAR(Tabla5[[#This Row],[FECHA]])</f>
        <v>2025</v>
      </c>
      <c r="M1153" s="441">
        <v>526</v>
      </c>
      <c r="N1153" s="441" t="s">
        <v>676</v>
      </c>
      <c r="O1153" s="441" t="s">
        <v>712</v>
      </c>
      <c r="P1153" s="441" t="s">
        <v>110</v>
      </c>
    </row>
    <row r="1154" spans="1:16">
      <c r="A1154" s="387">
        <v>45902</v>
      </c>
      <c r="B1154" s="340" t="s">
        <v>272</v>
      </c>
      <c r="C1154" s="340" t="s">
        <v>278</v>
      </c>
      <c r="D1154" s="340" t="s">
        <v>260</v>
      </c>
      <c r="E1154" s="340">
        <v>58</v>
      </c>
      <c r="F1154" s="340">
        <v>4</v>
      </c>
      <c r="G1154" s="340">
        <v>978.29</v>
      </c>
      <c r="H1154" s="1072">
        <v>226963.28</v>
      </c>
      <c r="I1154" s="340">
        <v>220</v>
      </c>
      <c r="J1154" s="441">
        <v>232</v>
      </c>
      <c r="K1154" s="685" t="str">
        <f>UPPER((TEXT(Tabla5[[#This Row],[FECHA]],"MMM")))</f>
        <v>SEP</v>
      </c>
      <c r="L1154" s="1049">
        <f>YEAR(Tabla5[[#This Row],[FECHA]])</f>
        <v>2025</v>
      </c>
      <c r="M1154" s="441">
        <v>526</v>
      </c>
      <c r="N1154" s="441" t="s">
        <v>679</v>
      </c>
      <c r="O1154" s="441" t="s">
        <v>712</v>
      </c>
      <c r="P1154" s="441" t="s">
        <v>110</v>
      </c>
    </row>
    <row r="1155" spans="1:16">
      <c r="A1155" s="387">
        <v>45902</v>
      </c>
      <c r="B1155" s="340" t="s">
        <v>287</v>
      </c>
      <c r="C1155" s="340" t="s">
        <v>290</v>
      </c>
      <c r="D1155" s="340" t="s">
        <v>897</v>
      </c>
      <c r="E1155" s="340">
        <v>76</v>
      </c>
      <c r="F1155" s="340">
        <v>9</v>
      </c>
      <c r="G1155" s="340">
        <v>978.29</v>
      </c>
      <c r="H1155" s="1072">
        <v>669150.36</v>
      </c>
      <c r="I1155" s="340">
        <v>1276</v>
      </c>
      <c r="J1155" s="441">
        <v>684</v>
      </c>
      <c r="K1155" s="685" t="str">
        <f>UPPER((TEXT(Tabla5[[#This Row],[FECHA]],"MMM")))</f>
        <v>SEP</v>
      </c>
      <c r="L1155" s="1049">
        <f>YEAR(Tabla5[[#This Row],[FECHA]])</f>
        <v>2025</v>
      </c>
      <c r="M1155" s="441">
        <v>526</v>
      </c>
      <c r="N1155" s="441" t="s">
        <v>676</v>
      </c>
      <c r="O1155" s="441" t="s">
        <v>712</v>
      </c>
      <c r="P1155" s="441" t="s">
        <v>110</v>
      </c>
    </row>
    <row r="1156" spans="1:16">
      <c r="A1156" s="387">
        <v>45902</v>
      </c>
      <c r="B1156" s="340" t="s">
        <v>291</v>
      </c>
      <c r="C1156" s="340" t="s">
        <v>280</v>
      </c>
      <c r="D1156" s="340" t="s">
        <v>260</v>
      </c>
      <c r="E1156" s="340">
        <v>58</v>
      </c>
      <c r="F1156" s="340">
        <v>4</v>
      </c>
      <c r="G1156" s="340">
        <v>978.29</v>
      </c>
      <c r="H1156" s="1072">
        <v>226963.28</v>
      </c>
      <c r="I1156" s="340">
        <v>405</v>
      </c>
      <c r="J1156" s="441">
        <v>232</v>
      </c>
      <c r="K1156" s="685" t="str">
        <f>UPPER((TEXT(Tabla5[[#This Row],[FECHA]],"MMM")))</f>
        <v>SEP</v>
      </c>
      <c r="L1156" s="1049">
        <f>YEAR(Tabla5[[#This Row],[FECHA]])</f>
        <v>2025</v>
      </c>
      <c r="M1156" s="441">
        <v>526</v>
      </c>
      <c r="N1156" s="441" t="s">
        <v>680</v>
      </c>
      <c r="O1156" s="441" t="s">
        <v>712</v>
      </c>
      <c r="P1156" s="441" t="s">
        <v>110</v>
      </c>
    </row>
    <row r="1157" spans="1:16">
      <c r="A1157" s="387">
        <v>45903</v>
      </c>
      <c r="B1157" s="340" t="s">
        <v>272</v>
      </c>
      <c r="C1157" s="340" t="s">
        <v>278</v>
      </c>
      <c r="D1157" s="340" t="s">
        <v>260</v>
      </c>
      <c r="E1157" s="340">
        <v>58</v>
      </c>
      <c r="F1157" s="340">
        <v>4</v>
      </c>
      <c r="G1157" s="340">
        <v>978.29</v>
      </c>
      <c r="H1157" s="1072">
        <v>226963.28</v>
      </c>
      <c r="I1157" s="340">
        <v>239</v>
      </c>
      <c r="J1157" s="441">
        <v>232</v>
      </c>
      <c r="K1157" s="685" t="str">
        <f>UPPER((TEXT(Tabla5[[#This Row],[FECHA]],"MMM")))</f>
        <v>SEP</v>
      </c>
      <c r="L1157" s="1049">
        <f>YEAR(Tabla5[[#This Row],[FECHA]])</f>
        <v>2025</v>
      </c>
      <c r="M1157" s="441">
        <v>526</v>
      </c>
      <c r="N1157" s="441" t="s">
        <v>679</v>
      </c>
      <c r="O1157" s="441" t="s">
        <v>712</v>
      </c>
      <c r="P1157" s="441" t="s">
        <v>110</v>
      </c>
    </row>
    <row r="1158" spans="1:16">
      <c r="A1158" s="387">
        <v>45903</v>
      </c>
      <c r="B1158" s="340" t="s">
        <v>287</v>
      </c>
      <c r="C1158" s="340" t="s">
        <v>290</v>
      </c>
      <c r="D1158" s="340" t="s">
        <v>897</v>
      </c>
      <c r="E1158" s="340">
        <v>76</v>
      </c>
      <c r="F1158" s="340">
        <v>9</v>
      </c>
      <c r="G1158" s="340">
        <v>978.29</v>
      </c>
      <c r="H1158" s="1072">
        <v>669150.36</v>
      </c>
      <c r="I1158" s="340">
        <v>1167</v>
      </c>
      <c r="J1158" s="441">
        <v>684</v>
      </c>
      <c r="K1158" s="685" t="str">
        <f>UPPER((TEXT(Tabla5[[#This Row],[FECHA]],"MMM")))</f>
        <v>SEP</v>
      </c>
      <c r="L1158" s="1049">
        <f>YEAR(Tabla5[[#This Row],[FECHA]])</f>
        <v>2025</v>
      </c>
      <c r="M1158" s="441">
        <v>526</v>
      </c>
      <c r="N1158" s="441" t="s">
        <v>676</v>
      </c>
      <c r="O1158" s="441" t="s">
        <v>712</v>
      </c>
      <c r="P1158" s="441" t="s">
        <v>110</v>
      </c>
    </row>
    <row r="1159" spans="1:16">
      <c r="A1159" s="387">
        <v>45903</v>
      </c>
      <c r="B1159" s="340" t="s">
        <v>267</v>
      </c>
      <c r="C1159" s="340" t="s">
        <v>268</v>
      </c>
      <c r="D1159" s="340" t="s">
        <v>260</v>
      </c>
      <c r="E1159" s="340">
        <v>58</v>
      </c>
      <c r="F1159" s="340">
        <v>5</v>
      </c>
      <c r="G1159" s="340">
        <v>978.29</v>
      </c>
      <c r="H1159" s="1072">
        <v>283704.09999999998</v>
      </c>
      <c r="I1159" s="340">
        <v>512</v>
      </c>
      <c r="J1159" s="441">
        <v>290</v>
      </c>
      <c r="K1159" s="685" t="str">
        <f>UPPER((TEXT(Tabla5[[#This Row],[FECHA]],"MMM")))</f>
        <v>SEP</v>
      </c>
      <c r="L1159" s="1049">
        <f>YEAR(Tabla5[[#This Row],[FECHA]])</f>
        <v>2025</v>
      </c>
      <c r="M1159" s="441">
        <v>526</v>
      </c>
      <c r="N1159" s="441" t="s">
        <v>680</v>
      </c>
      <c r="O1159" s="441" t="s">
        <v>712</v>
      </c>
      <c r="P1159" s="441" t="s">
        <v>110</v>
      </c>
    </row>
    <row r="1160" spans="1:16">
      <c r="A1160" s="387">
        <v>45904</v>
      </c>
      <c r="B1160" s="340" t="s">
        <v>272</v>
      </c>
      <c r="C1160" s="340" t="s">
        <v>278</v>
      </c>
      <c r="D1160" s="340" t="s">
        <v>260</v>
      </c>
      <c r="E1160" s="340">
        <v>58</v>
      </c>
      <c r="F1160" s="340">
        <v>4</v>
      </c>
      <c r="G1160" s="340">
        <v>978.29</v>
      </c>
      <c r="H1160" s="1072">
        <v>226963.28</v>
      </c>
      <c r="I1160" s="340">
        <v>203</v>
      </c>
      <c r="J1160" s="441">
        <v>232</v>
      </c>
      <c r="K1160" s="685" t="str">
        <f>UPPER((TEXT(Tabla5[[#This Row],[FECHA]],"MMM")))</f>
        <v>SEP</v>
      </c>
      <c r="L1160" s="1049">
        <f>YEAR(Tabla5[[#This Row],[FECHA]])</f>
        <v>2025</v>
      </c>
      <c r="M1160" s="441">
        <v>526</v>
      </c>
      <c r="N1160" s="441" t="s">
        <v>679</v>
      </c>
      <c r="O1160" s="441" t="s">
        <v>712</v>
      </c>
      <c r="P1160" s="441" t="s">
        <v>110</v>
      </c>
    </row>
    <row r="1161" spans="1:16">
      <c r="A1161" s="387">
        <v>45904</v>
      </c>
      <c r="B1161" s="340" t="s">
        <v>287</v>
      </c>
      <c r="C1161" s="340" t="s">
        <v>290</v>
      </c>
      <c r="D1161" s="340" t="s">
        <v>897</v>
      </c>
      <c r="E1161" s="340">
        <v>76</v>
      </c>
      <c r="F1161" s="340">
        <v>9</v>
      </c>
      <c r="G1161" s="340">
        <v>978.29</v>
      </c>
      <c r="H1161" s="1072">
        <v>669150.36</v>
      </c>
      <c r="I1161" s="340">
        <v>954</v>
      </c>
      <c r="J1161" s="441">
        <v>684</v>
      </c>
      <c r="K1161" s="685" t="str">
        <f>UPPER((TEXT(Tabla5[[#This Row],[FECHA]],"MMM")))</f>
        <v>SEP</v>
      </c>
      <c r="L1161" s="1049">
        <f>YEAR(Tabla5[[#This Row],[FECHA]])</f>
        <v>2025</v>
      </c>
      <c r="M1161" s="441">
        <v>526</v>
      </c>
      <c r="N1161" s="441" t="s">
        <v>676</v>
      </c>
      <c r="O1161" s="441" t="s">
        <v>712</v>
      </c>
      <c r="P1161" s="441" t="s">
        <v>110</v>
      </c>
    </row>
    <row r="1162" spans="1:16">
      <c r="A1162" s="387">
        <v>45904</v>
      </c>
      <c r="B1162" s="340" t="s">
        <v>291</v>
      </c>
      <c r="C1162" s="340" t="s">
        <v>280</v>
      </c>
      <c r="D1162" s="340" t="s">
        <v>260</v>
      </c>
      <c r="E1162" s="340">
        <v>58</v>
      </c>
      <c r="F1162" s="340">
        <v>4</v>
      </c>
      <c r="G1162" s="340">
        <v>978.29</v>
      </c>
      <c r="H1162" s="1072">
        <v>226963.28</v>
      </c>
      <c r="I1162" s="340">
        <v>475</v>
      </c>
      <c r="J1162" s="441">
        <v>232</v>
      </c>
      <c r="K1162" s="685" t="str">
        <f>UPPER((TEXT(Tabla5[[#This Row],[FECHA]],"MMM")))</f>
        <v>SEP</v>
      </c>
      <c r="L1162" s="1049">
        <f>YEAR(Tabla5[[#This Row],[FECHA]])</f>
        <v>2025</v>
      </c>
      <c r="M1162" s="441">
        <v>526</v>
      </c>
      <c r="N1162" s="441" t="s">
        <v>680</v>
      </c>
      <c r="O1162" s="441" t="s">
        <v>712</v>
      </c>
      <c r="P1162" s="441" t="s">
        <v>110</v>
      </c>
    </row>
    <row r="1163" spans="1:16">
      <c r="A1163" s="387">
        <v>45905</v>
      </c>
      <c r="B1163" s="340" t="s">
        <v>272</v>
      </c>
      <c r="C1163" s="340" t="s">
        <v>278</v>
      </c>
      <c r="D1163" s="340" t="s">
        <v>260</v>
      </c>
      <c r="E1163" s="340">
        <v>58</v>
      </c>
      <c r="F1163" s="340">
        <v>4</v>
      </c>
      <c r="G1163" s="340">
        <v>978.29</v>
      </c>
      <c r="H1163" s="1072">
        <v>226963.28</v>
      </c>
      <c r="I1163" s="340">
        <v>197</v>
      </c>
      <c r="J1163" s="441">
        <v>232</v>
      </c>
      <c r="K1163" s="685" t="str">
        <f>UPPER((TEXT(Tabla5[[#This Row],[FECHA]],"MMM")))</f>
        <v>SEP</v>
      </c>
      <c r="L1163" s="1049">
        <f>YEAR(Tabla5[[#This Row],[FECHA]])</f>
        <v>2025</v>
      </c>
      <c r="M1163" s="441">
        <v>526</v>
      </c>
      <c r="N1163" s="441" t="s">
        <v>679</v>
      </c>
      <c r="O1163" s="441" t="s">
        <v>712</v>
      </c>
      <c r="P1163" s="441" t="s">
        <v>110</v>
      </c>
    </row>
    <row r="1164" spans="1:16">
      <c r="A1164" s="387">
        <v>45905</v>
      </c>
      <c r="B1164" s="340" t="s">
        <v>287</v>
      </c>
      <c r="C1164" s="340" t="s">
        <v>290</v>
      </c>
      <c r="D1164" s="340" t="s">
        <v>897</v>
      </c>
      <c r="E1164" s="340">
        <v>76</v>
      </c>
      <c r="F1164" s="340">
        <v>11</v>
      </c>
      <c r="G1164" s="340">
        <v>978.29</v>
      </c>
      <c r="H1164" s="1072">
        <v>817850.44</v>
      </c>
      <c r="I1164" s="340">
        <v>1485</v>
      </c>
      <c r="J1164" s="441">
        <v>836</v>
      </c>
      <c r="K1164" s="685" t="str">
        <f>UPPER((TEXT(Tabla5[[#This Row],[FECHA]],"MMM")))</f>
        <v>SEP</v>
      </c>
      <c r="L1164" s="1049">
        <f>YEAR(Tabla5[[#This Row],[FECHA]])</f>
        <v>2025</v>
      </c>
      <c r="M1164" s="441">
        <v>526</v>
      </c>
      <c r="N1164" s="441" t="s">
        <v>676</v>
      </c>
      <c r="O1164" s="441" t="s">
        <v>712</v>
      </c>
      <c r="P1164" s="441" t="s">
        <v>110</v>
      </c>
    </row>
    <row r="1165" spans="1:16">
      <c r="A1165" s="387">
        <v>45905</v>
      </c>
      <c r="B1165" s="340" t="s">
        <v>291</v>
      </c>
      <c r="C1165" s="340" t="s">
        <v>280</v>
      </c>
      <c r="D1165" s="340" t="s">
        <v>260</v>
      </c>
      <c r="E1165" s="340">
        <v>58</v>
      </c>
      <c r="F1165" s="340">
        <v>4</v>
      </c>
      <c r="G1165" s="340">
        <v>978.29</v>
      </c>
      <c r="H1165" s="1072">
        <v>226963.28</v>
      </c>
      <c r="I1165" s="340">
        <v>506</v>
      </c>
      <c r="J1165" s="441">
        <v>232</v>
      </c>
      <c r="K1165" s="685" t="str">
        <f>UPPER((TEXT(Tabla5[[#This Row],[FECHA]],"MMM")))</f>
        <v>SEP</v>
      </c>
      <c r="L1165" s="1049">
        <f>YEAR(Tabla5[[#This Row],[FECHA]])</f>
        <v>2025</v>
      </c>
      <c r="M1165" s="441">
        <v>526</v>
      </c>
      <c r="N1165" s="441" t="s">
        <v>680</v>
      </c>
      <c r="O1165" s="441" t="s">
        <v>712</v>
      </c>
      <c r="P1165" s="441" t="s">
        <v>110</v>
      </c>
    </row>
    <row r="1166" spans="1:16">
      <c r="A1166" s="387">
        <v>45906</v>
      </c>
      <c r="B1166" s="340" t="s">
        <v>289</v>
      </c>
      <c r="C1166" s="340" t="s">
        <v>290</v>
      </c>
      <c r="D1166" s="340" t="s">
        <v>897</v>
      </c>
      <c r="E1166" s="340">
        <v>76</v>
      </c>
      <c r="F1166" s="340">
        <v>4</v>
      </c>
      <c r="G1166" s="340">
        <v>978.29</v>
      </c>
      <c r="H1166" s="1072">
        <v>297400.15999999997</v>
      </c>
      <c r="I1166" s="340">
        <v>670</v>
      </c>
      <c r="J1166" s="441">
        <v>304</v>
      </c>
      <c r="K1166" s="685" t="str">
        <f>UPPER((TEXT(Tabla5[[#This Row],[FECHA]],"MMM")))</f>
        <v>SEP</v>
      </c>
      <c r="L1166" s="1049">
        <f>YEAR(Tabla5[[#This Row],[FECHA]])</f>
        <v>2025</v>
      </c>
      <c r="M1166" s="441">
        <v>526</v>
      </c>
      <c r="N1166" s="441" t="s">
        <v>676</v>
      </c>
      <c r="O1166" s="441" t="s">
        <v>712</v>
      </c>
      <c r="P1166" s="441" t="s">
        <v>110</v>
      </c>
    </row>
    <row r="1167" spans="1:16">
      <c r="A1167" s="387">
        <v>45906</v>
      </c>
      <c r="B1167" s="340" t="s">
        <v>295</v>
      </c>
      <c r="C1167" s="340" t="s">
        <v>276</v>
      </c>
      <c r="D1167" s="340" t="s">
        <v>694</v>
      </c>
      <c r="E1167" s="340">
        <v>96</v>
      </c>
      <c r="F1167" s="340">
        <v>13</v>
      </c>
      <c r="G1167" s="340">
        <v>978.29</v>
      </c>
      <c r="H1167" s="1072">
        <v>1220905.92</v>
      </c>
      <c r="I1167" s="340">
        <v>942</v>
      </c>
      <c r="J1167" s="441">
        <v>1248</v>
      </c>
      <c r="K1167" s="685" t="str">
        <f>UPPER((TEXT(Tabla5[[#This Row],[FECHA]],"MMM")))</f>
        <v>SEP</v>
      </c>
      <c r="L1167" s="1049">
        <f>YEAR(Tabla5[[#This Row],[FECHA]])</f>
        <v>2025</v>
      </c>
      <c r="M1167" s="441">
        <v>526</v>
      </c>
      <c r="N1167" s="441" t="s">
        <v>678</v>
      </c>
      <c r="O1167" s="441" t="s">
        <v>678</v>
      </c>
      <c r="P1167" s="441" t="s">
        <v>110</v>
      </c>
    </row>
    <row r="1168" spans="1:16">
      <c r="A1168" s="387">
        <v>45907</v>
      </c>
      <c r="B1168" s="340" t="s">
        <v>253</v>
      </c>
      <c r="C1168" s="340" t="s">
        <v>258</v>
      </c>
      <c r="D1168" s="340" t="s">
        <v>694</v>
      </c>
      <c r="E1168" s="340">
        <v>96</v>
      </c>
      <c r="F1168" s="340">
        <v>13</v>
      </c>
      <c r="G1168" s="340">
        <v>978.29</v>
      </c>
      <c r="H1168" s="1072">
        <v>1220905.92</v>
      </c>
      <c r="I1168" s="340">
        <v>918</v>
      </c>
      <c r="J1168" s="441">
        <v>1248</v>
      </c>
      <c r="K1168" s="685" t="str">
        <f>UPPER((TEXT(Tabla5[[#This Row],[FECHA]],"MMM")))</f>
        <v>SEP</v>
      </c>
      <c r="L1168" s="1049">
        <f>YEAR(Tabla5[[#This Row],[FECHA]])</f>
        <v>2025</v>
      </c>
      <c r="M1168" s="441">
        <v>526</v>
      </c>
      <c r="N1168" s="441" t="s">
        <v>678</v>
      </c>
      <c r="O1168" s="441" t="s">
        <v>678</v>
      </c>
      <c r="P1168" s="441" t="s">
        <v>110</v>
      </c>
    </row>
    <row r="1169" spans="1:16">
      <c r="A1169" s="387">
        <v>45908</v>
      </c>
      <c r="B1169" s="340" t="s">
        <v>269</v>
      </c>
      <c r="C1169" s="340" t="s">
        <v>280</v>
      </c>
      <c r="D1169" s="340" t="s">
        <v>260</v>
      </c>
      <c r="E1169" s="340">
        <v>58</v>
      </c>
      <c r="F1169" s="340">
        <v>4</v>
      </c>
      <c r="G1169" s="340">
        <v>978.29</v>
      </c>
      <c r="H1169" s="1072">
        <v>226963.28</v>
      </c>
      <c r="I1169" s="340">
        <v>216</v>
      </c>
      <c r="J1169" s="441">
        <v>232</v>
      </c>
      <c r="K1169" s="685" t="str">
        <f>UPPER((TEXT(Tabla5[[#This Row],[FECHA]],"MMM")))</f>
        <v>SEP</v>
      </c>
      <c r="L1169" s="1049">
        <f>YEAR(Tabla5[[#This Row],[FECHA]])</f>
        <v>2025</v>
      </c>
      <c r="M1169" s="441">
        <v>526</v>
      </c>
      <c r="N1169" s="441" t="s">
        <v>679</v>
      </c>
      <c r="O1169" s="441" t="s">
        <v>712</v>
      </c>
      <c r="P1169" s="441" t="s">
        <v>110</v>
      </c>
    </row>
    <row r="1170" spans="1:16">
      <c r="A1170" s="387">
        <v>45908</v>
      </c>
      <c r="B1170" s="340" t="s">
        <v>295</v>
      </c>
      <c r="C1170" s="340" t="s">
        <v>258</v>
      </c>
      <c r="D1170" s="340" t="s">
        <v>897</v>
      </c>
      <c r="E1170" s="340">
        <v>76</v>
      </c>
      <c r="F1170" s="340">
        <v>9</v>
      </c>
      <c r="G1170" s="340">
        <v>978.29</v>
      </c>
      <c r="H1170" s="1072">
        <v>669150.36</v>
      </c>
      <c r="I1170" s="340">
        <v>1311</v>
      </c>
      <c r="J1170" s="441">
        <v>684</v>
      </c>
      <c r="K1170" s="685" t="str">
        <f>UPPER((TEXT(Tabla5[[#This Row],[FECHA]],"MMM")))</f>
        <v>SEP</v>
      </c>
      <c r="L1170" s="1049">
        <f>YEAR(Tabla5[[#This Row],[FECHA]])</f>
        <v>2025</v>
      </c>
      <c r="M1170" s="441">
        <v>526</v>
      </c>
      <c r="N1170" s="441" t="s">
        <v>676</v>
      </c>
      <c r="O1170" s="441" t="s">
        <v>712</v>
      </c>
      <c r="P1170" s="441" t="s">
        <v>110</v>
      </c>
    </row>
    <row r="1171" spans="1:16">
      <c r="A1171" s="387">
        <v>45909</v>
      </c>
      <c r="B1171" s="340" t="s">
        <v>269</v>
      </c>
      <c r="C1171" s="340" t="s">
        <v>270</v>
      </c>
      <c r="D1171" s="340" t="s">
        <v>260</v>
      </c>
      <c r="E1171" s="340">
        <v>58</v>
      </c>
      <c r="F1171" s="340">
        <v>4</v>
      </c>
      <c r="G1171" s="340">
        <v>978.29</v>
      </c>
      <c r="H1171" s="1072">
        <v>226963.28</v>
      </c>
      <c r="I1171" s="340">
        <v>228</v>
      </c>
      <c r="J1171" s="441">
        <v>232</v>
      </c>
      <c r="K1171" s="685" t="str">
        <f>UPPER((TEXT(Tabla5[[#This Row],[FECHA]],"MMM")))</f>
        <v>SEP</v>
      </c>
      <c r="L1171" s="1049">
        <f>YEAR(Tabla5[[#This Row],[FECHA]])</f>
        <v>2025</v>
      </c>
      <c r="M1171" s="441">
        <v>526</v>
      </c>
      <c r="N1171" s="441" t="s">
        <v>679</v>
      </c>
      <c r="O1171" s="441" t="s">
        <v>712</v>
      </c>
      <c r="P1171" s="441" t="s">
        <v>110</v>
      </c>
    </row>
    <row r="1172" spans="1:16">
      <c r="A1172" s="387">
        <v>45909</v>
      </c>
      <c r="B1172" s="340" t="s">
        <v>295</v>
      </c>
      <c r="C1172" s="340" t="s">
        <v>258</v>
      </c>
      <c r="D1172" s="340" t="s">
        <v>897</v>
      </c>
      <c r="E1172" s="340">
        <v>76</v>
      </c>
      <c r="F1172" s="340">
        <v>9</v>
      </c>
      <c r="G1172" s="340">
        <v>978.29</v>
      </c>
      <c r="H1172" s="1072">
        <v>669150.36</v>
      </c>
      <c r="I1172" s="340">
        <v>1295</v>
      </c>
      <c r="J1172" s="441">
        <v>684</v>
      </c>
      <c r="K1172" s="685" t="str">
        <f>UPPER((TEXT(Tabla5[[#This Row],[FECHA]],"MMM")))</f>
        <v>SEP</v>
      </c>
      <c r="L1172" s="1049">
        <f>YEAR(Tabla5[[#This Row],[FECHA]])</f>
        <v>2025</v>
      </c>
      <c r="M1172" s="441">
        <v>526</v>
      </c>
      <c r="N1172" s="441" t="s">
        <v>676</v>
      </c>
      <c r="O1172" s="441" t="s">
        <v>712</v>
      </c>
      <c r="P1172" s="441" t="s">
        <v>110</v>
      </c>
    </row>
    <row r="1173" spans="1:16">
      <c r="A1173" s="387">
        <v>45909</v>
      </c>
      <c r="B1173" s="340" t="s">
        <v>293</v>
      </c>
      <c r="C1173" s="340" t="s">
        <v>273</v>
      </c>
      <c r="D1173" s="340" t="s">
        <v>260</v>
      </c>
      <c r="E1173" s="340">
        <v>58</v>
      </c>
      <c r="F1173" s="340">
        <v>4</v>
      </c>
      <c r="G1173" s="340">
        <v>978.29</v>
      </c>
      <c r="H1173" s="1072">
        <v>226963.28</v>
      </c>
      <c r="I1173" s="340">
        <v>531</v>
      </c>
      <c r="J1173" s="441">
        <v>232</v>
      </c>
      <c r="K1173" s="685" t="str">
        <f>UPPER((TEXT(Tabla5[[#This Row],[FECHA]],"MMM")))</f>
        <v>SEP</v>
      </c>
      <c r="L1173" s="1049">
        <f>YEAR(Tabla5[[#This Row],[FECHA]])</f>
        <v>2025</v>
      </c>
      <c r="M1173" s="441">
        <v>526</v>
      </c>
      <c r="N1173" s="441" t="s">
        <v>680</v>
      </c>
      <c r="O1173" s="441" t="s">
        <v>712</v>
      </c>
      <c r="P1173" s="441" t="s">
        <v>110</v>
      </c>
    </row>
    <row r="1174" spans="1:16">
      <c r="A1174" s="387">
        <v>45910</v>
      </c>
      <c r="B1174" s="340" t="s">
        <v>269</v>
      </c>
      <c r="C1174" s="340" t="s">
        <v>270</v>
      </c>
      <c r="D1174" s="340" t="s">
        <v>260</v>
      </c>
      <c r="E1174" s="340">
        <v>58</v>
      </c>
      <c r="F1174" s="340">
        <v>4</v>
      </c>
      <c r="G1174" s="340">
        <v>978.29</v>
      </c>
      <c r="H1174" s="1072">
        <v>226963.28</v>
      </c>
      <c r="I1174" s="340">
        <v>234</v>
      </c>
      <c r="J1174" s="441">
        <v>232</v>
      </c>
      <c r="K1174" s="685" t="str">
        <f>UPPER((TEXT(Tabla5[[#This Row],[FECHA]],"MMM")))</f>
        <v>SEP</v>
      </c>
      <c r="L1174" s="1049">
        <f>YEAR(Tabla5[[#This Row],[FECHA]])</f>
        <v>2025</v>
      </c>
      <c r="M1174" s="441">
        <v>526</v>
      </c>
      <c r="N1174" s="441" t="s">
        <v>679</v>
      </c>
      <c r="O1174" s="441" t="s">
        <v>712</v>
      </c>
      <c r="P1174" s="441" t="s">
        <v>110</v>
      </c>
    </row>
    <row r="1175" spans="1:16">
      <c r="A1175" s="387">
        <v>45910</v>
      </c>
      <c r="B1175" s="340" t="s">
        <v>263</v>
      </c>
      <c r="C1175" s="340" t="s">
        <v>264</v>
      </c>
      <c r="D1175" s="340" t="s">
        <v>897</v>
      </c>
      <c r="E1175" s="340">
        <v>76</v>
      </c>
      <c r="F1175" s="340">
        <v>9</v>
      </c>
      <c r="G1175" s="340">
        <v>978.29</v>
      </c>
      <c r="H1175" s="1072">
        <v>669150.36</v>
      </c>
      <c r="I1175" s="340">
        <v>1137</v>
      </c>
      <c r="J1175" s="441">
        <v>684</v>
      </c>
      <c r="K1175" s="685" t="str">
        <f>UPPER((TEXT(Tabla5[[#This Row],[FECHA]],"MMM")))</f>
        <v>SEP</v>
      </c>
      <c r="L1175" s="1049">
        <f>YEAR(Tabla5[[#This Row],[FECHA]])</f>
        <v>2025</v>
      </c>
      <c r="M1175" s="441">
        <v>526</v>
      </c>
      <c r="N1175" s="441" t="s">
        <v>676</v>
      </c>
      <c r="O1175" s="441" t="s">
        <v>712</v>
      </c>
      <c r="P1175" s="441" t="s">
        <v>110</v>
      </c>
    </row>
    <row r="1176" spans="1:16">
      <c r="A1176" s="387">
        <v>45910</v>
      </c>
      <c r="B1176" s="340" t="s">
        <v>294</v>
      </c>
      <c r="C1176" s="340" t="s">
        <v>268</v>
      </c>
      <c r="D1176" s="340" t="s">
        <v>260</v>
      </c>
      <c r="E1176" s="340">
        <v>58</v>
      </c>
      <c r="F1176" s="340">
        <v>5</v>
      </c>
      <c r="G1176" s="340">
        <v>978.29</v>
      </c>
      <c r="H1176" s="1072">
        <v>283704.09999999998</v>
      </c>
      <c r="I1176" s="340">
        <v>515</v>
      </c>
      <c r="J1176" s="441">
        <v>290</v>
      </c>
      <c r="K1176" s="685" t="str">
        <f>UPPER((TEXT(Tabla5[[#This Row],[FECHA]],"MMM")))</f>
        <v>SEP</v>
      </c>
      <c r="L1176" s="1049">
        <f>YEAR(Tabla5[[#This Row],[FECHA]])</f>
        <v>2025</v>
      </c>
      <c r="M1176" s="441">
        <v>526</v>
      </c>
      <c r="N1176" s="441" t="s">
        <v>680</v>
      </c>
      <c r="O1176" s="441" t="s">
        <v>712</v>
      </c>
      <c r="P1176" s="441" t="s">
        <v>110</v>
      </c>
    </row>
    <row r="1177" spans="1:16">
      <c r="A1177" s="387">
        <v>45911</v>
      </c>
      <c r="B1177" s="340" t="s">
        <v>272</v>
      </c>
      <c r="C1177" s="340" t="s">
        <v>278</v>
      </c>
      <c r="D1177" s="340" t="s">
        <v>260</v>
      </c>
      <c r="E1177" s="340">
        <v>58</v>
      </c>
      <c r="F1177" s="340">
        <v>4</v>
      </c>
      <c r="G1177" s="340">
        <v>978.29</v>
      </c>
      <c r="H1177" s="1072">
        <v>226963.28</v>
      </c>
      <c r="I1177" s="340">
        <v>220</v>
      </c>
      <c r="J1177" s="441">
        <v>232</v>
      </c>
      <c r="K1177" s="685" t="str">
        <f>UPPER((TEXT(Tabla5[[#This Row],[FECHA]],"MMM")))</f>
        <v>SEP</v>
      </c>
      <c r="L1177" s="1049">
        <f>YEAR(Tabla5[[#This Row],[FECHA]])</f>
        <v>2025</v>
      </c>
      <c r="M1177" s="441">
        <v>526</v>
      </c>
      <c r="N1177" s="441" t="s">
        <v>679</v>
      </c>
      <c r="O1177" s="441" t="s">
        <v>712</v>
      </c>
      <c r="P1177" s="441" t="s">
        <v>110</v>
      </c>
    </row>
    <row r="1178" spans="1:16">
      <c r="A1178" s="387">
        <v>45911</v>
      </c>
      <c r="B1178" s="340" t="s">
        <v>271</v>
      </c>
      <c r="C1178" s="340" t="s">
        <v>257</v>
      </c>
      <c r="D1178" s="340" t="s">
        <v>897</v>
      </c>
      <c r="E1178" s="340">
        <v>76</v>
      </c>
      <c r="F1178" s="340">
        <v>9</v>
      </c>
      <c r="G1178" s="340">
        <v>978.29</v>
      </c>
      <c r="H1178" s="1072">
        <v>669150.36</v>
      </c>
      <c r="I1178" s="340">
        <v>1026</v>
      </c>
      <c r="J1178" s="441">
        <v>684</v>
      </c>
      <c r="K1178" s="685" t="str">
        <f>UPPER((TEXT(Tabla5[[#This Row],[FECHA]],"MMM")))</f>
        <v>SEP</v>
      </c>
      <c r="L1178" s="1049">
        <f>YEAR(Tabla5[[#This Row],[FECHA]])</f>
        <v>2025</v>
      </c>
      <c r="M1178" s="441">
        <v>526</v>
      </c>
      <c r="N1178" s="441" t="s">
        <v>676</v>
      </c>
      <c r="O1178" s="441" t="s">
        <v>712</v>
      </c>
      <c r="P1178" s="441" t="s">
        <v>110</v>
      </c>
    </row>
    <row r="1179" spans="1:16">
      <c r="A1179" s="387">
        <v>45911</v>
      </c>
      <c r="B1179" s="340" t="s">
        <v>291</v>
      </c>
      <c r="C1179" s="340" t="s">
        <v>280</v>
      </c>
      <c r="D1179" s="340" t="s">
        <v>260</v>
      </c>
      <c r="E1179" s="340">
        <v>58</v>
      </c>
      <c r="F1179" s="340">
        <v>4</v>
      </c>
      <c r="G1179" s="340">
        <v>978.29</v>
      </c>
      <c r="H1179" s="1072">
        <v>226963.28</v>
      </c>
      <c r="I1179" s="340">
        <v>485</v>
      </c>
      <c r="J1179" s="441">
        <v>232</v>
      </c>
      <c r="K1179" s="685" t="str">
        <f>UPPER((TEXT(Tabla5[[#This Row],[FECHA]],"MMM")))</f>
        <v>SEP</v>
      </c>
      <c r="L1179" s="1049">
        <f>YEAR(Tabla5[[#This Row],[FECHA]])</f>
        <v>2025</v>
      </c>
      <c r="M1179" s="441">
        <v>526</v>
      </c>
      <c r="N1179" s="441" t="s">
        <v>680</v>
      </c>
      <c r="O1179" s="441" t="s">
        <v>712</v>
      </c>
      <c r="P1179" s="441" t="s">
        <v>110</v>
      </c>
    </row>
    <row r="1180" spans="1:16">
      <c r="A1180" s="387">
        <v>45912</v>
      </c>
      <c r="B1180" s="340" t="s">
        <v>272</v>
      </c>
      <c r="C1180" s="340" t="s">
        <v>278</v>
      </c>
      <c r="D1180" s="340" t="s">
        <v>260</v>
      </c>
      <c r="E1180" s="340">
        <v>58</v>
      </c>
      <c r="F1180" s="340">
        <v>4</v>
      </c>
      <c r="G1180" s="340">
        <v>978.29</v>
      </c>
      <c r="H1180" s="1072">
        <v>226963.28</v>
      </c>
      <c r="I1180" s="340">
        <v>164</v>
      </c>
      <c r="J1180" s="441">
        <v>232</v>
      </c>
      <c r="K1180" s="685" t="str">
        <f>UPPER((TEXT(Tabla5[[#This Row],[FECHA]],"MMM")))</f>
        <v>SEP</v>
      </c>
      <c r="L1180" s="1049">
        <f>YEAR(Tabla5[[#This Row],[FECHA]])</f>
        <v>2025</v>
      </c>
      <c r="M1180" s="441">
        <v>526</v>
      </c>
      <c r="N1180" s="441" t="s">
        <v>679</v>
      </c>
      <c r="O1180" s="441" t="s">
        <v>712</v>
      </c>
      <c r="P1180" s="441" t="s">
        <v>110</v>
      </c>
    </row>
    <row r="1181" spans="1:16">
      <c r="A1181" s="387">
        <v>45912</v>
      </c>
      <c r="B1181" s="340" t="s">
        <v>271</v>
      </c>
      <c r="C1181" s="340" t="s">
        <v>257</v>
      </c>
      <c r="D1181" s="340" t="s">
        <v>897</v>
      </c>
      <c r="E1181" s="340">
        <v>58</v>
      </c>
      <c r="F1181" s="340">
        <v>9</v>
      </c>
      <c r="G1181" s="340">
        <v>978.29</v>
      </c>
      <c r="H1181" s="1072">
        <v>510667.38</v>
      </c>
      <c r="I1181" s="340">
        <v>1298</v>
      </c>
      <c r="J1181" s="441">
        <v>522</v>
      </c>
      <c r="K1181" s="685" t="str">
        <f>UPPER((TEXT(Tabla5[[#This Row],[FECHA]],"MMM")))</f>
        <v>SEP</v>
      </c>
      <c r="L1181" s="1049">
        <f>YEAR(Tabla5[[#This Row],[FECHA]])</f>
        <v>2025</v>
      </c>
      <c r="M1181" s="441">
        <v>526</v>
      </c>
      <c r="N1181" s="441" t="s">
        <v>676</v>
      </c>
      <c r="O1181" s="441" t="s">
        <v>712</v>
      </c>
      <c r="P1181" s="441" t="s">
        <v>110</v>
      </c>
    </row>
    <row r="1182" spans="1:16">
      <c r="A1182" s="387">
        <v>45912</v>
      </c>
      <c r="B1182" s="340" t="s">
        <v>291</v>
      </c>
      <c r="C1182" s="340" t="s">
        <v>280</v>
      </c>
      <c r="D1182" s="340" t="s">
        <v>260</v>
      </c>
      <c r="E1182" s="340">
        <v>58</v>
      </c>
      <c r="F1182" s="340">
        <v>4</v>
      </c>
      <c r="G1182" s="340">
        <v>978.29</v>
      </c>
      <c r="H1182" s="1072">
        <v>226963.28</v>
      </c>
      <c r="I1182" s="340">
        <v>481</v>
      </c>
      <c r="J1182" s="441">
        <v>232</v>
      </c>
      <c r="K1182" s="685" t="str">
        <f>UPPER((TEXT(Tabla5[[#This Row],[FECHA]],"MMM")))</f>
        <v>SEP</v>
      </c>
      <c r="L1182" s="1049">
        <f>YEAR(Tabla5[[#This Row],[FECHA]])</f>
        <v>2025</v>
      </c>
      <c r="M1182" s="441">
        <v>526</v>
      </c>
      <c r="N1182" s="441" t="s">
        <v>680</v>
      </c>
      <c r="O1182" s="441" t="s">
        <v>712</v>
      </c>
      <c r="P1182" s="441" t="s">
        <v>110</v>
      </c>
    </row>
    <row r="1183" spans="1:16">
      <c r="A1183" s="387">
        <v>45913</v>
      </c>
      <c r="B1183" s="340" t="s">
        <v>272</v>
      </c>
      <c r="C1183" s="340" t="s">
        <v>282</v>
      </c>
      <c r="D1183" s="340" t="s">
        <v>897</v>
      </c>
      <c r="E1183" s="340">
        <v>58</v>
      </c>
      <c r="F1183" s="340">
        <v>9</v>
      </c>
      <c r="G1183" s="340">
        <v>978.29</v>
      </c>
      <c r="H1183" s="1072">
        <v>510667.38</v>
      </c>
      <c r="I1183" s="340">
        <v>453</v>
      </c>
      <c r="J1183" s="441">
        <v>522</v>
      </c>
      <c r="K1183" s="685" t="str">
        <f>UPPER((TEXT(Tabla5[[#This Row],[FECHA]],"MMM")))</f>
        <v>SEP</v>
      </c>
      <c r="L1183" s="1049">
        <f>YEAR(Tabla5[[#This Row],[FECHA]])</f>
        <v>2025</v>
      </c>
      <c r="M1183" s="441">
        <v>526</v>
      </c>
      <c r="N1183" s="441" t="s">
        <v>676</v>
      </c>
      <c r="O1183" s="441" t="s">
        <v>712</v>
      </c>
      <c r="P1183" s="441" t="s">
        <v>110</v>
      </c>
    </row>
    <row r="1184" spans="1:16">
      <c r="A1184" s="387">
        <v>45913</v>
      </c>
      <c r="B1184" s="340" t="s">
        <v>263</v>
      </c>
      <c r="C1184" s="340" t="s">
        <v>283</v>
      </c>
      <c r="D1184" s="340" t="s">
        <v>694</v>
      </c>
      <c r="E1184" s="340">
        <v>96</v>
      </c>
      <c r="F1184" s="340">
        <v>14</v>
      </c>
      <c r="G1184" s="340">
        <v>978.29</v>
      </c>
      <c r="H1184" s="1072">
        <v>1314821.76</v>
      </c>
      <c r="I1184" s="340">
        <v>966</v>
      </c>
      <c r="J1184" s="441">
        <v>1344</v>
      </c>
      <c r="K1184" s="685" t="str">
        <f>UPPER((TEXT(Tabla5[[#This Row],[FECHA]],"MMM")))</f>
        <v>SEP</v>
      </c>
      <c r="L1184" s="1049">
        <f>YEAR(Tabla5[[#This Row],[FECHA]])</f>
        <v>2025</v>
      </c>
      <c r="M1184" s="441">
        <v>526</v>
      </c>
      <c r="N1184" s="441" t="s">
        <v>678</v>
      </c>
      <c r="O1184" s="441" t="s">
        <v>678</v>
      </c>
      <c r="P1184" s="441" t="s">
        <v>110</v>
      </c>
    </row>
    <row r="1185" spans="1:16">
      <c r="A1185" s="387">
        <v>45914</v>
      </c>
      <c r="B1185" s="340" t="s">
        <v>277</v>
      </c>
      <c r="C1185" s="340" t="s">
        <v>264</v>
      </c>
      <c r="D1185" s="340" t="s">
        <v>694</v>
      </c>
      <c r="E1185" s="340">
        <v>96</v>
      </c>
      <c r="F1185" s="340">
        <v>17</v>
      </c>
      <c r="G1185" s="340">
        <v>978.29</v>
      </c>
      <c r="H1185" s="1072">
        <v>1596569.28</v>
      </c>
      <c r="I1185" s="340">
        <v>1364</v>
      </c>
      <c r="J1185" s="441">
        <v>1632</v>
      </c>
      <c r="K1185" s="685" t="str">
        <f>UPPER((TEXT(Tabla5[[#This Row],[FECHA]],"MMM")))</f>
        <v>SEP</v>
      </c>
      <c r="L1185" s="1049">
        <f>YEAR(Tabla5[[#This Row],[FECHA]])</f>
        <v>2025</v>
      </c>
      <c r="M1185" s="441">
        <v>526</v>
      </c>
      <c r="N1185" s="441" t="s">
        <v>678</v>
      </c>
      <c r="O1185" s="441" t="s">
        <v>678</v>
      </c>
      <c r="P1185" s="441" t="s">
        <v>110</v>
      </c>
    </row>
    <row r="1186" spans="1:16">
      <c r="A1186" s="387">
        <v>45915</v>
      </c>
      <c r="B1186" s="340" t="s">
        <v>949</v>
      </c>
      <c r="C1186" s="340" t="s">
        <v>280</v>
      </c>
      <c r="D1186" s="340" t="s">
        <v>260</v>
      </c>
      <c r="E1186" s="340">
        <v>58</v>
      </c>
      <c r="F1186" s="340">
        <v>4</v>
      </c>
      <c r="G1186" s="340">
        <v>978.29</v>
      </c>
      <c r="H1186" s="1072">
        <v>226963.28</v>
      </c>
      <c r="I1186" s="340">
        <v>214</v>
      </c>
      <c r="J1186" s="441">
        <v>232</v>
      </c>
      <c r="K1186" s="685" t="str">
        <f>UPPER((TEXT(Tabla5[[#This Row],[FECHA]],"MMM")))</f>
        <v>SEP</v>
      </c>
      <c r="L1186" s="1049">
        <f>YEAR(Tabla5[[#This Row],[FECHA]])</f>
        <v>2025</v>
      </c>
      <c r="M1186" s="441">
        <v>526</v>
      </c>
      <c r="N1186" s="441" t="s">
        <v>679</v>
      </c>
      <c r="O1186" s="441" t="s">
        <v>712</v>
      </c>
      <c r="P1186" s="441" t="s">
        <v>110</v>
      </c>
    </row>
    <row r="1187" spans="1:16">
      <c r="A1187" s="387">
        <v>45915</v>
      </c>
      <c r="B1187" s="340" t="s">
        <v>256</v>
      </c>
      <c r="C1187" s="340" t="s">
        <v>257</v>
      </c>
      <c r="D1187" s="340" t="s">
        <v>897</v>
      </c>
      <c r="E1187" s="340">
        <v>58</v>
      </c>
      <c r="F1187" s="340">
        <v>9</v>
      </c>
      <c r="G1187" s="340">
        <v>978.29</v>
      </c>
      <c r="H1187" s="1072">
        <v>510667.38</v>
      </c>
      <c r="I1187" s="340">
        <v>1258</v>
      </c>
      <c r="J1187" s="441">
        <v>522</v>
      </c>
      <c r="K1187" s="685" t="str">
        <f>UPPER((TEXT(Tabla5[[#This Row],[FECHA]],"MMM")))</f>
        <v>SEP</v>
      </c>
      <c r="L1187" s="1049">
        <f>YEAR(Tabla5[[#This Row],[FECHA]])</f>
        <v>2025</v>
      </c>
      <c r="M1187" s="441">
        <v>526</v>
      </c>
      <c r="N1187" s="441" t="s">
        <v>676</v>
      </c>
      <c r="O1187" s="441" t="s">
        <v>712</v>
      </c>
      <c r="P1187" s="441" t="s">
        <v>110</v>
      </c>
    </row>
    <row r="1188" spans="1:16">
      <c r="A1188" s="387">
        <v>45916</v>
      </c>
      <c r="B1188" s="340" t="s">
        <v>949</v>
      </c>
      <c r="C1188" s="340" t="s">
        <v>950</v>
      </c>
      <c r="D1188" s="340" t="s">
        <v>260</v>
      </c>
      <c r="E1188" s="340">
        <v>58</v>
      </c>
      <c r="F1188" s="340">
        <v>4</v>
      </c>
      <c r="G1188" s="340">
        <v>978.29</v>
      </c>
      <c r="H1188" s="1072">
        <v>226963.28</v>
      </c>
      <c r="I1188" s="340">
        <v>184</v>
      </c>
      <c r="J1188" s="441">
        <v>232</v>
      </c>
      <c r="K1188" s="685" t="str">
        <f>UPPER((TEXT(Tabla5[[#This Row],[FECHA]],"MMM")))</f>
        <v>SEP</v>
      </c>
      <c r="L1188" s="1049">
        <f>YEAR(Tabla5[[#This Row],[FECHA]])</f>
        <v>2025</v>
      </c>
      <c r="M1188" s="441">
        <v>526</v>
      </c>
      <c r="N1188" s="441" t="s">
        <v>679</v>
      </c>
      <c r="O1188" s="441" t="s">
        <v>712</v>
      </c>
      <c r="P1188" s="441" t="s">
        <v>110</v>
      </c>
    </row>
    <row r="1189" spans="1:16">
      <c r="A1189" s="387">
        <v>45916</v>
      </c>
      <c r="B1189" s="340" t="s">
        <v>625</v>
      </c>
      <c r="C1189" s="340" t="s">
        <v>741</v>
      </c>
      <c r="D1189" s="340" t="s">
        <v>260</v>
      </c>
      <c r="E1189" s="340">
        <v>58</v>
      </c>
      <c r="F1189" s="340">
        <v>4</v>
      </c>
      <c r="G1189" s="340">
        <v>978.29</v>
      </c>
      <c r="H1189" s="1072">
        <v>226963.28</v>
      </c>
      <c r="I1189" s="340">
        <v>141</v>
      </c>
      <c r="J1189" s="441">
        <v>232</v>
      </c>
      <c r="K1189" s="685" t="str">
        <f>UPPER((TEXT(Tabla5[[#This Row],[FECHA]],"MMM")))</f>
        <v>SEP</v>
      </c>
      <c r="L1189" s="1049">
        <f>YEAR(Tabla5[[#This Row],[FECHA]])</f>
        <v>2025</v>
      </c>
      <c r="M1189" s="441">
        <v>526</v>
      </c>
      <c r="N1189" s="441" t="s">
        <v>680</v>
      </c>
      <c r="O1189" s="441" t="s">
        <v>712</v>
      </c>
      <c r="P1189" s="441" t="s">
        <v>110</v>
      </c>
    </row>
    <row r="1190" spans="1:16">
      <c r="A1190" s="387">
        <v>45917</v>
      </c>
      <c r="B1190" s="340" t="s">
        <v>272</v>
      </c>
      <c r="C1190" s="340" t="s">
        <v>278</v>
      </c>
      <c r="D1190" s="340" t="s">
        <v>260</v>
      </c>
      <c r="E1190" s="340">
        <v>58</v>
      </c>
      <c r="F1190" s="340">
        <v>4</v>
      </c>
      <c r="G1190" s="340">
        <v>978.29</v>
      </c>
      <c r="H1190" s="1072">
        <v>226963.28</v>
      </c>
      <c r="I1190" s="340">
        <v>225</v>
      </c>
      <c r="J1190" s="441">
        <v>232</v>
      </c>
      <c r="K1190" s="685" t="str">
        <f>UPPER((TEXT(Tabla5[[#This Row],[FECHA]],"MMM")))</f>
        <v>SEP</v>
      </c>
      <c r="L1190" s="1049">
        <f>YEAR(Tabla5[[#This Row],[FECHA]])</f>
        <v>2025</v>
      </c>
      <c r="M1190" s="441">
        <v>526</v>
      </c>
      <c r="N1190" s="441" t="s">
        <v>679</v>
      </c>
      <c r="O1190" s="441" t="s">
        <v>712</v>
      </c>
      <c r="P1190" s="441" t="s">
        <v>110</v>
      </c>
    </row>
    <row r="1191" spans="1:16">
      <c r="A1191" s="387">
        <v>45917</v>
      </c>
      <c r="B1191" s="340" t="s">
        <v>271</v>
      </c>
      <c r="C1191" s="340" t="s">
        <v>257</v>
      </c>
      <c r="D1191" s="340" t="s">
        <v>897</v>
      </c>
      <c r="E1191" s="340">
        <v>58</v>
      </c>
      <c r="F1191" s="340">
        <v>9</v>
      </c>
      <c r="G1191" s="340">
        <v>978.29</v>
      </c>
      <c r="H1191" s="1072">
        <v>510667.38</v>
      </c>
      <c r="I1191" s="340">
        <v>1259</v>
      </c>
      <c r="J1191" s="441">
        <v>522</v>
      </c>
      <c r="K1191" s="685" t="str">
        <f>UPPER((TEXT(Tabla5[[#This Row],[FECHA]],"MMM")))</f>
        <v>SEP</v>
      </c>
      <c r="L1191" s="1049">
        <f>YEAR(Tabla5[[#This Row],[FECHA]])</f>
        <v>2025</v>
      </c>
      <c r="M1191" s="441">
        <v>526</v>
      </c>
      <c r="N1191" s="441" t="s">
        <v>676</v>
      </c>
      <c r="O1191" s="441" t="s">
        <v>712</v>
      </c>
      <c r="P1191" s="441" t="s">
        <v>110</v>
      </c>
    </row>
    <row r="1192" spans="1:16">
      <c r="A1192" s="387">
        <v>45917</v>
      </c>
      <c r="B1192" s="340" t="s">
        <v>267</v>
      </c>
      <c r="C1192" s="340" t="s">
        <v>268</v>
      </c>
      <c r="D1192" s="340" t="s">
        <v>260</v>
      </c>
      <c r="E1192" s="340">
        <v>58</v>
      </c>
      <c r="F1192" s="340">
        <v>5</v>
      </c>
      <c r="G1192" s="340">
        <v>978.29</v>
      </c>
      <c r="H1192" s="1072">
        <v>283704.09999999998</v>
      </c>
      <c r="I1192" s="340">
        <v>523</v>
      </c>
      <c r="J1192" s="441">
        <v>290</v>
      </c>
      <c r="K1192" s="685" t="str">
        <f>UPPER((TEXT(Tabla5[[#This Row],[FECHA]],"MMM")))</f>
        <v>SEP</v>
      </c>
      <c r="L1192" s="1049">
        <f>YEAR(Tabla5[[#This Row],[FECHA]])</f>
        <v>2025</v>
      </c>
      <c r="M1192" s="441">
        <v>526</v>
      </c>
      <c r="N1192" s="441" t="s">
        <v>680</v>
      </c>
      <c r="O1192" s="441" t="s">
        <v>712</v>
      </c>
      <c r="P1192" s="441" t="s">
        <v>110</v>
      </c>
    </row>
    <row r="1193" spans="1:16">
      <c r="A1193" s="387">
        <v>45918</v>
      </c>
      <c r="B1193" s="340" t="s">
        <v>272</v>
      </c>
      <c r="C1193" s="340" t="s">
        <v>278</v>
      </c>
      <c r="D1193" s="340" t="s">
        <v>260</v>
      </c>
      <c r="E1193" s="340">
        <v>58</v>
      </c>
      <c r="F1193" s="340">
        <v>4</v>
      </c>
      <c r="G1193" s="340">
        <v>978.29</v>
      </c>
      <c r="H1193" s="1072">
        <v>226963.28</v>
      </c>
      <c r="I1193" s="340">
        <v>195</v>
      </c>
      <c r="J1193" s="441">
        <v>232</v>
      </c>
      <c r="K1193" s="685" t="str">
        <f>UPPER((TEXT(Tabla5[[#This Row],[FECHA]],"MMM")))</f>
        <v>SEP</v>
      </c>
      <c r="L1193" s="1049">
        <f>YEAR(Tabla5[[#This Row],[FECHA]])</f>
        <v>2025</v>
      </c>
      <c r="M1193" s="441">
        <v>526</v>
      </c>
      <c r="N1193" s="441" t="s">
        <v>679</v>
      </c>
      <c r="O1193" s="441" t="s">
        <v>712</v>
      </c>
      <c r="P1193" s="441" t="s">
        <v>110</v>
      </c>
    </row>
    <row r="1194" spans="1:16">
      <c r="A1194" s="387">
        <v>45918</v>
      </c>
      <c r="B1194" s="340" t="s">
        <v>271</v>
      </c>
      <c r="C1194" s="340" t="s">
        <v>257</v>
      </c>
      <c r="D1194" s="340" t="s">
        <v>897</v>
      </c>
      <c r="E1194" s="340">
        <v>58</v>
      </c>
      <c r="F1194" s="340">
        <v>9</v>
      </c>
      <c r="G1194" s="340">
        <v>978.29</v>
      </c>
      <c r="H1194" s="1072">
        <v>510667.38</v>
      </c>
      <c r="I1194" s="340">
        <v>1013</v>
      </c>
      <c r="J1194" s="441">
        <v>522</v>
      </c>
      <c r="K1194" s="685" t="str">
        <f>UPPER((TEXT(Tabla5[[#This Row],[FECHA]],"MMM")))</f>
        <v>SEP</v>
      </c>
      <c r="L1194" s="1049">
        <f>YEAR(Tabla5[[#This Row],[FECHA]])</f>
        <v>2025</v>
      </c>
      <c r="M1194" s="441">
        <v>526</v>
      </c>
      <c r="N1194" s="441" t="s">
        <v>676</v>
      </c>
      <c r="O1194" s="441" t="s">
        <v>712</v>
      </c>
      <c r="P1194" s="441" t="s">
        <v>110</v>
      </c>
    </row>
    <row r="1195" spans="1:16">
      <c r="A1195" s="387">
        <v>45918</v>
      </c>
      <c r="B1195" s="340" t="s">
        <v>291</v>
      </c>
      <c r="C1195" s="340" t="s">
        <v>951</v>
      </c>
      <c r="D1195" s="340" t="s">
        <v>260</v>
      </c>
      <c r="E1195" s="340">
        <v>58</v>
      </c>
      <c r="F1195" s="340">
        <v>4</v>
      </c>
      <c r="G1195" s="340">
        <v>978.29</v>
      </c>
      <c r="H1195" s="1072">
        <v>226963.28</v>
      </c>
      <c r="I1195" s="340">
        <v>455</v>
      </c>
      <c r="J1195" s="441">
        <v>232</v>
      </c>
      <c r="K1195" s="685" t="str">
        <f>UPPER((TEXT(Tabla5[[#This Row],[FECHA]],"MMM")))</f>
        <v>SEP</v>
      </c>
      <c r="L1195" s="1049">
        <f>YEAR(Tabla5[[#This Row],[FECHA]])</f>
        <v>2025</v>
      </c>
      <c r="M1195" s="441">
        <v>526</v>
      </c>
      <c r="N1195" s="441" t="s">
        <v>680</v>
      </c>
      <c r="O1195" s="441" t="s">
        <v>712</v>
      </c>
      <c r="P1195" s="441" t="s">
        <v>110</v>
      </c>
    </row>
    <row r="1196" spans="1:16">
      <c r="A1196" s="387">
        <v>45919</v>
      </c>
      <c r="B1196" s="340" t="s">
        <v>272</v>
      </c>
      <c r="C1196" s="340" t="s">
        <v>278</v>
      </c>
      <c r="D1196" s="340" t="s">
        <v>260</v>
      </c>
      <c r="E1196" s="340">
        <v>58</v>
      </c>
      <c r="F1196" s="340">
        <v>4</v>
      </c>
      <c r="G1196" s="340">
        <v>978.29</v>
      </c>
      <c r="H1196" s="1072">
        <v>226963.28</v>
      </c>
      <c r="I1196" s="340">
        <v>178</v>
      </c>
      <c r="J1196" s="441">
        <v>232</v>
      </c>
      <c r="K1196" s="685" t="str">
        <f>UPPER((TEXT(Tabla5[[#This Row],[FECHA]],"MMM")))</f>
        <v>SEP</v>
      </c>
      <c r="L1196" s="1049">
        <f>YEAR(Tabla5[[#This Row],[FECHA]])</f>
        <v>2025</v>
      </c>
      <c r="M1196" s="441">
        <v>526</v>
      </c>
      <c r="N1196" s="441" t="s">
        <v>679</v>
      </c>
      <c r="O1196" s="441" t="s">
        <v>712</v>
      </c>
      <c r="P1196" s="441" t="s">
        <v>110</v>
      </c>
    </row>
    <row r="1197" spans="1:16">
      <c r="A1197" s="387">
        <v>45919</v>
      </c>
      <c r="B1197" s="340" t="s">
        <v>271</v>
      </c>
      <c r="C1197" s="340" t="s">
        <v>257</v>
      </c>
      <c r="D1197" s="340" t="s">
        <v>897</v>
      </c>
      <c r="E1197" s="340">
        <v>58</v>
      </c>
      <c r="F1197" s="340">
        <v>9</v>
      </c>
      <c r="G1197" s="340">
        <v>978.29</v>
      </c>
      <c r="H1197" s="1072">
        <v>510667.38</v>
      </c>
      <c r="I1197" s="340">
        <v>1329</v>
      </c>
      <c r="J1197" s="441">
        <v>522</v>
      </c>
      <c r="K1197" s="685" t="str">
        <f>UPPER((TEXT(Tabla5[[#This Row],[FECHA]],"MMM")))</f>
        <v>SEP</v>
      </c>
      <c r="L1197" s="1049">
        <f>YEAR(Tabla5[[#This Row],[FECHA]])</f>
        <v>2025</v>
      </c>
      <c r="M1197" s="441">
        <v>526</v>
      </c>
      <c r="N1197" s="441" t="s">
        <v>676</v>
      </c>
      <c r="O1197" s="441" t="s">
        <v>712</v>
      </c>
      <c r="P1197" s="441" t="s">
        <v>110</v>
      </c>
    </row>
    <row r="1198" spans="1:16">
      <c r="A1198" s="387">
        <v>45919</v>
      </c>
      <c r="B1198" s="340" t="s">
        <v>267</v>
      </c>
      <c r="C1198" s="340" t="s">
        <v>268</v>
      </c>
      <c r="D1198" s="340" t="s">
        <v>260</v>
      </c>
      <c r="E1198" s="340">
        <v>58</v>
      </c>
      <c r="F1198" s="340">
        <v>4</v>
      </c>
      <c r="G1198" s="340">
        <v>978.29</v>
      </c>
      <c r="H1198" s="1072">
        <v>226963.28</v>
      </c>
      <c r="I1198" s="340">
        <v>507</v>
      </c>
      <c r="J1198" s="441">
        <v>232</v>
      </c>
      <c r="K1198" s="685" t="str">
        <f>UPPER((TEXT(Tabla5[[#This Row],[FECHA]],"MMM")))</f>
        <v>SEP</v>
      </c>
      <c r="L1198" s="1049">
        <f>YEAR(Tabla5[[#This Row],[FECHA]])</f>
        <v>2025</v>
      </c>
      <c r="M1198" s="441">
        <v>526</v>
      </c>
      <c r="N1198" s="441" t="s">
        <v>680</v>
      </c>
      <c r="O1198" s="441" t="s">
        <v>712</v>
      </c>
      <c r="P1198" s="441" t="s">
        <v>110</v>
      </c>
    </row>
    <row r="1199" spans="1:16">
      <c r="A1199" s="387">
        <v>45920</v>
      </c>
      <c r="B1199" s="340" t="s">
        <v>289</v>
      </c>
      <c r="C1199" s="340" t="s">
        <v>290</v>
      </c>
      <c r="D1199" s="340" t="s">
        <v>897</v>
      </c>
      <c r="E1199" s="340">
        <v>58</v>
      </c>
      <c r="F1199" s="340">
        <v>5</v>
      </c>
      <c r="G1199" s="340">
        <v>978.29</v>
      </c>
      <c r="H1199" s="1072">
        <v>283704.09999999998</v>
      </c>
      <c r="I1199" s="340">
        <v>502</v>
      </c>
      <c r="J1199" s="441">
        <v>290</v>
      </c>
      <c r="K1199" s="685" t="str">
        <f>UPPER((TEXT(Tabla5[[#This Row],[FECHA]],"MMM")))</f>
        <v>SEP</v>
      </c>
      <c r="L1199" s="1049">
        <f>YEAR(Tabla5[[#This Row],[FECHA]])</f>
        <v>2025</v>
      </c>
      <c r="M1199" s="441">
        <v>526</v>
      </c>
      <c r="N1199" s="441" t="s">
        <v>676</v>
      </c>
      <c r="O1199" s="441" t="s">
        <v>712</v>
      </c>
      <c r="P1199" s="441" t="s">
        <v>110</v>
      </c>
    </row>
    <row r="1200" spans="1:16">
      <c r="A1200" s="387">
        <v>45920</v>
      </c>
      <c r="B1200" s="340" t="s">
        <v>271</v>
      </c>
      <c r="C1200" s="340" t="s">
        <v>292</v>
      </c>
      <c r="D1200" s="340" t="s">
        <v>694</v>
      </c>
      <c r="E1200" s="340">
        <v>96</v>
      </c>
      <c r="F1200" s="340">
        <v>13</v>
      </c>
      <c r="G1200" s="340">
        <v>978.29</v>
      </c>
      <c r="H1200" s="1072">
        <v>1220905.92</v>
      </c>
      <c r="I1200" s="340">
        <v>968</v>
      </c>
      <c r="J1200" s="441">
        <v>1248</v>
      </c>
      <c r="K1200" s="685" t="str">
        <f>UPPER((TEXT(Tabla5[[#This Row],[FECHA]],"MMM")))</f>
        <v>SEP</v>
      </c>
      <c r="L1200" s="1049">
        <f>YEAR(Tabla5[[#This Row],[FECHA]])</f>
        <v>2025</v>
      </c>
      <c r="M1200" s="441">
        <v>526</v>
      </c>
      <c r="N1200" s="441" t="s">
        <v>678</v>
      </c>
      <c r="O1200" s="441" t="s">
        <v>678</v>
      </c>
      <c r="P1200" s="441" t="s">
        <v>110</v>
      </c>
    </row>
    <row r="1201" spans="1:16">
      <c r="A1201" s="387">
        <v>45920</v>
      </c>
      <c r="B1201" s="340" t="s">
        <v>291</v>
      </c>
      <c r="C1201" s="340" t="s">
        <v>280</v>
      </c>
      <c r="D1201" s="340" t="s">
        <v>260</v>
      </c>
      <c r="E1201" s="340">
        <v>58</v>
      </c>
      <c r="F1201" s="340">
        <v>2</v>
      </c>
      <c r="G1201" s="340">
        <v>978.29</v>
      </c>
      <c r="H1201" s="1072">
        <v>113481.64</v>
      </c>
      <c r="I1201" s="340">
        <v>54</v>
      </c>
      <c r="J1201" s="441">
        <v>116</v>
      </c>
      <c r="K1201" s="685" t="str">
        <f>UPPER((TEXT(Tabla5[[#This Row],[FECHA]],"MMM")))</f>
        <v>SEP</v>
      </c>
      <c r="L1201" s="1049">
        <f>YEAR(Tabla5[[#This Row],[FECHA]])</f>
        <v>2025</v>
      </c>
      <c r="M1201" s="441">
        <v>526</v>
      </c>
      <c r="N1201" s="441" t="s">
        <v>678</v>
      </c>
      <c r="O1201" s="441" t="s">
        <v>678</v>
      </c>
      <c r="P1201" s="441" t="s">
        <v>110</v>
      </c>
    </row>
    <row r="1202" spans="1:16">
      <c r="A1202" s="387">
        <v>45921</v>
      </c>
      <c r="B1202" s="340" t="s">
        <v>267</v>
      </c>
      <c r="C1202" s="340" t="s">
        <v>258</v>
      </c>
      <c r="D1202" s="340" t="s">
        <v>694</v>
      </c>
      <c r="E1202" s="340">
        <v>96</v>
      </c>
      <c r="F1202" s="340">
        <v>14</v>
      </c>
      <c r="G1202" s="340">
        <v>978.29</v>
      </c>
      <c r="H1202" s="1072">
        <v>1314821.76</v>
      </c>
      <c r="I1202" s="340">
        <v>1032</v>
      </c>
      <c r="J1202" s="441">
        <v>1344</v>
      </c>
      <c r="K1202" s="685" t="str">
        <f>UPPER((TEXT(Tabla5[[#This Row],[FECHA]],"MMM")))</f>
        <v>SEP</v>
      </c>
      <c r="L1202" s="1049">
        <f>YEAR(Tabla5[[#This Row],[FECHA]])</f>
        <v>2025</v>
      </c>
      <c r="M1202" s="441">
        <v>526</v>
      </c>
      <c r="N1202" s="441" t="s">
        <v>678</v>
      </c>
      <c r="O1202" s="441" t="s">
        <v>678</v>
      </c>
      <c r="P1202" s="441" t="s">
        <v>110</v>
      </c>
    </row>
    <row r="1203" spans="1:16">
      <c r="A1203" s="387">
        <v>45922</v>
      </c>
      <c r="B1203" s="340" t="s">
        <v>272</v>
      </c>
      <c r="C1203" s="340" t="s">
        <v>278</v>
      </c>
      <c r="D1203" s="340" t="s">
        <v>260</v>
      </c>
      <c r="E1203" s="340">
        <v>58</v>
      </c>
      <c r="F1203" s="340">
        <v>4</v>
      </c>
      <c r="G1203" s="340">
        <v>978.29</v>
      </c>
      <c r="H1203" s="1072">
        <v>226963.28</v>
      </c>
      <c r="I1203" s="340">
        <v>217</v>
      </c>
      <c r="J1203" s="441">
        <v>232</v>
      </c>
      <c r="K1203" s="685" t="str">
        <f>UPPER((TEXT(Tabla5[[#This Row],[FECHA]],"MMM")))</f>
        <v>SEP</v>
      </c>
      <c r="L1203" s="1049">
        <f>YEAR(Tabla5[[#This Row],[FECHA]])</f>
        <v>2025</v>
      </c>
      <c r="M1203" s="441">
        <v>526</v>
      </c>
      <c r="N1203" s="441" t="s">
        <v>679</v>
      </c>
      <c r="O1203" s="441" t="s">
        <v>712</v>
      </c>
      <c r="P1203" s="441" t="s">
        <v>110</v>
      </c>
    </row>
    <row r="1204" spans="1:16">
      <c r="A1204" s="387">
        <v>45922</v>
      </c>
      <c r="B1204" s="340" t="s">
        <v>271</v>
      </c>
      <c r="C1204" s="340" t="s">
        <v>257</v>
      </c>
      <c r="D1204" s="340" t="s">
        <v>897</v>
      </c>
      <c r="E1204" s="340">
        <v>58</v>
      </c>
      <c r="F1204" s="340">
        <v>10</v>
      </c>
      <c r="G1204" s="340">
        <v>978.29</v>
      </c>
      <c r="H1204" s="1072">
        <v>567408.19999999995</v>
      </c>
      <c r="I1204" s="340">
        <v>1346</v>
      </c>
      <c r="J1204" s="441">
        <v>580</v>
      </c>
      <c r="K1204" s="685" t="str">
        <f>UPPER((TEXT(Tabla5[[#This Row],[FECHA]],"MMM")))</f>
        <v>SEP</v>
      </c>
      <c r="L1204" s="1049">
        <f>YEAR(Tabla5[[#This Row],[FECHA]])</f>
        <v>2025</v>
      </c>
      <c r="M1204" s="441">
        <v>526</v>
      </c>
      <c r="N1204" s="441" t="s">
        <v>676</v>
      </c>
      <c r="O1204" s="441" t="s">
        <v>712</v>
      </c>
      <c r="P1204" s="441" t="s">
        <v>110</v>
      </c>
    </row>
    <row r="1205" spans="1:16">
      <c r="A1205" s="387">
        <v>45923</v>
      </c>
      <c r="B1205" s="340" t="s">
        <v>272</v>
      </c>
      <c r="C1205" s="340" t="s">
        <v>278</v>
      </c>
      <c r="D1205" s="340" t="s">
        <v>260</v>
      </c>
      <c r="E1205" s="340">
        <v>58</v>
      </c>
      <c r="F1205" s="340">
        <v>4</v>
      </c>
      <c r="G1205" s="340">
        <v>978.29</v>
      </c>
      <c r="H1205" s="1072">
        <v>226963.28</v>
      </c>
      <c r="I1205" s="340">
        <v>227</v>
      </c>
      <c r="J1205" s="441">
        <v>232</v>
      </c>
      <c r="K1205" s="685" t="str">
        <f>UPPER((TEXT(Tabla5[[#This Row],[FECHA]],"MMM")))</f>
        <v>SEP</v>
      </c>
      <c r="L1205" s="1049">
        <f>YEAR(Tabla5[[#This Row],[FECHA]])</f>
        <v>2025</v>
      </c>
      <c r="M1205" s="441">
        <v>526</v>
      </c>
      <c r="N1205" s="441" t="s">
        <v>679</v>
      </c>
      <c r="O1205" s="441" t="s">
        <v>712</v>
      </c>
      <c r="P1205" s="441" t="s">
        <v>110</v>
      </c>
    </row>
    <row r="1206" spans="1:16">
      <c r="A1206" s="387">
        <v>45923</v>
      </c>
      <c r="B1206" s="340" t="s">
        <v>271</v>
      </c>
      <c r="C1206" s="340" t="s">
        <v>257</v>
      </c>
      <c r="D1206" s="340" t="s">
        <v>897</v>
      </c>
      <c r="E1206" s="340">
        <v>58</v>
      </c>
      <c r="F1206" s="340">
        <v>9</v>
      </c>
      <c r="G1206" s="340">
        <v>978.29</v>
      </c>
      <c r="H1206" s="1072">
        <v>510667.38</v>
      </c>
      <c r="I1206" s="340">
        <v>1124</v>
      </c>
      <c r="J1206" s="441">
        <v>522</v>
      </c>
      <c r="K1206" s="685" t="str">
        <f>UPPER((TEXT(Tabla5[[#This Row],[FECHA]],"MMM")))</f>
        <v>SEP</v>
      </c>
      <c r="L1206" s="1049">
        <f>YEAR(Tabla5[[#This Row],[FECHA]])</f>
        <v>2025</v>
      </c>
      <c r="M1206" s="441">
        <v>526</v>
      </c>
      <c r="N1206" s="441" t="s">
        <v>676</v>
      </c>
      <c r="O1206" s="441" t="s">
        <v>712</v>
      </c>
      <c r="P1206" s="441" t="s">
        <v>110</v>
      </c>
    </row>
    <row r="1207" spans="1:16">
      <c r="A1207" s="387">
        <v>45923</v>
      </c>
      <c r="B1207" s="340" t="s">
        <v>291</v>
      </c>
      <c r="C1207" s="340" t="s">
        <v>952</v>
      </c>
      <c r="D1207" s="340" t="s">
        <v>260</v>
      </c>
      <c r="E1207" s="340">
        <v>58</v>
      </c>
      <c r="F1207" s="340">
        <v>4</v>
      </c>
      <c r="G1207" s="340">
        <v>978.29</v>
      </c>
      <c r="H1207" s="1072">
        <v>226963.28</v>
      </c>
      <c r="I1207" s="340">
        <v>377</v>
      </c>
      <c r="J1207" s="441">
        <v>232</v>
      </c>
      <c r="K1207" s="685" t="str">
        <f>UPPER((TEXT(Tabla5[[#This Row],[FECHA]],"MMM")))</f>
        <v>SEP</v>
      </c>
      <c r="L1207" s="1049">
        <f>YEAR(Tabla5[[#This Row],[FECHA]])</f>
        <v>2025</v>
      </c>
      <c r="M1207" s="441">
        <v>526</v>
      </c>
      <c r="N1207" s="441" t="s">
        <v>680</v>
      </c>
      <c r="O1207" s="441" t="s">
        <v>712</v>
      </c>
      <c r="P1207" s="441" t="s">
        <v>110</v>
      </c>
    </row>
    <row r="1208" spans="1:16">
      <c r="A1208" s="387">
        <v>45924</v>
      </c>
      <c r="B1208" s="340" t="s">
        <v>272</v>
      </c>
      <c r="C1208" s="340" t="s">
        <v>278</v>
      </c>
      <c r="D1208" s="340" t="s">
        <v>260</v>
      </c>
      <c r="E1208" s="340">
        <v>58</v>
      </c>
      <c r="F1208" s="340">
        <v>4</v>
      </c>
      <c r="G1208" s="340">
        <v>978.29</v>
      </c>
      <c r="H1208" s="1072">
        <v>226963.28</v>
      </c>
      <c r="I1208" s="340">
        <v>202</v>
      </c>
      <c r="J1208" s="441">
        <v>232</v>
      </c>
      <c r="K1208" s="685" t="str">
        <f>UPPER((TEXT(Tabla5[[#This Row],[FECHA]],"MMM")))</f>
        <v>SEP</v>
      </c>
      <c r="L1208" s="1049">
        <f>YEAR(Tabla5[[#This Row],[FECHA]])</f>
        <v>2025</v>
      </c>
      <c r="M1208" s="441">
        <v>526</v>
      </c>
      <c r="N1208" s="441" t="s">
        <v>679</v>
      </c>
      <c r="O1208" s="441" t="s">
        <v>712</v>
      </c>
      <c r="P1208" s="441" t="s">
        <v>110</v>
      </c>
    </row>
    <row r="1209" spans="1:16">
      <c r="A1209" s="387">
        <v>45924</v>
      </c>
      <c r="B1209" s="340" t="s">
        <v>271</v>
      </c>
      <c r="C1209" s="340" t="s">
        <v>257</v>
      </c>
      <c r="D1209" s="340" t="s">
        <v>897</v>
      </c>
      <c r="E1209" s="340">
        <v>58</v>
      </c>
      <c r="F1209" s="340">
        <v>9</v>
      </c>
      <c r="G1209" s="340">
        <v>978.29</v>
      </c>
      <c r="H1209" s="1072">
        <v>510667.38</v>
      </c>
      <c r="I1209" s="340">
        <v>1166</v>
      </c>
      <c r="J1209" s="441">
        <v>522</v>
      </c>
      <c r="K1209" s="685" t="str">
        <f>UPPER((TEXT(Tabla5[[#This Row],[FECHA]],"MMM")))</f>
        <v>SEP</v>
      </c>
      <c r="L1209" s="1049">
        <f>YEAR(Tabla5[[#This Row],[FECHA]])</f>
        <v>2025</v>
      </c>
      <c r="M1209" s="441">
        <v>526</v>
      </c>
      <c r="N1209" s="441" t="s">
        <v>676</v>
      </c>
      <c r="O1209" s="441" t="s">
        <v>712</v>
      </c>
      <c r="P1209" s="441" t="s">
        <v>110</v>
      </c>
    </row>
    <row r="1210" spans="1:16">
      <c r="A1210" s="387">
        <v>45924</v>
      </c>
      <c r="B1210" s="340" t="s">
        <v>267</v>
      </c>
      <c r="C1210" s="340" t="s">
        <v>268</v>
      </c>
      <c r="D1210" s="340" t="s">
        <v>260</v>
      </c>
      <c r="E1210" s="340">
        <v>58</v>
      </c>
      <c r="F1210" s="340">
        <v>5</v>
      </c>
      <c r="G1210" s="340">
        <v>978.29</v>
      </c>
      <c r="H1210" s="1072">
        <v>283704.09999999998</v>
      </c>
      <c r="I1210" s="340">
        <v>518</v>
      </c>
      <c r="J1210" s="441">
        <v>290</v>
      </c>
      <c r="K1210" s="685" t="str">
        <f>UPPER((TEXT(Tabla5[[#This Row],[FECHA]],"MMM")))</f>
        <v>SEP</v>
      </c>
      <c r="L1210" s="1049">
        <f>YEAR(Tabla5[[#This Row],[FECHA]])</f>
        <v>2025</v>
      </c>
      <c r="M1210" s="441">
        <v>526</v>
      </c>
      <c r="N1210" s="441" t="s">
        <v>680</v>
      </c>
      <c r="O1210" s="441" t="s">
        <v>712</v>
      </c>
      <c r="P1210" s="441" t="s">
        <v>110</v>
      </c>
    </row>
    <row r="1211" spans="1:16">
      <c r="A1211" s="387">
        <v>45925</v>
      </c>
      <c r="B1211" s="340" t="s">
        <v>272</v>
      </c>
      <c r="C1211" s="340" t="s">
        <v>278</v>
      </c>
      <c r="D1211" s="340" t="s">
        <v>260</v>
      </c>
      <c r="E1211" s="340">
        <v>58</v>
      </c>
      <c r="F1211" s="340">
        <v>4</v>
      </c>
      <c r="G1211" s="340">
        <v>978.29</v>
      </c>
      <c r="H1211" s="1072">
        <v>226963.28</v>
      </c>
      <c r="I1211" s="340">
        <v>215</v>
      </c>
      <c r="J1211" s="441">
        <v>232</v>
      </c>
      <c r="K1211" s="685" t="str">
        <f>UPPER((TEXT(Tabla5[[#This Row],[FECHA]],"MMM")))</f>
        <v>SEP</v>
      </c>
      <c r="L1211" s="1049">
        <f>YEAR(Tabla5[[#This Row],[FECHA]])</f>
        <v>2025</v>
      </c>
      <c r="M1211" s="441">
        <v>526</v>
      </c>
      <c r="N1211" s="441" t="s">
        <v>679</v>
      </c>
      <c r="O1211" s="441" t="s">
        <v>712</v>
      </c>
      <c r="P1211" s="441" t="s">
        <v>110</v>
      </c>
    </row>
    <row r="1212" spans="1:16">
      <c r="A1212" s="387">
        <v>45925</v>
      </c>
      <c r="B1212" s="340" t="s">
        <v>271</v>
      </c>
      <c r="C1212" s="340" t="s">
        <v>257</v>
      </c>
      <c r="D1212" s="340" t="s">
        <v>897</v>
      </c>
      <c r="E1212" s="340">
        <v>58</v>
      </c>
      <c r="F1212" s="340">
        <v>9</v>
      </c>
      <c r="G1212" s="340">
        <v>978.29</v>
      </c>
      <c r="H1212" s="1072">
        <v>510667.38</v>
      </c>
      <c r="I1212" s="340">
        <v>1028</v>
      </c>
      <c r="J1212" s="441">
        <v>522</v>
      </c>
      <c r="K1212" s="685" t="str">
        <f>UPPER((TEXT(Tabla5[[#This Row],[FECHA]],"MMM")))</f>
        <v>SEP</v>
      </c>
      <c r="L1212" s="1049">
        <f>YEAR(Tabla5[[#This Row],[FECHA]])</f>
        <v>2025</v>
      </c>
      <c r="M1212" s="441">
        <v>526</v>
      </c>
      <c r="N1212" s="441" t="s">
        <v>676</v>
      </c>
      <c r="O1212" s="441" t="s">
        <v>712</v>
      </c>
      <c r="P1212" s="441" t="s">
        <v>110</v>
      </c>
    </row>
    <row r="1213" spans="1:16">
      <c r="A1213" s="387">
        <v>45925</v>
      </c>
      <c r="B1213" s="340" t="s">
        <v>291</v>
      </c>
      <c r="C1213" s="340" t="s">
        <v>952</v>
      </c>
      <c r="D1213" s="340" t="s">
        <v>260</v>
      </c>
      <c r="E1213" s="340">
        <v>58</v>
      </c>
      <c r="F1213" s="340">
        <v>4</v>
      </c>
      <c r="G1213" s="340">
        <v>978.29</v>
      </c>
      <c r="H1213" s="1072">
        <v>226963.28</v>
      </c>
      <c r="I1213" s="340">
        <v>486</v>
      </c>
      <c r="J1213" s="441">
        <v>232</v>
      </c>
      <c r="K1213" s="685" t="str">
        <f>UPPER((TEXT(Tabla5[[#This Row],[FECHA]],"MMM")))</f>
        <v>SEP</v>
      </c>
      <c r="L1213" s="1049">
        <f>YEAR(Tabla5[[#This Row],[FECHA]])</f>
        <v>2025</v>
      </c>
      <c r="M1213" s="441">
        <v>526</v>
      </c>
      <c r="N1213" s="441" t="s">
        <v>680</v>
      </c>
      <c r="O1213" s="441" t="s">
        <v>712</v>
      </c>
      <c r="P1213" s="441" t="s">
        <v>110</v>
      </c>
    </row>
    <row r="1214" spans="1:16">
      <c r="A1214" s="387">
        <v>45926</v>
      </c>
      <c r="B1214" s="340" t="s">
        <v>272</v>
      </c>
      <c r="C1214" s="340" t="s">
        <v>278</v>
      </c>
      <c r="D1214" s="340" t="s">
        <v>260</v>
      </c>
      <c r="E1214" s="340">
        <v>58</v>
      </c>
      <c r="F1214" s="340">
        <v>4</v>
      </c>
      <c r="G1214" s="340">
        <v>978.29</v>
      </c>
      <c r="H1214" s="1072">
        <v>226963.28</v>
      </c>
      <c r="I1214" s="340">
        <v>160</v>
      </c>
      <c r="J1214" s="441">
        <v>232</v>
      </c>
      <c r="K1214" s="685" t="str">
        <f>UPPER((TEXT(Tabla5[[#This Row],[FECHA]],"MMM")))</f>
        <v>SEP</v>
      </c>
      <c r="L1214" s="1049">
        <f>YEAR(Tabla5[[#This Row],[FECHA]])</f>
        <v>2025</v>
      </c>
      <c r="M1214" s="441">
        <v>526</v>
      </c>
      <c r="N1214" s="441" t="s">
        <v>679</v>
      </c>
      <c r="O1214" s="441" t="s">
        <v>712</v>
      </c>
      <c r="P1214" s="441" t="s">
        <v>110</v>
      </c>
    </row>
    <row r="1215" spans="1:16">
      <c r="A1215" s="387">
        <v>45926</v>
      </c>
      <c r="B1215" s="340" t="s">
        <v>271</v>
      </c>
      <c r="C1215" s="340" t="s">
        <v>257</v>
      </c>
      <c r="D1215" s="340" t="s">
        <v>897</v>
      </c>
      <c r="E1215" s="340">
        <v>58</v>
      </c>
      <c r="F1215" s="340">
        <v>9</v>
      </c>
      <c r="G1215" s="340">
        <v>978.29</v>
      </c>
      <c r="H1215" s="1072">
        <v>510667.38</v>
      </c>
      <c r="I1215" s="340">
        <v>1179</v>
      </c>
      <c r="J1215" s="441">
        <v>522</v>
      </c>
      <c r="K1215" s="685" t="str">
        <f>UPPER((TEXT(Tabla5[[#This Row],[FECHA]],"MMM")))</f>
        <v>SEP</v>
      </c>
      <c r="L1215" s="1049">
        <f>YEAR(Tabla5[[#This Row],[FECHA]])</f>
        <v>2025</v>
      </c>
      <c r="M1215" s="441">
        <v>526</v>
      </c>
      <c r="N1215" s="441" t="s">
        <v>676</v>
      </c>
      <c r="O1215" s="441" t="s">
        <v>712</v>
      </c>
      <c r="P1215" s="441" t="s">
        <v>110</v>
      </c>
    </row>
    <row r="1216" spans="1:16">
      <c r="A1216" s="387">
        <v>45926</v>
      </c>
      <c r="B1216" s="340" t="s">
        <v>291</v>
      </c>
      <c r="C1216" s="340" t="s">
        <v>952</v>
      </c>
      <c r="D1216" s="340" t="s">
        <v>260</v>
      </c>
      <c r="E1216" s="340">
        <v>58</v>
      </c>
      <c r="F1216" s="340">
        <v>4</v>
      </c>
      <c r="G1216" s="340">
        <v>978.29</v>
      </c>
      <c r="H1216" s="1072">
        <v>226963.28</v>
      </c>
      <c r="I1216" s="340">
        <v>447</v>
      </c>
      <c r="J1216" s="441">
        <v>232</v>
      </c>
      <c r="K1216" s="685" t="str">
        <f>UPPER((TEXT(Tabla5[[#This Row],[FECHA]],"MMM")))</f>
        <v>SEP</v>
      </c>
      <c r="L1216" s="1049">
        <f>YEAR(Tabla5[[#This Row],[FECHA]])</f>
        <v>2025</v>
      </c>
      <c r="M1216" s="441">
        <v>526</v>
      </c>
      <c r="N1216" s="441" t="s">
        <v>680</v>
      </c>
      <c r="O1216" s="441" t="s">
        <v>712</v>
      </c>
      <c r="P1216" s="441" t="s">
        <v>110</v>
      </c>
    </row>
    <row r="1217" spans="1:16">
      <c r="A1217" s="387">
        <v>45927</v>
      </c>
      <c r="B1217" s="340" t="s">
        <v>582</v>
      </c>
      <c r="C1217" s="340" t="s">
        <v>282</v>
      </c>
      <c r="D1217" s="340" t="s">
        <v>897</v>
      </c>
      <c r="E1217" s="340">
        <v>58</v>
      </c>
      <c r="F1217" s="340">
        <v>3</v>
      </c>
      <c r="G1217" s="340">
        <v>978.29</v>
      </c>
      <c r="H1217" s="1072">
        <v>170222.46</v>
      </c>
      <c r="I1217" s="340">
        <v>381</v>
      </c>
      <c r="J1217" s="441">
        <v>174</v>
      </c>
      <c r="K1217" s="685" t="str">
        <f>UPPER((TEXT(Tabla5[[#This Row],[FECHA]],"MMM")))</f>
        <v>SEP</v>
      </c>
      <c r="L1217" s="1049">
        <f>YEAR(Tabla5[[#This Row],[FECHA]])</f>
        <v>2025</v>
      </c>
      <c r="M1217" s="441">
        <v>526</v>
      </c>
      <c r="N1217" s="441" t="s">
        <v>676</v>
      </c>
      <c r="O1217" s="441" t="s">
        <v>712</v>
      </c>
      <c r="P1217" s="441" t="s">
        <v>110</v>
      </c>
    </row>
    <row r="1218" spans="1:16">
      <c r="A1218" s="387">
        <v>45927</v>
      </c>
      <c r="B1218" s="340" t="s">
        <v>287</v>
      </c>
      <c r="C1218" s="340" t="s">
        <v>288</v>
      </c>
      <c r="D1218" s="340" t="s">
        <v>694</v>
      </c>
      <c r="E1218" s="340">
        <v>96</v>
      </c>
      <c r="F1218" s="340">
        <v>14</v>
      </c>
      <c r="G1218" s="340">
        <v>978.29</v>
      </c>
      <c r="H1218" s="1072">
        <v>1314821.76</v>
      </c>
      <c r="I1218" s="340">
        <v>992</v>
      </c>
      <c r="J1218" s="441">
        <v>1344</v>
      </c>
      <c r="K1218" s="685" t="str">
        <f>UPPER((TEXT(Tabla5[[#This Row],[FECHA]],"MMM")))</f>
        <v>SEP</v>
      </c>
      <c r="L1218" s="1049">
        <f>YEAR(Tabla5[[#This Row],[FECHA]])</f>
        <v>2025</v>
      </c>
      <c r="M1218" s="441">
        <v>526</v>
      </c>
      <c r="N1218" s="441" t="s">
        <v>678</v>
      </c>
      <c r="O1218" s="441" t="s">
        <v>678</v>
      </c>
      <c r="P1218" s="441" t="s">
        <v>110</v>
      </c>
    </row>
    <row r="1219" spans="1:16">
      <c r="A1219" s="387">
        <v>45928</v>
      </c>
      <c r="B1219" s="340" t="s">
        <v>289</v>
      </c>
      <c r="C1219" s="340" t="s">
        <v>290</v>
      </c>
      <c r="D1219" s="340" t="s">
        <v>694</v>
      </c>
      <c r="E1219" s="340">
        <v>96</v>
      </c>
      <c r="F1219" s="340">
        <v>15</v>
      </c>
      <c r="G1219" s="340">
        <v>978.29</v>
      </c>
      <c r="H1219" s="1072">
        <v>1408737.6</v>
      </c>
      <c r="I1219" s="340">
        <v>1182</v>
      </c>
      <c r="J1219" s="441">
        <v>1440</v>
      </c>
      <c r="K1219" s="685" t="str">
        <f>UPPER((TEXT(Tabla5[[#This Row],[FECHA]],"MMM")))</f>
        <v>SEP</v>
      </c>
      <c r="L1219" s="1049">
        <f>YEAR(Tabla5[[#This Row],[FECHA]])</f>
        <v>2025</v>
      </c>
      <c r="M1219" s="441">
        <v>526</v>
      </c>
      <c r="N1219" s="441" t="s">
        <v>678</v>
      </c>
      <c r="O1219" s="441" t="s">
        <v>678</v>
      </c>
      <c r="P1219" s="441" t="s">
        <v>110</v>
      </c>
    </row>
    <row r="1220" spans="1:16">
      <c r="A1220" s="387">
        <v>45929</v>
      </c>
      <c r="B1220" s="340" t="s">
        <v>696</v>
      </c>
      <c r="C1220" s="340" t="s">
        <v>593</v>
      </c>
      <c r="D1220" s="340" t="s">
        <v>260</v>
      </c>
      <c r="E1220" s="340">
        <v>58</v>
      </c>
      <c r="F1220" s="340">
        <v>4</v>
      </c>
      <c r="G1220" s="340">
        <v>978.29</v>
      </c>
      <c r="H1220" s="1072">
        <v>226963.28</v>
      </c>
      <c r="I1220" s="340">
        <v>208</v>
      </c>
      <c r="J1220" s="441">
        <v>232</v>
      </c>
      <c r="K1220" s="685" t="str">
        <f>UPPER((TEXT(Tabla5[[#This Row],[FECHA]],"MMM")))</f>
        <v>SEP</v>
      </c>
      <c r="L1220" s="1049">
        <f>YEAR(Tabla5[[#This Row],[FECHA]])</f>
        <v>2025</v>
      </c>
      <c r="M1220" s="441">
        <v>526</v>
      </c>
      <c r="N1220" s="441" t="s">
        <v>680</v>
      </c>
      <c r="O1220" s="441" t="s">
        <v>712</v>
      </c>
      <c r="P1220" s="441" t="s">
        <v>110</v>
      </c>
    </row>
    <row r="1221" spans="1:16">
      <c r="A1221" s="387">
        <v>45929</v>
      </c>
      <c r="B1221" s="340" t="s">
        <v>295</v>
      </c>
      <c r="C1221" s="340" t="s">
        <v>258</v>
      </c>
      <c r="D1221" s="340" t="s">
        <v>897</v>
      </c>
      <c r="E1221" s="340">
        <v>58</v>
      </c>
      <c r="F1221" s="340">
        <v>9</v>
      </c>
      <c r="G1221" s="340">
        <v>978.29</v>
      </c>
      <c r="H1221" s="1072">
        <v>510667.38</v>
      </c>
      <c r="I1221" s="340">
        <v>1258</v>
      </c>
      <c r="J1221" s="441">
        <v>522</v>
      </c>
      <c r="K1221" s="685" t="str">
        <f>UPPER((TEXT(Tabla5[[#This Row],[FECHA]],"MMM")))</f>
        <v>SEP</v>
      </c>
      <c r="L1221" s="1049">
        <f>YEAR(Tabla5[[#This Row],[FECHA]])</f>
        <v>2025</v>
      </c>
      <c r="M1221" s="441">
        <v>526</v>
      </c>
      <c r="N1221" s="441" t="s">
        <v>676</v>
      </c>
      <c r="O1221" s="441" t="s">
        <v>712</v>
      </c>
      <c r="P1221" s="441" t="s">
        <v>110</v>
      </c>
    </row>
    <row r="1222" spans="1:16">
      <c r="A1222" s="387">
        <v>45930</v>
      </c>
      <c r="B1222" s="340" t="s">
        <v>261</v>
      </c>
      <c r="C1222" s="340" t="s">
        <v>266</v>
      </c>
      <c r="D1222" s="340" t="s">
        <v>260</v>
      </c>
      <c r="E1222" s="340">
        <v>58</v>
      </c>
      <c r="F1222" s="340">
        <v>4</v>
      </c>
      <c r="G1222" s="340">
        <v>978.29</v>
      </c>
      <c r="H1222" s="1072">
        <v>226963.28</v>
      </c>
      <c r="I1222" s="340">
        <v>233</v>
      </c>
      <c r="J1222" s="441">
        <v>232</v>
      </c>
      <c r="K1222" s="685" t="str">
        <f>UPPER((TEXT(Tabla5[[#This Row],[FECHA]],"MMM")))</f>
        <v>SEP</v>
      </c>
      <c r="L1222" s="1049">
        <f>YEAR(Tabla5[[#This Row],[FECHA]])</f>
        <v>2025</v>
      </c>
      <c r="M1222" s="441">
        <v>526</v>
      </c>
      <c r="N1222" s="441" t="s">
        <v>679</v>
      </c>
      <c r="O1222" s="441" t="s">
        <v>712</v>
      </c>
      <c r="P1222" s="441" t="s">
        <v>110</v>
      </c>
    </row>
    <row r="1223" spans="1:16">
      <c r="A1223" s="387">
        <v>45930</v>
      </c>
      <c r="B1223" s="340" t="s">
        <v>295</v>
      </c>
      <c r="C1223" s="340" t="s">
        <v>258</v>
      </c>
      <c r="D1223" s="340" t="s">
        <v>897</v>
      </c>
      <c r="E1223" s="340">
        <v>58</v>
      </c>
      <c r="F1223" s="340">
        <v>9</v>
      </c>
      <c r="G1223" s="340">
        <v>978.29</v>
      </c>
      <c r="H1223" s="1072">
        <v>510667.38</v>
      </c>
      <c r="I1223" s="340">
        <v>891</v>
      </c>
      <c r="J1223" s="441">
        <v>522</v>
      </c>
      <c r="K1223" s="685" t="str">
        <f>UPPER((TEXT(Tabla5[[#This Row],[FECHA]],"MMM")))</f>
        <v>SEP</v>
      </c>
      <c r="L1223" s="1049">
        <f>YEAR(Tabla5[[#This Row],[FECHA]])</f>
        <v>2025</v>
      </c>
      <c r="M1223" s="441">
        <v>526</v>
      </c>
      <c r="N1223" s="441" t="s">
        <v>676</v>
      </c>
      <c r="O1223" s="441" t="s">
        <v>712</v>
      </c>
      <c r="P1223" s="441" t="s">
        <v>110</v>
      </c>
    </row>
    <row r="1224" spans="1:16">
      <c r="A1224" s="387">
        <v>45930</v>
      </c>
      <c r="B1224" s="340" t="s">
        <v>293</v>
      </c>
      <c r="C1224" s="340" t="s">
        <v>741</v>
      </c>
      <c r="D1224" s="340" t="s">
        <v>260</v>
      </c>
      <c r="E1224" s="340">
        <v>58</v>
      </c>
      <c r="F1224" s="340">
        <v>4</v>
      </c>
      <c r="G1224" s="340">
        <v>978.29</v>
      </c>
      <c r="H1224" s="1072">
        <v>226963.28</v>
      </c>
      <c r="I1224" s="340">
        <v>465</v>
      </c>
      <c r="J1224" s="441">
        <v>232</v>
      </c>
      <c r="K1224" s="685" t="str">
        <f>UPPER((TEXT(Tabla5[[#This Row],[FECHA]],"MMM")))</f>
        <v>SEP</v>
      </c>
      <c r="L1224" s="1049">
        <f>YEAR(Tabla5[[#This Row],[FECHA]])</f>
        <v>2025</v>
      </c>
      <c r="M1224" s="441">
        <v>526</v>
      </c>
      <c r="N1224" s="441" t="s">
        <v>680</v>
      </c>
      <c r="O1224" s="441" t="s">
        <v>712</v>
      </c>
      <c r="P1224" s="441" t="s">
        <v>110</v>
      </c>
    </row>
    <row r="1225" spans="1:16">
      <c r="A1225" s="387">
        <v>45930</v>
      </c>
      <c r="B1225" s="340" t="s">
        <v>953</v>
      </c>
      <c r="C1225" s="340" t="s">
        <v>954</v>
      </c>
      <c r="D1225" s="340" t="s">
        <v>955</v>
      </c>
      <c r="E1225" s="340">
        <v>138</v>
      </c>
      <c r="F1225" s="340">
        <v>9</v>
      </c>
      <c r="G1225" s="340">
        <v>978.29</v>
      </c>
      <c r="H1225" s="1072">
        <v>1215036.18</v>
      </c>
      <c r="I1225" s="340">
        <v>50</v>
      </c>
      <c r="J1225" s="441">
        <v>1242</v>
      </c>
      <c r="K1225" s="685" t="str">
        <f>UPPER((TEXT(Tabla5[[#This Row],[FECHA]],"MMM")))</f>
        <v>SEP</v>
      </c>
      <c r="L1225" s="1049">
        <f>YEAR(Tabla5[[#This Row],[FECHA]])</f>
        <v>2025</v>
      </c>
      <c r="M1225" s="441">
        <v>526</v>
      </c>
      <c r="N1225" s="441" t="s">
        <v>678</v>
      </c>
      <c r="O1225" s="441" t="s">
        <v>678</v>
      </c>
      <c r="P1225" s="441" t="s">
        <v>110</v>
      </c>
    </row>
    <row r="1226" spans="1:16" ht="13.8">
      <c r="A1226" s="1021">
        <v>45906</v>
      </c>
      <c r="B1226" s="1022" t="s">
        <v>900</v>
      </c>
      <c r="C1226" s="1022" t="s">
        <v>904</v>
      </c>
      <c r="D1226" s="1073" t="s">
        <v>942</v>
      </c>
      <c r="E1226" s="1022">
        <v>12</v>
      </c>
      <c r="F1226" s="1022">
        <v>4</v>
      </c>
      <c r="G1226" s="1074">
        <v>978.29</v>
      </c>
      <c r="H1226" s="1071">
        <v>46957.919999999998</v>
      </c>
      <c r="I1226" s="1022">
        <v>170</v>
      </c>
      <c r="J1226" s="712">
        <f>E1226*F1226</f>
        <v>48</v>
      </c>
      <c r="K1226" s="685" t="str">
        <f>UPPER((TEXT(Tabla5[[#This Row],[FECHA]],"MMM")))</f>
        <v>SEP</v>
      </c>
      <c r="L1226" s="1049">
        <f>YEAR(Tabla5[[#This Row],[FECHA]])</f>
        <v>2025</v>
      </c>
      <c r="M1226" s="441">
        <v>525</v>
      </c>
      <c r="N1226" s="441" t="s">
        <v>678</v>
      </c>
      <c r="O1226" s="441" t="s">
        <v>678</v>
      </c>
      <c r="P1226" s="441" t="s">
        <v>909</v>
      </c>
    </row>
    <row r="1227" spans="1:16" ht="13.8">
      <c r="A1227" s="1021">
        <v>45906</v>
      </c>
      <c r="B1227" s="1022" t="s">
        <v>901</v>
      </c>
      <c r="C1227" s="1022" t="s">
        <v>943</v>
      </c>
      <c r="D1227" s="1073" t="s">
        <v>942</v>
      </c>
      <c r="E1227" s="1022">
        <v>12</v>
      </c>
      <c r="F1227" s="1022">
        <v>4</v>
      </c>
      <c r="G1227" s="1074">
        <v>978.29</v>
      </c>
      <c r="H1227" s="1071">
        <v>46957.919999999998</v>
      </c>
      <c r="I1227" s="1022">
        <v>170</v>
      </c>
      <c r="J1227" s="712">
        <f t="shared" ref="J1227:J1228" si="49">E1227*F1227</f>
        <v>48</v>
      </c>
      <c r="K1227" s="685" t="str">
        <f>UPPER((TEXT(Tabla5[[#This Row],[FECHA]],"MMM")))</f>
        <v>SEP</v>
      </c>
      <c r="L1227" s="1049">
        <f>YEAR(Tabla5[[#This Row],[FECHA]])</f>
        <v>2025</v>
      </c>
      <c r="M1227" s="441">
        <v>525</v>
      </c>
      <c r="N1227" s="441" t="s">
        <v>678</v>
      </c>
      <c r="O1227" s="441" t="s">
        <v>678</v>
      </c>
      <c r="P1227" s="441" t="s">
        <v>909</v>
      </c>
    </row>
    <row r="1228" spans="1:16" ht="13.8">
      <c r="A1228" s="1021">
        <v>45927</v>
      </c>
      <c r="B1228" s="1022" t="s">
        <v>956</v>
      </c>
      <c r="C1228" s="1022" t="s">
        <v>901</v>
      </c>
      <c r="D1228" s="1073" t="s">
        <v>957</v>
      </c>
      <c r="E1228" s="1022">
        <v>74</v>
      </c>
      <c r="F1228" s="1022">
        <v>4</v>
      </c>
      <c r="G1228" s="1023">
        <v>978.29</v>
      </c>
      <c r="H1228" s="1071">
        <v>289573.84000000003</v>
      </c>
      <c r="I1228" s="1022">
        <v>44</v>
      </c>
      <c r="J1228" s="712">
        <f t="shared" si="49"/>
        <v>296</v>
      </c>
      <c r="K1228" s="685" t="str">
        <f>UPPER((TEXT(Tabla5[[#This Row],[FECHA]],"MMM")))</f>
        <v>SEP</v>
      </c>
      <c r="L1228" s="1049">
        <f>YEAR(Tabla5[[#This Row],[FECHA]])</f>
        <v>2025</v>
      </c>
      <c r="M1228" s="441">
        <v>525</v>
      </c>
      <c r="N1228" s="441" t="s">
        <v>678</v>
      </c>
      <c r="O1228" s="441" t="s">
        <v>678</v>
      </c>
      <c r="P1228" s="441" t="s">
        <v>909</v>
      </c>
    </row>
    <row r="1229" spans="1:16" ht="14.4">
      <c r="A1229" s="391"/>
      <c r="B1229" s="392"/>
      <c r="C1229" s="392"/>
      <c r="D1229" s="392"/>
      <c r="E1229" s="392"/>
      <c r="F1229" s="392"/>
      <c r="G1229" s="392"/>
      <c r="H1229" s="528"/>
      <c r="I1229" s="392">
        <f>SUBTOTAL(109,Tabla5[PASAJEROS])</f>
        <v>867652</v>
      </c>
      <c r="J1229" s="373"/>
      <c r="K1229" s="372"/>
      <c r="L1229" s="372"/>
      <c r="M1229" s="394"/>
      <c r="N1229" s="747"/>
      <c r="O1229" s="803"/>
      <c r="P1229" s="803"/>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71F56-1AD6-40BB-84E2-CB2CD30900D1}">
  <dimension ref="A1:Y30"/>
  <sheetViews>
    <sheetView workbookViewId="0">
      <selection activeCell="I13" sqref="I13"/>
    </sheetView>
  </sheetViews>
  <sheetFormatPr baseColWidth="10" defaultRowHeight="14.4"/>
  <cols>
    <col min="2" max="2" width="21" customWidth="1"/>
    <col min="3" max="3" width="16.5546875" bestFit="1" customWidth="1"/>
    <col min="4" max="4" width="20.5546875" bestFit="1" customWidth="1"/>
    <col min="5" max="5" width="15" bestFit="1" customWidth="1"/>
    <col min="7" max="7" width="16.5546875" bestFit="1" customWidth="1"/>
    <col min="8" max="8" width="18.109375" bestFit="1" customWidth="1"/>
    <col min="11" max="11" width="17.88671875" bestFit="1" customWidth="1"/>
    <col min="12" max="12" width="19.88671875" bestFit="1" customWidth="1"/>
    <col min="15" max="15" width="16.5546875" bestFit="1" customWidth="1"/>
    <col min="16" max="16" width="14.44140625" bestFit="1" customWidth="1"/>
    <col min="19" max="19" width="24.77734375" bestFit="1" customWidth="1"/>
    <col min="20" max="20" width="18.5546875" style="802" bestFit="1" customWidth="1"/>
    <col min="21" max="21" width="12.6640625" bestFit="1" customWidth="1"/>
    <col min="22" max="22" width="16.5546875" bestFit="1" customWidth="1"/>
    <col min="23" max="23" width="18.5546875" bestFit="1" customWidth="1"/>
    <col min="24" max="24" width="12.6640625" bestFit="1" customWidth="1"/>
  </cols>
  <sheetData>
    <row r="1" spans="1:25">
      <c r="V1" s="377" t="s">
        <v>684</v>
      </c>
      <c r="W1" s="804">
        <v>2024</v>
      </c>
    </row>
    <row r="2" spans="1:25">
      <c r="C2" s="377" t="s">
        <v>296</v>
      </c>
      <c r="D2" t="s">
        <v>309</v>
      </c>
      <c r="G2" s="377" t="s">
        <v>296</v>
      </c>
      <c r="H2" t="s">
        <v>310</v>
      </c>
      <c r="K2" s="395" t="s">
        <v>296</v>
      </c>
      <c r="L2" s="383" t="s">
        <v>311</v>
      </c>
      <c r="O2" s="377" t="s">
        <v>296</v>
      </c>
      <c r="P2" t="s">
        <v>312</v>
      </c>
    </row>
    <row r="3" spans="1:25">
      <c r="C3" s="378" t="s">
        <v>578</v>
      </c>
      <c r="D3" s="379">
        <v>35020825.420000017</v>
      </c>
      <c r="G3" s="378" t="s">
        <v>578</v>
      </c>
      <c r="H3">
        <v>509</v>
      </c>
      <c r="K3" s="396" t="s">
        <v>578</v>
      </c>
      <c r="L3" s="383">
        <v>48324</v>
      </c>
      <c r="O3" s="378" t="s">
        <v>578</v>
      </c>
      <c r="P3" s="397">
        <v>35798</v>
      </c>
      <c r="S3" s="377" t="s">
        <v>296</v>
      </c>
      <c r="T3" s="802" t="s">
        <v>311</v>
      </c>
      <c r="V3" s="377" t="s">
        <v>296</v>
      </c>
      <c r="W3" t="s">
        <v>311</v>
      </c>
    </row>
    <row r="4" spans="1:25">
      <c r="C4" s="380" t="s">
        <v>909</v>
      </c>
      <c r="D4" s="379">
        <v>383489.68</v>
      </c>
      <c r="G4" s="380" t="s">
        <v>909</v>
      </c>
      <c r="H4">
        <v>12</v>
      </c>
      <c r="K4" s="1075" t="s">
        <v>909</v>
      </c>
      <c r="L4" s="383">
        <v>384</v>
      </c>
      <c r="O4" s="378" t="s">
        <v>297</v>
      </c>
      <c r="P4" s="397">
        <v>35798</v>
      </c>
      <c r="S4" s="378" t="s">
        <v>678</v>
      </c>
      <c r="T4" s="802">
        <v>101821</v>
      </c>
      <c r="V4" s="378" t="s">
        <v>713</v>
      </c>
      <c r="W4">
        <v>199795</v>
      </c>
    </row>
    <row r="5" spans="1:25">
      <c r="A5" t="s">
        <v>297</v>
      </c>
      <c r="B5" s="381">
        <f>VLOOKUP(A5,C:D,2,TRUE)</f>
        <v>35020825.420000017</v>
      </c>
      <c r="C5" s="380" t="s">
        <v>110</v>
      </c>
      <c r="D5" s="379">
        <v>34637335.740000017</v>
      </c>
      <c r="E5" t="s">
        <v>297</v>
      </c>
      <c r="F5">
        <f>VLOOKUP(E5,G:H,2,TRUE)</f>
        <v>509</v>
      </c>
      <c r="G5" s="380" t="s">
        <v>110</v>
      </c>
      <c r="H5">
        <v>497</v>
      </c>
      <c r="I5" t="s">
        <v>297</v>
      </c>
      <c r="J5" s="398">
        <f>VLOOKUP(I5,K:L,2,TRUE)</f>
        <v>48324</v>
      </c>
      <c r="K5" s="1075" t="s">
        <v>110</v>
      </c>
      <c r="L5" s="383">
        <v>47940</v>
      </c>
      <c r="M5" t="s">
        <v>297</v>
      </c>
      <c r="N5" s="398">
        <f>VLOOKUP(M5,O:P,2,TRUE)</f>
        <v>35798</v>
      </c>
      <c r="S5" s="781">
        <v>2025</v>
      </c>
      <c r="T5" s="802">
        <v>101821</v>
      </c>
      <c r="V5" s="380" t="s">
        <v>717</v>
      </c>
      <c r="W5">
        <v>11630</v>
      </c>
      <c r="Y5">
        <v>18431</v>
      </c>
    </row>
    <row r="6" spans="1:25">
      <c r="C6" s="378" t="s">
        <v>297</v>
      </c>
      <c r="D6" s="379">
        <v>35020825.420000017</v>
      </c>
      <c r="G6" s="378" t="s">
        <v>297</v>
      </c>
      <c r="H6">
        <v>509</v>
      </c>
      <c r="K6" s="396" t="s">
        <v>297</v>
      </c>
      <c r="L6" s="397">
        <v>48324</v>
      </c>
      <c r="S6" s="378" t="s">
        <v>679</v>
      </c>
      <c r="T6" s="802">
        <v>26804</v>
      </c>
      <c r="V6" s="380" t="s">
        <v>718</v>
      </c>
      <c r="W6">
        <v>6610</v>
      </c>
    </row>
    <row r="7" spans="1:25">
      <c r="S7" s="781">
        <v>2025</v>
      </c>
      <c r="T7" s="802">
        <v>26804</v>
      </c>
      <c r="V7" s="380" t="s">
        <v>716</v>
      </c>
      <c r="W7">
        <v>18062</v>
      </c>
    </row>
    <row r="8" spans="1:25">
      <c r="S8" s="378" t="s">
        <v>680</v>
      </c>
      <c r="T8" s="802">
        <v>58305</v>
      </c>
      <c r="V8" s="380" t="s">
        <v>719</v>
      </c>
      <c r="W8">
        <v>6328</v>
      </c>
    </row>
    <row r="9" spans="1:25">
      <c r="S9" s="781">
        <v>2025</v>
      </c>
      <c r="T9" s="802">
        <v>58305</v>
      </c>
      <c r="V9" s="380" t="s">
        <v>720</v>
      </c>
      <c r="W9">
        <v>9096</v>
      </c>
    </row>
    <row r="10" spans="1:25">
      <c r="S10" s="378" t="s">
        <v>676</v>
      </c>
      <c r="T10" s="802">
        <v>166438</v>
      </c>
      <c r="V10" s="380" t="s">
        <v>721</v>
      </c>
      <c r="W10">
        <v>15560</v>
      </c>
    </row>
    <row r="11" spans="1:25">
      <c r="S11" s="781">
        <v>2025</v>
      </c>
      <c r="T11" s="802">
        <v>166438</v>
      </c>
      <c r="V11" s="380" t="s">
        <v>722</v>
      </c>
      <c r="W11">
        <v>12492</v>
      </c>
    </row>
    <row r="12" spans="1:25">
      <c r="S12" s="378" t="s">
        <v>297</v>
      </c>
      <c r="T12" s="802">
        <v>353368</v>
      </c>
      <c r="V12" s="380" t="s">
        <v>723</v>
      </c>
      <c r="W12">
        <v>12392</v>
      </c>
    </row>
    <row r="13" spans="1:25">
      <c r="T13"/>
      <c r="V13" s="380" t="s">
        <v>724</v>
      </c>
      <c r="W13">
        <v>8142</v>
      </c>
    </row>
    <row r="14" spans="1:25">
      <c r="T14"/>
      <c r="V14" s="380" t="s">
        <v>725</v>
      </c>
      <c r="W14">
        <v>10956</v>
      </c>
    </row>
    <row r="15" spans="1:25">
      <c r="T15"/>
      <c r="V15" s="380" t="s">
        <v>714</v>
      </c>
      <c r="W15">
        <v>15963</v>
      </c>
    </row>
    <row r="16" spans="1:25">
      <c r="T16"/>
      <c r="V16" s="380" t="s">
        <v>715</v>
      </c>
      <c r="W16">
        <v>72564</v>
      </c>
    </row>
    <row r="17" spans="20:25">
      <c r="T17"/>
      <c r="V17" s="378" t="s">
        <v>712</v>
      </c>
      <c r="W17">
        <v>314489</v>
      </c>
      <c r="Y17">
        <v>11342</v>
      </c>
    </row>
    <row r="18" spans="20:25">
      <c r="T18"/>
      <c r="V18" s="380" t="s">
        <v>717</v>
      </c>
      <c r="W18">
        <v>15389</v>
      </c>
    </row>
    <row r="19" spans="20:25">
      <c r="T19"/>
      <c r="V19" s="380" t="s">
        <v>718</v>
      </c>
      <c r="W19">
        <v>43493</v>
      </c>
    </row>
    <row r="20" spans="20:25">
      <c r="T20"/>
      <c r="V20" s="380" t="s">
        <v>716</v>
      </c>
      <c r="W20">
        <v>33941</v>
      </c>
    </row>
    <row r="21" spans="20:25">
      <c r="T21"/>
      <c r="V21" s="380" t="s">
        <v>719</v>
      </c>
      <c r="W21">
        <v>43283</v>
      </c>
    </row>
    <row r="22" spans="20:25">
      <c r="T22"/>
      <c r="V22" s="380" t="s">
        <v>720</v>
      </c>
      <c r="W22">
        <v>29937</v>
      </c>
    </row>
    <row r="23" spans="20:25">
      <c r="T23"/>
      <c r="V23" s="380" t="s">
        <v>721</v>
      </c>
      <c r="W23">
        <v>17</v>
      </c>
    </row>
    <row r="24" spans="20:25">
      <c r="T24"/>
      <c r="V24" s="380" t="s">
        <v>722</v>
      </c>
      <c r="W24">
        <v>16190</v>
      </c>
    </row>
    <row r="25" spans="20:25">
      <c r="V25" s="380" t="s">
        <v>723</v>
      </c>
      <c r="W25">
        <v>42084</v>
      </c>
    </row>
    <row r="26" spans="20:25">
      <c r="V26" s="380" t="s">
        <v>724</v>
      </c>
      <c r="W26">
        <v>33235</v>
      </c>
    </row>
    <row r="27" spans="20:25">
      <c r="V27" s="380" t="s">
        <v>725</v>
      </c>
      <c r="W27">
        <v>32653</v>
      </c>
    </row>
    <row r="28" spans="20:25">
      <c r="V28" s="380" t="s">
        <v>714</v>
      </c>
      <c r="W28">
        <v>23812</v>
      </c>
    </row>
    <row r="29" spans="20:25">
      <c r="V29" s="380" t="s">
        <v>715</v>
      </c>
      <c r="W29">
        <v>455</v>
      </c>
      <c r="Y29">
        <v>26207</v>
      </c>
    </row>
    <row r="30" spans="20:25">
      <c r="V30" s="378" t="s">
        <v>297</v>
      </c>
      <c r="W30">
        <v>514284</v>
      </c>
    </row>
  </sheetData>
  <pageMargins left="0.7" right="0.7" top="0.75" bottom="0.75" header="0.3" footer="0.3"/>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FBFC2ED2024CBF4F8CF2A27E81B3B9CE" ma:contentTypeVersion="15" ma:contentTypeDescription="Crear nuevo documento." ma:contentTypeScope="" ma:versionID="2513122ab101889b16022615ea91d924">
  <xsd:schema xmlns:xsd="http://www.w3.org/2001/XMLSchema" xmlns:xs="http://www.w3.org/2001/XMLSchema" xmlns:p="http://schemas.microsoft.com/office/2006/metadata/properties" xmlns:ns2="d0686e4d-65be-413f-b64a-eb0b7889203c" xmlns:ns3="cd9da823-7e13-4455-b237-97265b968c57" targetNamespace="http://schemas.microsoft.com/office/2006/metadata/properties" ma:root="true" ma:fieldsID="1d3a41b0ad1f029981c76bd2c6991ff3" ns2:_="" ns3:_="">
    <xsd:import namespace="d0686e4d-65be-413f-b64a-eb0b7889203c"/>
    <xsd:import namespace="cd9da823-7e13-4455-b237-97265b968c5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686e4d-65be-413f-b64a-eb0b788920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2d96a553-470c-4450-b70c-383beb1df4a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d9da823-7e13-4455-b237-97265b968c57"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7" nillable="true" ma:displayName="Taxonomy Catch All Column" ma:hidden="true" ma:list="{f8891cab-f868-48fd-aa44-c1fda3bcdac5}" ma:internalName="TaxCatchAll" ma:showField="CatchAllData" ma:web="cd9da823-7e13-4455-b237-97265b968c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d9da823-7e13-4455-b237-97265b968c57" xsi:nil="true"/>
    <lcf76f155ced4ddcb4097134ff3c332f xmlns="d0686e4d-65be-413f-b64a-eb0b7889203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9885AEC-705A-4ECB-8119-60A14263A21F}">
  <ds:schemaRefs>
    <ds:schemaRef ds:uri="http://schemas.microsoft.com/sharepoint/v3/contenttype/forms"/>
  </ds:schemaRefs>
</ds:datastoreItem>
</file>

<file path=customXml/itemProps2.xml><?xml version="1.0" encoding="utf-8"?>
<ds:datastoreItem xmlns:ds="http://schemas.openxmlformats.org/officeDocument/2006/customXml" ds:itemID="{9226A0B2-C8A4-4243-8C3A-88DC9D24D8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0686e4d-65be-413f-b64a-eb0b7889203c"/>
    <ds:schemaRef ds:uri="cd9da823-7e13-4455-b237-97265b968c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9BC2E24-3864-43E3-A622-809F4A4D6C55}">
  <ds:schemaRefs>
    <ds:schemaRef ds:uri="http://schemas.microsoft.com/office/infopath/2007/PartnerControls"/>
    <ds:schemaRef ds:uri="http://purl.org/dc/terms/"/>
    <ds:schemaRef ds:uri="http://www.w3.org/XML/1998/namespace"/>
    <ds:schemaRef ds:uri="http://schemas.openxmlformats.org/package/2006/metadata/core-properties"/>
    <ds:schemaRef ds:uri="d0686e4d-65be-413f-b64a-eb0b7889203c"/>
    <ds:schemaRef ds:uri="http://purl.org/dc/elements/1.1/"/>
    <ds:schemaRef ds:uri="http://schemas.microsoft.com/office/2006/documentManagement/types"/>
    <ds:schemaRef ds:uri="http://purl.org/dc/dcmitype/"/>
    <ds:schemaRef ds:uri="cd9da823-7e13-4455-b237-97265b968c57"/>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Inmuebles</vt:lpstr>
      <vt:lpstr>Tabla Inm.</vt:lpstr>
      <vt:lpstr>Imuebles 2</vt:lpstr>
      <vt:lpstr>Uso de Via</vt:lpstr>
      <vt:lpstr>Material rodante base</vt:lpstr>
      <vt:lpstr>Uso de vía</vt:lpstr>
      <vt:lpstr>Materal rodante</vt:lpstr>
      <vt:lpstr>Operacion comercial </vt:lpstr>
      <vt:lpstr>Base de datos O.P</vt:lpstr>
      <vt:lpstr>Tablas dinamicas O.P</vt:lpstr>
      <vt:lpstr>Turistren.</vt:lpstr>
      <vt:lpstr>Turistren base de datos</vt:lpstr>
      <vt:lpstr>Tablas Turistren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SindyPC</dc:creator>
  <cp:keywords/>
  <dc:description/>
  <cp:lastModifiedBy>jony florez ortiz</cp:lastModifiedBy>
  <cp:revision/>
  <dcterms:created xsi:type="dcterms:W3CDTF">2021-12-09T17:42:00Z</dcterms:created>
  <dcterms:modified xsi:type="dcterms:W3CDTF">2025-11-01T14:03:04Z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93AF9B36615A4C10B1DBD31DA9FB3A06</vt:lpwstr>
  </property>
  <property fmtid="{D5CDD505-2E9C-101B-9397-08002B2CF9AE}" pid="3" name="KSOProductBuildVer">
    <vt:lpwstr>3082-12.2.0.13215</vt:lpwstr>
  </property>
  <property fmtid="{D5CDD505-2E9C-101B-9397-08002B2CF9AE}" pid="4" name="ContentTypeId">
    <vt:lpwstr>0x0101005D49235C298FEB49A50D76FB75054A55</vt:lpwstr>
  </property>
  <property fmtid="{D5CDD505-2E9C-101B-9397-08002B2CF9AE}" pid="5" name="MediaServiceImageTags">
    <vt:lpwstr/>
  </property>
</Properties>
</file>